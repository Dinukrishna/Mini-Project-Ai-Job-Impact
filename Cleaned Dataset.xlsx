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uk\Entri Data Analytics\Mini Project\AI Job Impact Project\Cleaned Data Set\"/>
    </mc:Choice>
  </mc:AlternateContent>
  <xr:revisionPtr revIDLastSave="0" documentId="13_ncr:1_{EA86B2E0-C568-4296-868C-C12163A5E113}" xr6:coauthVersionLast="47" xr6:coauthVersionMax="47" xr10:uidLastSave="{00000000-0000-0000-0000-000000000000}"/>
  <bookViews>
    <workbookView xWindow="-108" yWindow="-108" windowWidth="23256" windowHeight="13176" xr2:uid="{D8649250-6C82-4FD2-BE17-09B219EA5516}"/>
  </bookViews>
  <sheets>
    <sheet name="Industry vs Average Salary" sheetId="4" r:id="rId1"/>
    <sheet name="AI Adoption by Industry" sheetId="5" r:id="rId2"/>
    <sheet name="Job Status Distribution" sheetId="6" r:id="rId3"/>
    <sheet name="Remote Work vs Productivity" sheetId="7" r:id="rId4"/>
    <sheet name="ai_job_impact" sheetId="2" r:id="rId5"/>
  </sheets>
  <definedNames>
    <definedName name="ExternalData_1" localSheetId="4" hidden="1">ai_job_impact!$A$1:$Q$2001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07" i="2" l="1"/>
  <c r="U687" i="2"/>
  <c r="U756" i="2"/>
  <c r="U1410" i="2"/>
  <c r="U1097" i="2"/>
  <c r="U1972" i="2"/>
  <c r="U1935" i="2"/>
  <c r="U1136" i="2"/>
  <c r="U1190" i="2"/>
  <c r="U290" i="2"/>
  <c r="U903" i="2"/>
  <c r="U447" i="2"/>
  <c r="U413" i="2"/>
  <c r="U1822" i="2"/>
  <c r="U62" i="2"/>
  <c r="U1920" i="2"/>
  <c r="U1941" i="2"/>
  <c r="U769" i="2"/>
  <c r="U1415" i="2"/>
  <c r="U217" i="2"/>
  <c r="U356" i="2"/>
  <c r="U1459" i="2"/>
  <c r="U1485" i="2"/>
  <c r="U7" i="2"/>
  <c r="U180" i="2"/>
  <c r="U888" i="2"/>
  <c r="U1246" i="2"/>
  <c r="U1717" i="2"/>
  <c r="U1971" i="2"/>
  <c r="U122" i="2"/>
  <c r="U1787" i="2"/>
  <c r="U1512" i="2"/>
  <c r="U1301" i="2"/>
  <c r="U441" i="2"/>
  <c r="U1986" i="2"/>
  <c r="U1020" i="2"/>
  <c r="U1330" i="2"/>
  <c r="U1825" i="2"/>
  <c r="U726" i="2"/>
  <c r="U1618" i="2"/>
  <c r="U1052" i="2"/>
  <c r="U140" i="2"/>
  <c r="U1402" i="2"/>
  <c r="U587" i="2"/>
  <c r="U1262" i="2"/>
  <c r="U575" i="2"/>
  <c r="U1480" i="2"/>
  <c r="U1860" i="2"/>
  <c r="U834" i="2"/>
  <c r="U1927" i="2"/>
  <c r="U1578" i="2"/>
  <c r="U909" i="2"/>
  <c r="U1916" i="2"/>
  <c r="U313" i="2"/>
  <c r="U1516" i="2"/>
  <c r="U1122" i="2"/>
  <c r="U1299" i="2"/>
  <c r="U1818" i="2"/>
  <c r="U1182" i="2"/>
  <c r="U1974" i="2"/>
  <c r="U1691" i="2"/>
  <c r="U123" i="2"/>
  <c r="U349" i="2"/>
  <c r="U1447" i="2"/>
  <c r="U1344" i="2"/>
  <c r="U586" i="2"/>
  <c r="U1431" i="2"/>
  <c r="U1235" i="2"/>
  <c r="U482" i="2"/>
  <c r="U1202" i="2"/>
  <c r="U185" i="2"/>
  <c r="U1027" i="2"/>
  <c r="U1587" i="2"/>
  <c r="U897" i="2"/>
  <c r="U245" i="2"/>
  <c r="U567" i="2"/>
  <c r="U1241" i="2"/>
  <c r="U1229" i="2"/>
  <c r="U1125" i="2"/>
  <c r="U1777" i="2"/>
  <c r="U1230" i="2"/>
  <c r="U63" i="2"/>
  <c r="U1488" i="2"/>
  <c r="U1086" i="2"/>
  <c r="U1192" i="2"/>
  <c r="U1542" i="2"/>
  <c r="U1436" i="2"/>
  <c r="U346" i="2"/>
  <c r="U249" i="2"/>
  <c r="U1228" i="2"/>
  <c r="U1449" i="2"/>
  <c r="U488" i="2"/>
  <c r="U283" i="2"/>
  <c r="U1445" i="2"/>
  <c r="U1267" i="2"/>
  <c r="U325" i="2"/>
  <c r="U806" i="2"/>
  <c r="U380" i="2"/>
  <c r="U882" i="2"/>
  <c r="U176" i="2"/>
  <c r="U297" i="2"/>
  <c r="U1323" i="2"/>
  <c r="U1762" i="2"/>
  <c r="U1041" i="2"/>
  <c r="U1285" i="2"/>
  <c r="U1249" i="2"/>
  <c r="U734" i="2"/>
  <c r="U489" i="2"/>
  <c r="U1065" i="2"/>
  <c r="U291" i="2"/>
  <c r="U1505" i="2"/>
  <c r="U1325" i="2"/>
  <c r="U415" i="2"/>
  <c r="U1129" i="2"/>
  <c r="U1499" i="2"/>
  <c r="U1551" i="2"/>
  <c r="U202" i="2"/>
  <c r="U203" i="2"/>
  <c r="U1476" i="2"/>
  <c r="U302" i="2"/>
  <c r="U1508" i="2"/>
  <c r="U1029" i="2"/>
  <c r="U1882" i="2"/>
  <c r="U626" i="2"/>
  <c r="U327" i="2"/>
  <c r="U1607" i="2"/>
  <c r="U334" i="2"/>
  <c r="U1521" i="2"/>
  <c r="U622" i="2"/>
  <c r="U492" i="2"/>
  <c r="U930" i="2"/>
  <c r="U1737" i="2"/>
  <c r="U845" i="2"/>
  <c r="U1730" i="2"/>
  <c r="U919" i="2"/>
  <c r="U910" i="2"/>
  <c r="U783" i="2"/>
  <c r="U179" i="2"/>
  <c r="U174" i="2"/>
  <c r="U239" i="2"/>
  <c r="U564" i="2"/>
  <c r="U512" i="2"/>
  <c r="U1520" i="2"/>
  <c r="U803" i="2"/>
  <c r="U1315" i="2"/>
  <c r="U1288" i="2"/>
  <c r="U1733" i="2"/>
  <c r="U438" i="2"/>
  <c r="U1654" i="2"/>
  <c r="U989" i="2"/>
  <c r="U1284" i="2"/>
  <c r="U556" i="2"/>
  <c r="U457" i="2"/>
  <c r="U1232" i="2"/>
  <c r="U553" i="2"/>
  <c r="U1810" i="2"/>
  <c r="U545" i="2"/>
  <c r="U652" i="2"/>
  <c r="U1949" i="2"/>
  <c r="U743" i="2"/>
  <c r="U744" i="2"/>
  <c r="U103" i="2"/>
  <c r="U1023" i="2"/>
  <c r="U700" i="2"/>
  <c r="U621" i="2"/>
  <c r="U1873" i="2"/>
  <c r="U1981" i="2"/>
  <c r="U1663" i="2"/>
  <c r="U1138" i="2"/>
  <c r="U1498" i="2"/>
  <c r="U862" i="2"/>
  <c r="U1942" i="2"/>
  <c r="U88" i="2"/>
  <c r="U1279" i="2"/>
  <c r="U1996" i="2"/>
  <c r="U1828" i="2"/>
  <c r="U1635" i="2"/>
  <c r="U600" i="2"/>
  <c r="U1902" i="2"/>
  <c r="U1043" i="2"/>
  <c r="U153" i="2"/>
  <c r="U1896" i="2"/>
  <c r="U1853" i="2"/>
  <c r="U911" i="2"/>
  <c r="U1144" i="2"/>
  <c r="U1210" i="2"/>
  <c r="U1033" i="2"/>
  <c r="U509" i="2"/>
  <c r="U807" i="2"/>
  <c r="U635" i="2"/>
  <c r="U1145" i="2"/>
  <c r="U1878" i="2"/>
  <c r="U1536" i="2"/>
  <c r="U337" i="2"/>
  <c r="U20" i="2"/>
  <c r="U1553" i="2"/>
  <c r="U1079" i="2"/>
  <c r="U279" i="2"/>
  <c r="U1433" i="2"/>
  <c r="U927" i="2"/>
  <c r="U1884" i="2"/>
  <c r="U665" i="2"/>
  <c r="U673" i="2"/>
  <c r="U631" i="2"/>
  <c r="U1062" i="2"/>
  <c r="U1700" i="2"/>
  <c r="U1840" i="2"/>
  <c r="U353" i="2"/>
  <c r="U1298" i="2"/>
  <c r="U612" i="2"/>
  <c r="U821" i="2"/>
  <c r="U643" i="2"/>
  <c r="U1960" i="2"/>
  <c r="U1108" i="2"/>
  <c r="U273" i="2"/>
  <c r="U1843" i="2"/>
  <c r="U72" i="2"/>
  <c r="U1361" i="2"/>
  <c r="U686" i="2"/>
  <c r="U1704" i="2"/>
  <c r="U739" i="2"/>
  <c r="U400" i="2"/>
  <c r="U1613" i="2"/>
  <c r="U1032" i="2"/>
  <c r="U1921" i="2"/>
  <c r="U998" i="2"/>
  <c r="U922" i="2"/>
  <c r="U1185" i="2"/>
  <c r="U1915" i="2"/>
  <c r="U130" i="2"/>
  <c r="U109" i="2"/>
  <c r="U786" i="2"/>
  <c r="U1496" i="2"/>
  <c r="U414" i="2"/>
  <c r="U15" i="2"/>
  <c r="U1563" i="2"/>
  <c r="U1149" i="2"/>
  <c r="U983" i="2"/>
  <c r="U1189" i="2"/>
  <c r="U1442" i="2"/>
  <c r="U314" i="2"/>
  <c r="U722" i="2"/>
  <c r="U1119" i="2"/>
  <c r="U1199" i="2"/>
  <c r="U1759" i="2"/>
  <c r="U1675" i="2"/>
  <c r="U1494" i="2"/>
  <c r="U1222" i="2"/>
  <c r="U814" i="2"/>
  <c r="U1532" i="2"/>
  <c r="U1811" i="2"/>
  <c r="U71" i="2"/>
  <c r="U827" i="2"/>
  <c r="U1944" i="2"/>
  <c r="U1694" i="2"/>
  <c r="U1658" i="2"/>
  <c r="U1501" i="2"/>
  <c r="U161" i="2"/>
  <c r="U1802" i="2"/>
  <c r="U242" i="2"/>
  <c r="U1172" i="2"/>
  <c r="U229" i="2"/>
  <c r="U691" i="2"/>
  <c r="U894" i="2"/>
  <c r="U812" i="2"/>
  <c r="U1221" i="2"/>
  <c r="U1797" i="2"/>
  <c r="U458" i="2"/>
  <c r="U199" i="2"/>
  <c r="U1619" i="2"/>
  <c r="U928" i="2"/>
  <c r="U1152" i="2"/>
  <c r="U1636" i="2"/>
  <c r="U891" i="2"/>
  <c r="U404" i="2"/>
  <c r="U452" i="2"/>
  <c r="U648" i="2"/>
  <c r="U1713" i="2"/>
  <c r="U1651" i="2"/>
  <c r="U1529" i="2"/>
  <c r="U591" i="2"/>
  <c r="U537" i="2"/>
  <c r="U1337" i="2"/>
  <c r="U650" i="2"/>
  <c r="U630" i="2"/>
  <c r="U19" i="2"/>
  <c r="U476" i="2"/>
  <c r="U659" i="2"/>
  <c r="U1715" i="2"/>
  <c r="U745" i="2"/>
  <c r="U1703" i="2"/>
  <c r="U129" i="2"/>
  <c r="U118" i="2"/>
  <c r="U860" i="2"/>
  <c r="U733" i="2"/>
  <c r="U1847" i="2"/>
  <c r="U57" i="2"/>
  <c r="U154" i="2"/>
  <c r="U341" i="2"/>
  <c r="U73" i="2"/>
  <c r="U708" i="2"/>
  <c r="U868" i="2"/>
  <c r="U1887" i="2"/>
  <c r="U1771" i="2"/>
  <c r="U12" i="2"/>
  <c r="U538" i="2"/>
  <c r="U1660" i="2"/>
  <c r="U1469" i="2"/>
  <c r="U1514" i="2"/>
  <c r="U895" i="2"/>
  <c r="U510" i="2"/>
  <c r="U431" i="2"/>
  <c r="U1482" i="2"/>
  <c r="U1546" i="2"/>
  <c r="U969" i="2"/>
  <c r="U386" i="2"/>
  <c r="U1067" i="2"/>
  <c r="U1156" i="2"/>
  <c r="U960" i="2"/>
  <c r="U1603" i="2"/>
  <c r="U1035" i="2"/>
  <c r="U1783" i="2"/>
  <c r="U1794" i="2"/>
  <c r="U1116" i="2"/>
  <c r="U1006" i="2"/>
  <c r="U1473" i="2"/>
  <c r="U527" i="2"/>
  <c r="U1458" i="2"/>
  <c r="U1584" i="2"/>
  <c r="U469" i="2"/>
  <c r="U716" i="2"/>
  <c r="U531" i="2"/>
  <c r="U519" i="2"/>
  <c r="U912" i="2"/>
  <c r="U1982" i="2"/>
  <c r="U1376" i="2"/>
  <c r="U800" i="2"/>
  <c r="U1274" i="2"/>
  <c r="U1880" i="2"/>
  <c r="U1456" i="2"/>
  <c r="U562" i="2"/>
  <c r="U1561" i="2"/>
  <c r="U428" i="2"/>
  <c r="U98" i="2"/>
  <c r="U1955" i="2"/>
  <c r="U1891" i="2"/>
  <c r="U1030" i="2"/>
  <c r="U189" i="2"/>
  <c r="U1705" i="2"/>
  <c r="U1976" i="2"/>
  <c r="U422" i="2"/>
  <c r="U1877" i="2"/>
  <c r="U1290" i="2"/>
  <c r="U1761" i="2"/>
  <c r="U1468" i="2"/>
  <c r="U1616" i="2"/>
  <c r="U1640" i="2"/>
  <c r="U871" i="2"/>
  <c r="U409" i="2"/>
  <c r="U1732" i="2"/>
  <c r="U1070" i="2"/>
  <c r="U1901" i="2"/>
  <c r="U471" i="2"/>
  <c r="U111" i="2"/>
  <c r="U1823" i="2"/>
  <c r="U1236" i="2"/>
  <c r="U1824" i="2"/>
  <c r="U1188" i="2"/>
  <c r="U407" i="2"/>
  <c r="U978" i="2"/>
  <c r="U1113" i="2"/>
  <c r="U1343" i="2"/>
  <c r="U220" i="2"/>
  <c r="U209" i="2"/>
  <c r="U908" i="2"/>
  <c r="U1355" i="2"/>
  <c r="U1500" i="2"/>
  <c r="U1626" i="2"/>
  <c r="U295" i="2"/>
  <c r="U618" i="2"/>
  <c r="U310" i="2"/>
  <c r="U1162" i="2"/>
  <c r="U416" i="2"/>
  <c r="U873" i="2"/>
  <c r="U1219" i="2"/>
  <c r="U1948" i="2"/>
  <c r="U338" i="2"/>
  <c r="U529" i="2"/>
  <c r="U1464" i="2"/>
  <c r="U501" i="2"/>
  <c r="U799" i="2"/>
  <c r="U1934" i="2"/>
  <c r="U1566" i="2"/>
  <c r="U1881" i="2"/>
  <c r="U446" i="2"/>
  <c r="U104" i="2"/>
  <c r="U1757" i="2"/>
  <c r="U97" i="2"/>
  <c r="U771" i="2"/>
  <c r="U750" i="2"/>
  <c r="U274" i="2"/>
  <c r="U1571" i="2"/>
  <c r="U1784" i="2"/>
  <c r="U138" i="2"/>
  <c r="U1475" i="2"/>
  <c r="U256" i="2"/>
  <c r="U241" i="2"/>
  <c r="U1772" i="2"/>
  <c r="U487" i="2"/>
  <c r="U782" i="2"/>
  <c r="U711" i="2"/>
  <c r="U350" i="2"/>
  <c r="U837" i="2"/>
  <c r="U1871" i="2"/>
  <c r="U1372" i="2"/>
  <c r="U165" i="2"/>
  <c r="U606" i="2"/>
  <c r="U210" i="2"/>
  <c r="U1990" i="2"/>
  <c r="U768" i="2"/>
  <c r="U1735" i="2"/>
  <c r="U1923" i="2"/>
  <c r="U1780" i="2"/>
  <c r="U21" i="2"/>
  <c r="U1203" i="2"/>
  <c r="U929" i="2"/>
  <c r="U1471" i="2"/>
  <c r="U899" i="2"/>
  <c r="U359" i="2"/>
  <c r="U1328" i="2"/>
  <c r="U902" i="2"/>
  <c r="U1074" i="2"/>
  <c r="U230" i="2"/>
  <c r="U253" i="2"/>
  <c r="U767" i="2"/>
  <c r="U1164" i="2"/>
  <c r="U1796" i="2"/>
  <c r="U1515" i="2"/>
  <c r="U145" i="2"/>
  <c r="U598" i="2"/>
  <c r="U1594" i="2"/>
  <c r="U1831" i="2"/>
  <c r="U1865" i="2"/>
  <c r="U1809" i="2"/>
  <c r="U1373" i="2"/>
  <c r="U1857" i="2"/>
  <c r="U299" i="2"/>
  <c r="U1591" i="2"/>
  <c r="U1548" i="2"/>
  <c r="U1768" i="2"/>
  <c r="U883" i="2"/>
  <c r="U383" i="2"/>
  <c r="U1425" i="2"/>
  <c r="U1814" i="2"/>
  <c r="U565" i="2"/>
  <c r="U1351" i="2"/>
  <c r="U246" i="2"/>
  <c r="U1227" i="2"/>
  <c r="U867" i="2"/>
  <c r="U1641" i="2"/>
  <c r="U1806" i="2"/>
  <c r="U84" i="2"/>
  <c r="U262" i="2"/>
  <c r="U1239" i="2"/>
  <c r="U764" i="2"/>
  <c r="U58" i="2"/>
  <c r="U1914" i="2"/>
  <c r="U611" i="2"/>
  <c r="U100" i="2"/>
  <c r="U536" i="2"/>
  <c r="U1460" i="2"/>
  <c r="U451" i="2"/>
  <c r="U958" i="2"/>
  <c r="U60" i="2"/>
  <c r="U439" i="2"/>
  <c r="U1544" i="2"/>
  <c r="U647" i="2"/>
  <c r="U900" i="2"/>
  <c r="U754" i="2"/>
  <c r="U1205" i="2"/>
  <c r="U1413" i="2"/>
  <c r="U727" i="2"/>
  <c r="U1511" i="2"/>
  <c r="U1128" i="2"/>
  <c r="U1904" i="2"/>
  <c r="U1510" i="2"/>
  <c r="U1167" i="2"/>
  <c r="U1856" i="2"/>
  <c r="U182" i="2"/>
  <c r="U1696" i="2"/>
  <c r="U656" i="2"/>
  <c r="U1987" i="2"/>
  <c r="U1560" i="2"/>
  <c r="U1946" i="2"/>
  <c r="U1711" i="2"/>
  <c r="U1196" i="2"/>
  <c r="U23" i="2"/>
  <c r="U192" i="2"/>
  <c r="U1926" i="2"/>
  <c r="U96" i="2"/>
  <c r="U1428" i="2"/>
  <c r="U460" i="2"/>
  <c r="U1398" i="2"/>
  <c r="U119" i="2"/>
  <c r="U530" i="2"/>
  <c r="U1429" i="2"/>
  <c r="U805" i="2"/>
  <c r="U219" i="2"/>
  <c r="U709" i="2"/>
  <c r="U355" i="2"/>
  <c r="U375" i="2"/>
  <c r="U1850" i="2"/>
  <c r="U817" i="2"/>
  <c r="U1395" i="2"/>
  <c r="U133" i="2"/>
  <c r="U593" i="2"/>
  <c r="U1731" i="2"/>
  <c r="U576" i="2"/>
  <c r="U426" i="2"/>
  <c r="U396" i="2"/>
  <c r="U572" i="2"/>
  <c r="U1370" i="2"/>
  <c r="U1756" i="2"/>
  <c r="U360" i="2"/>
  <c r="U184" i="2"/>
  <c r="U1200" i="2"/>
  <c r="U228" i="2"/>
  <c r="U1858" i="2"/>
  <c r="U517" i="2"/>
  <c r="U1443" i="2"/>
  <c r="U1649" i="2"/>
  <c r="U1629" i="2"/>
  <c r="U1605" i="2"/>
  <c r="U775" i="2"/>
  <c r="U588" i="2"/>
  <c r="U573" i="2"/>
  <c r="U763" i="2"/>
  <c r="U1666" i="2"/>
  <c r="U511" i="2"/>
  <c r="U1163" i="2"/>
  <c r="U1181" i="2"/>
  <c r="U1327" i="2"/>
  <c r="U968" i="2"/>
  <c r="U1609" i="2"/>
  <c r="U1273" i="2"/>
  <c r="U1581" i="2"/>
  <c r="U303" i="2"/>
  <c r="U425" i="2"/>
  <c r="U945" i="2"/>
  <c r="U913" i="2"/>
  <c r="U419" i="2"/>
  <c r="U690" i="2"/>
  <c r="U429" i="2"/>
  <c r="U141" i="2"/>
  <c r="U1793" i="2"/>
  <c r="U546" i="2"/>
  <c r="U151" i="2"/>
  <c r="U332" i="2"/>
  <c r="U982" i="2"/>
  <c r="U331" i="2"/>
  <c r="U265" i="2"/>
  <c r="U542" i="2"/>
  <c r="U255" i="2"/>
  <c r="U1684" i="2"/>
  <c r="U1589" i="2"/>
  <c r="U879" i="2"/>
  <c r="U478" i="2"/>
  <c r="U116" i="2"/>
  <c r="U1198" i="2"/>
  <c r="U408" i="2"/>
  <c r="U1486" i="2"/>
  <c r="U1764" i="2"/>
  <c r="U1170" i="2"/>
  <c r="U384" i="2"/>
  <c r="U285" i="2"/>
  <c r="U1126" i="2"/>
  <c r="U1866" i="2"/>
  <c r="U326" i="2"/>
  <c r="U893" i="2"/>
  <c r="U956" i="2"/>
  <c r="U1207" i="2"/>
  <c r="U468" i="2"/>
  <c r="U723" i="2"/>
  <c r="U808" i="2"/>
  <c r="U1633" i="2"/>
  <c r="U1096" i="2"/>
  <c r="U715" i="2"/>
  <c r="U1570" i="2"/>
  <c r="U347" i="2"/>
  <c r="U1573" i="2"/>
  <c r="U342" i="2"/>
  <c r="U961" i="2"/>
  <c r="U839" i="2"/>
  <c r="U388" i="2"/>
  <c r="U1346" i="2"/>
  <c r="U1975" i="2"/>
  <c r="U1925" i="2"/>
  <c r="U1176" i="2"/>
  <c r="U1110" i="2"/>
  <c r="U1223" i="2"/>
  <c r="U17" i="2"/>
  <c r="U798" i="2"/>
  <c r="U1795" i="2"/>
  <c r="U694" i="2"/>
  <c r="U1151" i="2"/>
  <c r="U102" i="2"/>
  <c r="U619" i="2"/>
  <c r="U816" i="2"/>
  <c r="U801" i="2"/>
  <c r="U1535" i="2"/>
  <c r="U53" i="2"/>
  <c r="U1575" i="2"/>
  <c r="U445" i="2"/>
  <c r="U1374" i="2"/>
  <c r="U1541" i="2"/>
  <c r="U933" i="2"/>
  <c r="U1599" i="2"/>
  <c r="U1275" i="2"/>
  <c r="U444" i="2"/>
  <c r="U757" i="2"/>
  <c r="U231" i="2"/>
  <c r="U1143" i="2"/>
  <c r="U27" i="2"/>
  <c r="U120" i="2"/>
  <c r="U616" i="2"/>
  <c r="U1088" i="2"/>
  <c r="U513" i="2"/>
  <c r="U506" i="2"/>
  <c r="U1569" i="2"/>
  <c r="U853" i="2"/>
  <c r="U1307" i="2"/>
  <c r="U942" i="2"/>
  <c r="U1077" i="2"/>
  <c r="U1411" i="2"/>
  <c r="U1060" i="2"/>
  <c r="U3" i="2"/>
  <c r="U1911" i="2"/>
  <c r="U990" i="2"/>
  <c r="U14" i="2"/>
  <c r="U1907" i="2"/>
  <c r="U156" i="2"/>
  <c r="U880" i="2"/>
  <c r="U939" i="2"/>
  <c r="U81" i="2"/>
  <c r="U1621" i="2"/>
  <c r="U1439" i="2"/>
  <c r="U568" i="2"/>
  <c r="U1296" i="2"/>
  <c r="U1687" i="2"/>
  <c r="U1048" i="2"/>
  <c r="U1404" i="2"/>
  <c r="U250" i="2"/>
  <c r="U1356" i="2"/>
  <c r="U774" i="2"/>
  <c r="U1778" i="2"/>
  <c r="U1201" i="2"/>
  <c r="U238" i="2"/>
  <c r="U1983" i="2"/>
  <c r="U1256" i="2"/>
  <c r="U433" i="2"/>
  <c r="U236" i="2"/>
  <c r="U405" i="2"/>
  <c r="U601" i="2"/>
  <c r="U1259" i="2"/>
  <c r="U1706" i="2"/>
  <c r="U1265" i="2"/>
  <c r="U437" i="2"/>
  <c r="U1139" i="2"/>
  <c r="U682" i="2"/>
  <c r="U1869" i="2"/>
  <c r="U666" i="2"/>
  <c r="U124" i="2"/>
  <c r="U1276" i="2"/>
  <c r="U1419" i="2"/>
  <c r="U1564" i="2"/>
  <c r="U520" i="2"/>
  <c r="U1348" i="2"/>
  <c r="U639" i="2"/>
  <c r="U321" i="2"/>
  <c r="U292" i="2"/>
  <c r="U1331" i="2"/>
  <c r="U1191" i="2"/>
  <c r="U1217" i="2"/>
  <c r="U1071" i="2"/>
  <c r="U1141" i="2"/>
  <c r="U865" i="2"/>
  <c r="U1815" i="2"/>
  <c r="U1854" i="2"/>
  <c r="U1747" i="2"/>
  <c r="U267" i="2"/>
  <c r="U1991" i="2"/>
  <c r="U1690" i="2"/>
  <c r="U1099" i="2"/>
  <c r="U1009" i="2"/>
  <c r="U1698" i="2"/>
  <c r="U1720" i="2"/>
  <c r="U1672" i="2"/>
  <c r="U54" i="2"/>
  <c r="U696" i="2"/>
  <c r="U1184" i="2"/>
  <c r="U32" i="2"/>
  <c r="U50" i="2"/>
  <c r="U453" i="2"/>
  <c r="U1610" i="2"/>
  <c r="U941" i="2"/>
  <c r="U1406" i="2"/>
  <c r="U1766" i="2"/>
  <c r="U641" i="2"/>
  <c r="U1999" i="2"/>
  <c r="U599" i="2"/>
  <c r="U1886" i="2"/>
  <c r="U1785" i="2"/>
  <c r="U1947" i="2"/>
  <c r="U1133" i="2"/>
  <c r="U1183" i="2"/>
  <c r="U993" i="2"/>
  <c r="U392" i="2"/>
  <c r="U432" i="2"/>
  <c r="U114" i="2"/>
  <c r="U152" i="2"/>
  <c r="U306" i="2"/>
  <c r="U997" i="2"/>
  <c r="U440" i="2"/>
  <c r="U884" i="2"/>
  <c r="U196" i="2"/>
  <c r="U1550" i="2"/>
  <c r="U1659" i="2"/>
  <c r="U1875" i="2"/>
  <c r="U1375" i="2"/>
  <c r="U594" i="2"/>
  <c r="U848" i="2"/>
  <c r="U1826" i="2"/>
  <c r="U1109" i="2"/>
  <c r="U1430" i="2"/>
  <c r="U323" i="2"/>
  <c r="U135" i="2"/>
  <c r="U1710" i="2"/>
  <c r="U1628" i="2"/>
  <c r="U1963" i="2"/>
  <c r="U1318" i="2"/>
  <c r="U1154" i="2"/>
  <c r="U1291" i="2"/>
  <c r="U1093" i="2"/>
  <c r="U762" i="2"/>
  <c r="U1748" i="2"/>
  <c r="U822" i="2"/>
  <c r="U1692" i="2"/>
  <c r="U240" i="2"/>
  <c r="U864" i="2"/>
  <c r="U875" i="2"/>
  <c r="U333" i="2"/>
  <c r="U638" i="2"/>
  <c r="U1055" i="2"/>
  <c r="U369" i="2"/>
  <c r="U1754" i="2"/>
  <c r="U1213" i="2"/>
  <c r="U336" i="2"/>
  <c r="U725" i="2"/>
  <c r="U852" i="2"/>
  <c r="U1427" i="2"/>
  <c r="U1637" i="2"/>
  <c r="U1025" i="2"/>
  <c r="U1859" i="2"/>
  <c r="U1786" i="2"/>
  <c r="U938" i="2"/>
  <c r="U1393" i="2"/>
  <c r="U954" i="2"/>
  <c r="U1909" i="2"/>
  <c r="U1676" i="2"/>
  <c r="U831" i="2"/>
  <c r="U1781" i="2"/>
  <c r="U395" i="2"/>
  <c r="U1332" i="2"/>
  <c r="U48" i="2"/>
  <c r="U382" i="2"/>
  <c r="U1072" i="2"/>
  <c r="U721" i="2"/>
  <c r="U225" i="2"/>
  <c r="U1385" i="2"/>
  <c r="U1502" i="2"/>
  <c r="U1953" i="2"/>
  <c r="U1155" i="2"/>
  <c r="U173" i="2"/>
  <c r="U1005" i="2"/>
  <c r="U844" i="2"/>
  <c r="U946" i="2"/>
  <c r="U836" i="2"/>
  <c r="U486" i="2"/>
  <c r="U1614" i="2"/>
  <c r="U1872" i="2"/>
  <c r="U833" i="2"/>
  <c r="U394" i="2"/>
  <c r="U1075" i="2"/>
  <c r="U9" i="2"/>
  <c r="U1534" i="2"/>
  <c r="U1595" i="2"/>
  <c r="U465" i="2"/>
  <c r="U1231" i="2"/>
  <c r="U1193" i="2"/>
  <c r="U724" i="2"/>
  <c r="U496" i="2"/>
  <c r="U201" i="2"/>
  <c r="U190" i="2"/>
  <c r="U1019" i="2"/>
  <c r="U1725" i="2"/>
  <c r="U992" i="2"/>
  <c r="U1744" i="2"/>
  <c r="U1357" i="2"/>
  <c r="U697" i="2"/>
  <c r="U83" i="2"/>
  <c r="U311" i="2"/>
  <c r="U1037" i="2"/>
  <c r="U1177" i="2"/>
  <c r="U1791" i="2"/>
  <c r="U1281" i="2"/>
  <c r="U1389" i="2"/>
  <c r="U1892" i="2"/>
  <c r="U1064" i="2"/>
  <c r="U1094" i="2"/>
  <c r="U693" i="2"/>
  <c r="U967" i="2"/>
  <c r="U1470" i="2"/>
  <c r="U2001" i="2"/>
  <c r="U1870" i="2"/>
  <c r="U1509" i="2"/>
  <c r="U1930" i="2"/>
  <c r="U1924" i="2"/>
  <c r="U363" i="2"/>
  <c r="U1069" i="2"/>
  <c r="U1493" i="2"/>
  <c r="U1523" i="2"/>
  <c r="U94" i="2"/>
  <c r="U1555" i="2"/>
  <c r="U301" i="2"/>
  <c r="U1770" i="2"/>
  <c r="U251" i="2"/>
  <c r="U1739" i="2"/>
  <c r="U987" i="2"/>
  <c r="U227" i="2"/>
  <c r="U1365" i="2"/>
  <c r="U896" i="2"/>
  <c r="U1448" i="2"/>
  <c r="U277" i="2"/>
  <c r="U753" i="2"/>
  <c r="U720" i="2"/>
  <c r="U372" i="2"/>
  <c r="U143" i="2"/>
  <c r="U1135" i="2"/>
  <c r="U343" i="2"/>
  <c r="U1297" i="2"/>
  <c r="U1836" i="2"/>
  <c r="U284" i="2"/>
  <c r="U824" i="2"/>
  <c r="U1846" i="2"/>
  <c r="U1237" i="2"/>
  <c r="U819" i="2"/>
  <c r="U1574" i="2"/>
  <c r="U80" i="2"/>
  <c r="U855" i="2"/>
  <c r="U1252" i="2"/>
  <c r="U497" i="2"/>
  <c r="U1098" i="2"/>
  <c r="U1568" i="2"/>
  <c r="U1576" i="2"/>
  <c r="U1387" i="2"/>
  <c r="U1601" i="2"/>
  <c r="U1741" i="2"/>
  <c r="U579" i="2"/>
  <c r="U1867" i="2"/>
  <c r="U787" i="2"/>
  <c r="U281" i="2"/>
  <c r="U1685" i="2"/>
  <c r="U957" i="2"/>
  <c r="U91" i="2"/>
  <c r="U1899" i="2"/>
  <c r="U778" i="2"/>
  <c r="U1767" i="2"/>
  <c r="U657" i="2"/>
  <c r="U528" i="2"/>
  <c r="U1117" i="2"/>
  <c r="U1420" i="2"/>
  <c r="U1980" i="2"/>
  <c r="U1308" i="2"/>
  <c r="U484" i="2"/>
  <c r="U1883" i="2"/>
  <c r="U1215" i="2"/>
  <c r="U1194" i="2"/>
  <c r="U1817" i="2"/>
  <c r="U959" i="2"/>
  <c r="U1414" i="2"/>
  <c r="U1669" i="2"/>
  <c r="U280" i="2"/>
  <c r="U258" i="2"/>
  <c r="U1931" i="2"/>
  <c r="U547" i="2"/>
  <c r="U464" i="2"/>
  <c r="U1596" i="2"/>
  <c r="U1722" i="2"/>
  <c r="U36" i="2"/>
  <c r="U1928" i="2"/>
  <c r="U1773" i="2"/>
  <c r="U365" i="2"/>
  <c r="U735" i="2"/>
  <c r="U1180" i="2"/>
  <c r="U549" i="2"/>
  <c r="U107" i="2"/>
  <c r="U505" i="2"/>
  <c r="U662" i="2"/>
  <c r="U1716" i="2"/>
  <c r="U813" i="2"/>
  <c r="U1257" i="2"/>
  <c r="U1400" i="2"/>
  <c r="U11" i="2"/>
  <c r="U1562" i="2"/>
  <c r="U1412" i="2"/>
  <c r="U1662" i="2"/>
  <c r="U1985" i="2"/>
  <c r="U1081" i="2"/>
  <c r="U40" i="2"/>
  <c r="U1638" i="2"/>
  <c r="U1058" i="2"/>
  <c r="U461" i="2"/>
  <c r="U1490" i="2"/>
  <c r="U142" i="2"/>
  <c r="U1044" i="2"/>
  <c r="U810" i="2"/>
  <c r="U1115" i="2"/>
  <c r="U1384" i="2"/>
  <c r="U178" i="2"/>
  <c r="U854" i="2"/>
  <c r="U923" i="2"/>
  <c r="U914" i="2"/>
  <c r="U276" i="2"/>
  <c r="U30" i="2"/>
  <c r="U1287" i="2"/>
  <c r="U399" i="2"/>
  <c r="U985" i="2"/>
  <c r="U66" i="2"/>
  <c r="U548" i="2"/>
  <c r="U826" i="2"/>
  <c r="U962" i="2"/>
  <c r="U937" i="2"/>
  <c r="U1277" i="2"/>
  <c r="U1158" i="2"/>
  <c r="U1168" i="2"/>
  <c r="U1438" i="2"/>
  <c r="U1572" i="2"/>
  <c r="U1484" i="2"/>
  <c r="U541" i="2"/>
  <c r="U52" i="2"/>
  <c r="U1263" i="2"/>
  <c r="U702" i="2"/>
  <c r="U1549" i="2"/>
  <c r="U361" i="2"/>
  <c r="U856" i="2"/>
  <c r="U1997" i="2"/>
  <c r="U953" i="2"/>
  <c r="U684" i="2"/>
  <c r="U1085" i="2"/>
  <c r="U373" i="2"/>
  <c r="U459" i="2"/>
  <c r="U248" i="2"/>
  <c r="U401" i="2"/>
  <c r="U935" i="2"/>
  <c r="U504" i="2"/>
  <c r="U1208" i="2"/>
  <c r="U514" i="2"/>
  <c r="U137" i="2"/>
  <c r="U59" i="2"/>
  <c r="U226" i="2"/>
  <c r="U809" i="2"/>
  <c r="U1895" i="2"/>
  <c r="U1363" i="2"/>
  <c r="U623" i="2"/>
  <c r="U679" i="2"/>
  <c r="U1100" i="2"/>
  <c r="U846" i="2"/>
  <c r="U890" i="2"/>
  <c r="U466" i="2"/>
  <c r="U820" i="2"/>
  <c r="U1889" i="2"/>
  <c r="U5" i="2"/>
  <c r="U742" i="2"/>
  <c r="U1278" i="2"/>
  <c r="U1852" i="2"/>
  <c r="U1339" i="2"/>
  <c r="U1002" i="2"/>
  <c r="U1937" i="2"/>
  <c r="U1007" i="2"/>
  <c r="U1559" i="2"/>
  <c r="U796" i="2"/>
  <c r="U39" i="2"/>
  <c r="U1462" i="2"/>
  <c r="U1557" i="2"/>
  <c r="U1632" i="2"/>
  <c r="U966" i="2"/>
  <c r="U1819" i="2"/>
  <c r="U678" i="2"/>
  <c r="U1812" i="2"/>
  <c r="U1689" i="2"/>
  <c r="U617" i="2"/>
  <c r="U269" i="2"/>
  <c r="U1366" i="2"/>
  <c r="U233" i="2"/>
  <c r="U172" i="2"/>
  <c r="U1388" i="2"/>
  <c r="U791" i="2"/>
  <c r="U1989" i="2"/>
  <c r="U986" i="2"/>
  <c r="U944" i="2"/>
  <c r="U1834" i="2"/>
  <c r="U35" i="2"/>
  <c r="U1003" i="2"/>
  <c r="U994" i="2"/>
  <c r="U362" i="2"/>
  <c r="U729" i="2"/>
  <c r="U1441" i="2"/>
  <c r="U1622" i="2"/>
  <c r="U603" i="2"/>
  <c r="U483" i="2"/>
  <c r="U43" i="2"/>
  <c r="U732" i="2"/>
  <c r="U651" i="2"/>
  <c r="U1264" i="2"/>
  <c r="U390" i="2"/>
  <c r="U1623" i="2"/>
  <c r="U713" i="2"/>
  <c r="U1107" i="2"/>
  <c r="U134" i="2"/>
  <c r="U1261" i="2"/>
  <c r="U78" i="2"/>
  <c r="U761" i="2"/>
  <c r="U1166" i="2"/>
  <c r="U289" i="2"/>
  <c r="U1967" i="2"/>
  <c r="U6" i="2"/>
  <c r="U1940" i="2"/>
  <c r="U1751" i="2"/>
  <c r="U449" i="2"/>
  <c r="U1580" i="2"/>
  <c r="U1906" i="2"/>
  <c r="U1969" i="2"/>
  <c r="U779" i="2"/>
  <c r="U654" i="2"/>
  <c r="U352" i="2"/>
  <c r="U1841" i="2"/>
  <c r="U1487" i="2"/>
  <c r="U1600" i="2"/>
  <c r="U1832" i="2"/>
  <c r="U747" i="2"/>
  <c r="U1342" i="2"/>
  <c r="U1417" i="2"/>
  <c r="U825" i="2"/>
  <c r="U921" i="2"/>
  <c r="U379" i="2"/>
  <c r="U533" i="2"/>
  <c r="U1314" i="2"/>
  <c r="U1679" i="2"/>
  <c r="U1844" i="2"/>
  <c r="U1503" i="2"/>
  <c r="U1519" i="2"/>
  <c r="U354" i="2"/>
  <c r="U952" i="2"/>
  <c r="U1341" i="2"/>
  <c r="U1090" i="2"/>
  <c r="U308" i="2"/>
  <c r="U655" i="2"/>
  <c r="U1968" i="2"/>
  <c r="U387" i="2"/>
  <c r="U472" i="2"/>
  <c r="U829" i="2"/>
  <c r="U500" i="2"/>
  <c r="U1973" i="2"/>
  <c r="U1893" i="2"/>
  <c r="U312" i="2"/>
  <c r="U1317" i="2"/>
  <c r="U1961" i="2"/>
  <c r="U1727" i="2"/>
  <c r="U1504" i="2"/>
  <c r="U159" i="2"/>
  <c r="U1353" i="2"/>
  <c r="U1808" i="2"/>
  <c r="U1255" i="2"/>
  <c r="U1862" i="2"/>
  <c r="U1225" i="2"/>
  <c r="U160" i="2"/>
  <c r="U766" i="2"/>
  <c r="U206" i="2"/>
  <c r="U163" i="2"/>
  <c r="U1627" i="2"/>
  <c r="U1300" i="2"/>
  <c r="U316" i="2"/>
  <c r="U294" i="2"/>
  <c r="U1598" i="2"/>
  <c r="U498" i="2"/>
  <c r="U223" i="2"/>
  <c r="U1021" i="2"/>
  <c r="U1253" i="2"/>
  <c r="U1350" i="2"/>
  <c r="U1839" i="2"/>
  <c r="U1845" i="2"/>
  <c r="U1518" i="2"/>
  <c r="U1681" i="2"/>
  <c r="U717" i="2"/>
  <c r="U559" i="2"/>
  <c r="U1106" i="2"/>
  <c r="U1879" i="2"/>
  <c r="U1270" i="2"/>
  <c r="U1303" i="2"/>
  <c r="U823" i="2"/>
  <c r="U1497" i="2"/>
  <c r="U1435" i="2"/>
  <c r="U596" i="2"/>
  <c r="U892" i="2"/>
  <c r="U1957" i="2"/>
  <c r="U1187" i="2"/>
  <c r="U1457" i="2"/>
  <c r="U1813" i="2"/>
  <c r="U1646" i="2"/>
  <c r="U889" i="2"/>
  <c r="U795" i="2"/>
  <c r="U772" i="2"/>
  <c r="U1917" i="2"/>
  <c r="U366" i="2"/>
  <c r="U455" i="2"/>
  <c r="U150" i="2"/>
  <c r="U749" i="2"/>
  <c r="U1137" i="2"/>
  <c r="U1517" i="2"/>
  <c r="U1951" i="2"/>
  <c r="U1984" i="2"/>
  <c r="U271" i="2"/>
  <c r="U975" i="2"/>
  <c r="U1590" i="2"/>
  <c r="U1954" i="2"/>
  <c r="U193" i="2"/>
  <c r="U213" i="2"/>
  <c r="U65" i="2"/>
  <c r="U1729" i="2"/>
  <c r="U1988" i="2"/>
  <c r="U475" i="2"/>
  <c r="U642" i="2"/>
  <c r="U1209" i="2"/>
  <c r="U566" i="2"/>
  <c r="U221" i="2"/>
  <c r="U1160" i="2"/>
  <c r="U1087" i="2"/>
  <c r="U1945" i="2"/>
  <c r="U1247" i="2"/>
  <c r="U917" i="2"/>
  <c r="U1929" i="2"/>
  <c r="U534" i="2"/>
  <c r="U1670" i="2"/>
  <c r="U1157" i="2"/>
  <c r="U1863" i="2"/>
  <c r="U403" i="2"/>
  <c r="U1630" i="2"/>
  <c r="U1653" i="2"/>
  <c r="U1876" i="2"/>
  <c r="U1206" i="2"/>
  <c r="U1437" i="2"/>
  <c r="U266" i="2"/>
  <c r="U1527" i="2"/>
  <c r="U1233" i="2"/>
  <c r="U1426" i="2"/>
  <c r="U1380" i="2"/>
  <c r="U357" i="2"/>
  <c r="U1000" i="2"/>
  <c r="U1537" i="2"/>
  <c r="U792" i="2"/>
  <c r="U1993" i="2"/>
  <c r="U212" i="2"/>
  <c r="U1036" i="2"/>
  <c r="U2" i="2"/>
  <c r="U1998" i="2"/>
  <c r="U785" i="2"/>
  <c r="U1528" i="2"/>
  <c r="U1688" i="2"/>
  <c r="U33" i="2"/>
  <c r="U1352" i="2"/>
  <c r="U869" i="2"/>
  <c r="U608" i="2"/>
  <c r="U1888" i="2"/>
  <c r="U393" i="2"/>
  <c r="U1816" i="2"/>
  <c r="U1522" i="2"/>
  <c r="U70" i="2"/>
  <c r="U79" i="2"/>
  <c r="U188" i="2"/>
  <c r="U64" i="2"/>
  <c r="U1319" i="2"/>
  <c r="U270" i="2"/>
  <c r="U1800" i="2"/>
  <c r="U1547" i="2"/>
  <c r="U555" i="2"/>
  <c r="U1132" i="2"/>
  <c r="U1602" i="2"/>
  <c r="U1266" i="2"/>
  <c r="U1038" i="2"/>
  <c r="U376" i="2"/>
  <c r="U264" i="2"/>
  <c r="U1533" i="2"/>
  <c r="U1612" i="2"/>
  <c r="U931" i="2"/>
  <c r="U282" i="2"/>
  <c r="U584" i="2"/>
  <c r="U106" i="2"/>
  <c r="U1367" i="2"/>
  <c r="U861" i="2"/>
  <c r="U480" i="2"/>
  <c r="U707" i="2"/>
  <c r="U1392" i="2"/>
  <c r="U1792" i="2"/>
  <c r="U1682" i="2"/>
  <c r="U918" i="2"/>
  <c r="U1130" i="2"/>
  <c r="U1702" i="2"/>
  <c r="U752" i="2"/>
  <c r="U925" i="2"/>
  <c r="U378" i="2"/>
  <c r="U191" i="2"/>
  <c r="U263" i="2"/>
  <c r="U1212" i="2"/>
  <c r="U254" i="2"/>
  <c r="U981" i="2"/>
  <c r="U1606" i="2"/>
  <c r="U1011" i="2"/>
  <c r="U117" i="2"/>
  <c r="U1305" i="2"/>
  <c r="U1977" i="2"/>
  <c r="U712" i="2"/>
  <c r="U695" i="2"/>
  <c r="U1028" i="2"/>
  <c r="U304" i="2"/>
  <c r="U16" i="2"/>
  <c r="U222" i="2"/>
  <c r="U607" i="2"/>
  <c r="U597" i="2"/>
  <c r="U456" i="2"/>
  <c r="U1695" i="2"/>
  <c r="U677" i="2"/>
  <c r="U207" i="2"/>
  <c r="U77" i="2"/>
  <c r="U521" i="2"/>
  <c r="U731" i="2"/>
  <c r="U1076" i="2"/>
  <c r="U1820" i="2"/>
  <c r="U1526" i="2"/>
  <c r="U1045" i="2"/>
  <c r="U874" i="2"/>
  <c r="U907" i="2"/>
  <c r="U955" i="2"/>
  <c r="U463" i="2"/>
  <c r="U436" i="2"/>
  <c r="U113" i="2"/>
  <c r="U1481" i="2"/>
  <c r="U870" i="2"/>
  <c r="U1042" i="2"/>
  <c r="U351" i="2"/>
  <c r="U1910" i="2"/>
  <c r="U1114" i="2"/>
  <c r="U1483" i="2"/>
  <c r="U358" i="2"/>
  <c r="U1024" i="2"/>
  <c r="U1723" i="2"/>
  <c r="U22" i="2"/>
  <c r="U751" i="2"/>
  <c r="U540" i="2"/>
  <c r="U47" i="2"/>
  <c r="U728" i="2"/>
  <c r="U319" i="2"/>
  <c r="U450" i="2"/>
  <c r="U681" i="2"/>
  <c r="U1174" i="2"/>
  <c r="U1631" i="2"/>
  <c r="U1849" i="2"/>
  <c r="U924" i="2"/>
  <c r="U1769" i="2"/>
  <c r="U1004" i="2"/>
  <c r="U115" i="2"/>
  <c r="U1709" i="2"/>
  <c r="U644" i="2"/>
  <c r="U1173" i="2"/>
  <c r="U443" i="2"/>
  <c r="U1422" i="2"/>
  <c r="U1693" i="2"/>
  <c r="U849" i="2"/>
  <c r="U788" i="2"/>
  <c r="U613" i="2"/>
  <c r="U758" i="2"/>
  <c r="U885" i="2"/>
  <c r="U574" i="2"/>
  <c r="U947" i="2"/>
  <c r="U710" i="2"/>
  <c r="U448" i="2"/>
  <c r="U920" i="2"/>
  <c r="U41" i="2"/>
  <c r="U170" i="2"/>
  <c r="U317" i="2"/>
  <c r="U1371" i="2"/>
  <c r="U1978" i="2"/>
  <c r="U551" i="2"/>
  <c r="U780" i="2"/>
  <c r="U257" i="2"/>
  <c r="U1169" i="2"/>
  <c r="U112" i="2"/>
  <c r="U18" i="2"/>
  <c r="U424" i="2"/>
  <c r="U526" i="2"/>
  <c r="U288" i="2"/>
  <c r="U1083" i="2"/>
  <c r="U1625" i="2"/>
  <c r="U1073" i="2"/>
  <c r="U847" i="2"/>
  <c r="U904" i="2"/>
  <c r="U1408" i="2"/>
  <c r="U95" i="2"/>
  <c r="U1017" i="2"/>
  <c r="U1774" i="2"/>
  <c r="U1855" i="2"/>
  <c r="U1776" i="2"/>
  <c r="U1379" i="2"/>
  <c r="U649" i="2"/>
  <c r="U1650" i="2"/>
  <c r="U144" i="2"/>
  <c r="U627" i="2"/>
  <c r="U1015" i="2"/>
  <c r="U1890" i="2"/>
  <c r="U1586" i="2"/>
  <c r="U442" i="2"/>
  <c r="U374" i="2"/>
  <c r="U532" i="2"/>
  <c r="U704" i="2"/>
  <c r="U1665" i="2"/>
  <c r="U835" i="2"/>
  <c r="U934" i="2"/>
  <c r="U493" i="2"/>
  <c r="U224" i="2"/>
  <c r="U1068" i="2"/>
  <c r="U13" i="2"/>
  <c r="U887" i="2"/>
  <c r="U1120" i="2"/>
  <c r="U155" i="2"/>
  <c r="U1655" i="2"/>
  <c r="U905" i="2"/>
  <c r="U1835" i="2"/>
  <c r="U830" i="2"/>
  <c r="U1063" i="2"/>
  <c r="U664" i="2"/>
  <c r="U1495" i="2"/>
  <c r="U1617" i="2"/>
  <c r="U1226" i="2"/>
  <c r="U1334" i="2"/>
  <c r="U200" i="2"/>
  <c r="U1407" i="2"/>
  <c r="U1197" i="2"/>
  <c r="U1724" i="2"/>
  <c r="U1089" i="2"/>
  <c r="U272" i="2"/>
  <c r="U760" i="2"/>
  <c r="U121" i="2"/>
  <c r="U554" i="2"/>
  <c r="U872" i="2"/>
  <c r="U667" i="2"/>
  <c r="U857" i="2"/>
  <c r="U247" i="2"/>
  <c r="U412" i="2"/>
  <c r="U1531" i="2"/>
  <c r="U1175" i="2"/>
  <c r="U1939" i="2"/>
  <c r="U683" i="2"/>
  <c r="U1080" i="2"/>
  <c r="U1211" i="2"/>
  <c r="U561" i="2"/>
  <c r="U216" i="2"/>
  <c r="U26" i="2"/>
  <c r="U1153" i="2"/>
  <c r="U629" i="2"/>
  <c r="U558" i="2"/>
  <c r="U252" i="2"/>
  <c r="U1309" i="2"/>
  <c r="U1251" i="2"/>
  <c r="U525" i="2"/>
  <c r="U776" i="2"/>
  <c r="U1718" i="2"/>
  <c r="U784" i="2"/>
  <c r="U1524" i="2"/>
  <c r="U1712" i="2"/>
  <c r="U1105" i="2"/>
  <c r="U670" i="2"/>
  <c r="U1779" i="2"/>
  <c r="U570" i="2"/>
  <c r="U473" i="2"/>
  <c r="U714" i="2"/>
  <c r="U1082" i="2"/>
  <c r="U1159" i="2"/>
  <c r="U348" i="2"/>
  <c r="U402" i="2"/>
  <c r="U44" i="2"/>
  <c r="U563" i="2"/>
  <c r="U1790" i="2"/>
  <c r="U706" i="2"/>
  <c r="U128" i="2"/>
  <c r="U1123" i="2"/>
  <c r="U1491" i="2"/>
  <c r="U93" i="2"/>
  <c r="U1103" i="2"/>
  <c r="U1538" i="2"/>
  <c r="U490" i="2"/>
  <c r="U389" i="2"/>
  <c r="U995" i="2"/>
  <c r="U1358" i="2"/>
  <c r="U680" i="2"/>
  <c r="U949" i="2"/>
  <c r="U624" i="2"/>
  <c r="U1171" i="2"/>
  <c r="U1382" i="2"/>
  <c r="U1643" i="2"/>
  <c r="U75" i="2"/>
  <c r="U1829" i="2"/>
  <c r="U689" i="2"/>
  <c r="U1750" i="2"/>
  <c r="U28" i="2"/>
  <c r="U1312" i="2"/>
  <c r="U859" i="2"/>
  <c r="U661" i="2"/>
  <c r="U1667" i="2"/>
  <c r="U980" i="2"/>
  <c r="U381" i="2"/>
  <c r="U1258" i="2"/>
  <c r="U397" i="2"/>
  <c r="U640" i="2"/>
  <c r="U804" i="2"/>
  <c r="U1608" i="2"/>
  <c r="U1324" i="2"/>
  <c r="U1031" i="2"/>
  <c r="U215" i="2"/>
  <c r="U1648" i="2"/>
  <c r="U398" i="2"/>
  <c r="U1121" i="2"/>
  <c r="U300" i="2"/>
  <c r="U1034" i="2"/>
  <c r="U1306" i="2"/>
  <c r="U260" i="2"/>
  <c r="U268" i="2"/>
  <c r="U1592" i="2"/>
  <c r="U1657" i="2"/>
  <c r="U430" i="2"/>
  <c r="U367" i="2"/>
  <c r="U318" i="2"/>
  <c r="U1051" i="2"/>
  <c r="U688" i="2"/>
  <c r="U605" i="2"/>
  <c r="U1440" i="2"/>
  <c r="U811" i="2"/>
  <c r="U1316" i="2"/>
  <c r="U494" i="2"/>
  <c r="U86" i="2"/>
  <c r="U1513" i="2"/>
  <c r="U1092" i="2"/>
  <c r="U850" i="2"/>
  <c r="U434" i="2"/>
  <c r="U1943" i="2"/>
  <c r="U1140" i="2"/>
  <c r="U1455" i="2"/>
  <c r="U1466" i="2"/>
  <c r="U592" i="2"/>
  <c r="U85" i="2"/>
  <c r="U385" i="2"/>
  <c r="U1959" i="2"/>
  <c r="U571" i="2"/>
  <c r="U1142" i="2"/>
  <c r="U964" i="2"/>
  <c r="U198" i="2"/>
  <c r="U1674" i="2"/>
  <c r="U518" i="2"/>
  <c r="U685" i="2"/>
  <c r="U1026" i="2"/>
  <c r="U668" i="2"/>
  <c r="U632" i="2"/>
  <c r="U421" i="2"/>
  <c r="U515" i="2"/>
  <c r="U965" i="2"/>
  <c r="U167" i="2"/>
  <c r="U1271" i="2"/>
  <c r="U675" i="2"/>
  <c r="U1354" i="2"/>
  <c r="U1615" i="2"/>
  <c r="U1293" i="2"/>
  <c r="U1805" i="2"/>
  <c r="U916" i="2"/>
  <c r="U183" i="2"/>
  <c r="U948" i="2"/>
  <c r="U344" i="2"/>
  <c r="U1708" i="2"/>
  <c r="U1804" i="2"/>
  <c r="U703" i="2"/>
  <c r="U1964" i="2"/>
  <c r="U1059" i="2"/>
  <c r="U1416" i="2"/>
  <c r="U1268" i="2"/>
  <c r="U1830" i="2"/>
  <c r="U996" i="2"/>
  <c r="U90" i="2"/>
  <c r="U886" i="2"/>
  <c r="U368" i="2"/>
  <c r="U1329" i="2"/>
  <c r="U187" i="2"/>
  <c r="U1147" i="2"/>
  <c r="U411" i="2"/>
  <c r="U76" i="2"/>
  <c r="U736" i="2"/>
  <c r="U645" i="2"/>
  <c r="U320" i="2"/>
  <c r="U218" i="2"/>
  <c r="U1204" i="2"/>
  <c r="U1583" i="2"/>
  <c r="U1432" i="2"/>
  <c r="U1421" i="2"/>
  <c r="U984" i="2"/>
  <c r="U560" i="2"/>
  <c r="U1585" i="2"/>
  <c r="U197" i="2"/>
  <c r="U915" i="2"/>
  <c r="U108" i="2"/>
  <c r="U1302" i="2"/>
  <c r="U1091" i="2"/>
  <c r="U204" i="2"/>
  <c r="U1745" i="2"/>
  <c r="U1474" i="2"/>
  <c r="U1919" i="2"/>
  <c r="U1403" i="2"/>
  <c r="U1386" i="2"/>
  <c r="U1322" i="2"/>
  <c r="U658" i="2"/>
  <c r="U275" i="2"/>
  <c r="U25" i="2"/>
  <c r="U158" i="2"/>
  <c r="U1807" i="2"/>
  <c r="U322" i="2"/>
  <c r="U164" i="2"/>
  <c r="U406" i="2"/>
  <c r="U127" i="2"/>
  <c r="U1885" i="2"/>
  <c r="U1391" i="2"/>
  <c r="U1333" i="2"/>
  <c r="U737" i="2"/>
  <c r="U1579" i="2"/>
  <c r="U773" i="2"/>
  <c r="U988" i="2"/>
  <c r="U1798" i="2"/>
  <c r="U205" i="2"/>
  <c r="U1782" i="2"/>
  <c r="U339" i="2"/>
  <c r="U1673" i="2"/>
  <c r="U1582" i="2"/>
  <c r="U89" i="2"/>
  <c r="U790" i="2"/>
  <c r="U595" i="2"/>
  <c r="U692" i="2"/>
  <c r="U315" i="2"/>
  <c r="U634" i="2"/>
  <c r="U49" i="2"/>
  <c r="U604" i="2"/>
  <c r="U1697" i="2"/>
  <c r="U169" i="2"/>
  <c r="U1409" i="2"/>
  <c r="U1377" i="2"/>
  <c r="U10" i="2"/>
  <c r="U1962" i="2"/>
  <c r="U38" i="2"/>
  <c r="U1012" i="2"/>
  <c r="U1918" i="2"/>
  <c r="U1565" i="2"/>
  <c r="U1195" i="2"/>
  <c r="U1755" i="2"/>
  <c r="U669" i="2"/>
  <c r="U495" i="2"/>
  <c r="U1742" i="2"/>
  <c r="U1224" i="2"/>
  <c r="U175" i="2"/>
  <c r="U552" i="2"/>
  <c r="U1008" i="2"/>
  <c r="U1040" i="2"/>
  <c r="U1057" i="2"/>
  <c r="U815" i="2"/>
  <c r="U637" i="2"/>
  <c r="U1338" i="2"/>
  <c r="U970" i="2"/>
  <c r="U901" i="2"/>
  <c r="U1677" i="2"/>
  <c r="U877" i="2"/>
  <c r="U82" i="2"/>
  <c r="U1453" i="2"/>
  <c r="U1530" i="2"/>
  <c r="U1644" i="2"/>
  <c r="U364" i="2"/>
  <c r="U309" i="2"/>
  <c r="U1765" i="2"/>
  <c r="U578" i="2"/>
  <c r="U1994" i="2"/>
  <c r="U1763" i="2"/>
  <c r="U195" i="2"/>
  <c r="U1479" i="2"/>
  <c r="U1894" i="2"/>
  <c r="U602" i="2"/>
  <c r="U1010" i="2"/>
  <c r="U1178" i="2"/>
  <c r="U1678" i="2"/>
  <c r="U1320" i="2"/>
  <c r="U1726" i="2"/>
  <c r="U1218" i="2"/>
  <c r="U1956" i="2"/>
  <c r="U132" i="2"/>
  <c r="U738" i="2"/>
  <c r="U101" i="2"/>
  <c r="U1950" i="2"/>
  <c r="U491" i="2"/>
  <c r="U1286" i="2"/>
  <c r="U427" i="2"/>
  <c r="U999" i="2"/>
  <c r="U296" i="2"/>
  <c r="U1743" i="2"/>
  <c r="U590" i="2"/>
  <c r="U1214" i="2"/>
  <c r="U1186" i="2"/>
  <c r="U417" i="2"/>
  <c r="U1788" i="2"/>
  <c r="U370" i="2"/>
  <c r="U589" i="2"/>
  <c r="U1652" i="2"/>
  <c r="U171" i="2"/>
  <c r="U828" i="2"/>
  <c r="U1958" i="2"/>
  <c r="U1360" i="2"/>
  <c r="U789" i="2"/>
  <c r="U1056" i="2"/>
  <c r="U759" i="2"/>
  <c r="U293" i="2"/>
  <c r="U577" i="2"/>
  <c r="U1540" i="2"/>
  <c r="U1220" i="2"/>
  <c r="U1345" i="2"/>
  <c r="U1478" i="2"/>
  <c r="U1101" i="2"/>
  <c r="U146" i="2"/>
  <c r="U1680" i="2"/>
  <c r="U1851" i="2"/>
  <c r="U479" i="2"/>
  <c r="U1396" i="2"/>
  <c r="U818" i="2"/>
  <c r="U878" i="2"/>
  <c r="U1701" i="2"/>
  <c r="U1054" i="2"/>
  <c r="U68" i="2"/>
  <c r="U524" i="2"/>
  <c r="U1112" i="2"/>
  <c r="U1289" i="2"/>
  <c r="U1148" i="2"/>
  <c r="U1368" i="2"/>
  <c r="U977" i="2"/>
  <c r="U1492" i="2"/>
  <c r="U1013" i="2"/>
  <c r="U615" i="2"/>
  <c r="U1446" i="2"/>
  <c r="U1868" i="2"/>
  <c r="U1552" i="2"/>
  <c r="U1001" i="2"/>
  <c r="U418" i="2"/>
  <c r="U1714" i="2"/>
  <c r="U42" i="2"/>
  <c r="U1111" i="2"/>
  <c r="U794" i="2"/>
  <c r="U609" i="2"/>
  <c r="U162" i="2"/>
  <c r="U1753" i="2"/>
  <c r="U1347" i="2"/>
  <c r="U951" i="2"/>
  <c r="U1922" i="2"/>
  <c r="U583" i="2"/>
  <c r="U105" i="2"/>
  <c r="U168" i="2"/>
  <c r="U1477" i="2"/>
  <c r="U287" i="2"/>
  <c r="U371" i="2"/>
  <c r="U69" i="2"/>
  <c r="U261" i="2"/>
  <c r="U516" i="2"/>
  <c r="U1066" i="2"/>
  <c r="U841" i="2"/>
  <c r="U1053" i="2"/>
  <c r="U1362" i="2"/>
  <c r="U324" i="2"/>
  <c r="U1292" i="2"/>
  <c r="U37" i="2"/>
  <c r="U126" i="2"/>
  <c r="U1912" i="2"/>
  <c r="U1661" i="2"/>
  <c r="U1932" i="2"/>
  <c r="U906" i="2"/>
  <c r="U2000" i="2"/>
  <c r="U963" i="2"/>
  <c r="U1746" i="2"/>
  <c r="U1378" i="2"/>
  <c r="U1789" i="2"/>
  <c r="U585" i="2"/>
  <c r="U544" i="2"/>
  <c r="U842" i="2"/>
  <c r="U1905" i="2"/>
  <c r="U420" i="2"/>
  <c r="U1838" i="2"/>
  <c r="U843" i="2"/>
  <c r="U1311" i="2"/>
  <c r="U377" i="2"/>
  <c r="U1418" i="2"/>
  <c r="U781" i="2"/>
  <c r="U863" i="2"/>
  <c r="U1647" i="2"/>
  <c r="U523" i="2"/>
  <c r="U503" i="2"/>
  <c r="U1295" i="2"/>
  <c r="U181" i="2"/>
  <c r="U1588" i="2"/>
  <c r="U943" i="2"/>
  <c r="U345" i="2"/>
  <c r="U423" i="2"/>
  <c r="U1979" i="2"/>
  <c r="U971" i="2"/>
  <c r="U1489" i="2"/>
  <c r="U1525" i="2"/>
  <c r="U866" i="2"/>
  <c r="U55" i="2"/>
  <c r="U328" i="2"/>
  <c r="U177" i="2"/>
  <c r="U1047" i="2"/>
  <c r="U110" i="2"/>
  <c r="U481" i="2"/>
  <c r="U467" i="2"/>
  <c r="U1938" i="2"/>
  <c r="U770" i="2"/>
  <c r="U1936" i="2"/>
  <c r="U1454" i="2"/>
  <c r="U1597" i="2"/>
  <c r="U1734" i="2"/>
  <c r="U1952" i="2"/>
  <c r="U1061" i="2"/>
  <c r="U936" i="2"/>
  <c r="U1539" i="2"/>
  <c r="U194" i="2"/>
  <c r="U1310" i="2"/>
  <c r="U1472" i="2"/>
  <c r="U454" i="2"/>
  <c r="U1799" i="2"/>
  <c r="U1216" i="2"/>
  <c r="U61" i="2"/>
  <c r="U1558" i="2"/>
  <c r="U1465" i="2"/>
  <c r="U1671" i="2"/>
  <c r="U31" i="2"/>
  <c r="U1728" i="2"/>
  <c r="U1611" i="2"/>
  <c r="U335" i="2"/>
  <c r="U149" i="2"/>
  <c r="U214" i="2"/>
  <c r="U1434" i="2"/>
  <c r="U1758" i="2"/>
  <c r="U166" i="2"/>
  <c r="U1078" i="2"/>
  <c r="U1639" i="2"/>
  <c r="U636" i="2"/>
  <c r="U234" i="2"/>
  <c r="U633" i="2"/>
  <c r="U550" i="2"/>
  <c r="U701" i="2"/>
  <c r="U628" i="2"/>
  <c r="U748" i="2"/>
  <c r="U535" i="2"/>
  <c r="U765" i="2"/>
  <c r="U259" i="2"/>
  <c r="U1970" i="2"/>
  <c r="U1461" i="2"/>
  <c r="U1966" i="2"/>
  <c r="U131" i="2"/>
  <c r="U625" i="2"/>
  <c r="U157" i="2"/>
  <c r="U46" i="2"/>
  <c r="U1908" i="2"/>
  <c r="U147" i="2"/>
  <c r="U87" i="2"/>
  <c r="U1349" i="2"/>
  <c r="U1260" i="2"/>
  <c r="U1244" i="2"/>
  <c r="U1992" i="2"/>
  <c r="U1620" i="2"/>
  <c r="U569" i="2"/>
  <c r="U1507" i="2"/>
  <c r="U1833" i="2"/>
  <c r="U1280" i="2"/>
  <c r="U329" i="2"/>
  <c r="U1018" i="2"/>
  <c r="U1124" i="2"/>
  <c r="U719" i="2"/>
  <c r="U1104" i="2"/>
  <c r="U881" i="2"/>
  <c r="U1898" i="2"/>
  <c r="U674" i="2"/>
  <c r="U56" i="2"/>
  <c r="U898" i="2"/>
  <c r="U740" i="2"/>
  <c r="U858" i="2"/>
  <c r="U1399" i="2"/>
  <c r="U705" i="2"/>
  <c r="U1604" i="2"/>
  <c r="U1842" i="2"/>
  <c r="U991" i="2"/>
  <c r="U1294" i="2"/>
  <c r="U1039" i="2"/>
  <c r="U1326" i="2"/>
  <c r="U940" i="2"/>
  <c r="U950" i="2"/>
  <c r="U746" i="2"/>
  <c r="U1401" i="2"/>
  <c r="U1150" i="2"/>
  <c r="U1340" i="2"/>
  <c r="U974" i="2"/>
  <c r="U508" i="2"/>
  <c r="U1874" i="2"/>
  <c r="U876" i="2"/>
  <c r="U24" i="2"/>
  <c r="U1861" i="2"/>
  <c r="U1131" i="2"/>
  <c r="U340" i="2"/>
  <c r="U672" i="2"/>
  <c r="U840" i="2"/>
  <c r="U1369" i="2"/>
  <c r="U8" i="2"/>
  <c r="U730" i="2"/>
  <c r="U1452" i="2"/>
  <c r="U29" i="2"/>
  <c r="U1699" i="2"/>
  <c r="U581" i="2"/>
  <c r="U1593" i="2"/>
  <c r="U1146" i="2"/>
  <c r="U1736" i="2"/>
  <c r="U1668" i="2"/>
  <c r="U1383" i="2"/>
  <c r="U1250" i="2"/>
  <c r="U851" i="2"/>
  <c r="U614" i="2"/>
  <c r="U1254" i="2"/>
  <c r="U1645" i="2"/>
  <c r="U1049" i="2"/>
  <c r="U1738" i="2"/>
  <c r="U1642" i="2"/>
  <c r="U1424" i="2"/>
  <c r="U1084" i="2"/>
  <c r="U1760" i="2"/>
  <c r="U1240" i="2"/>
  <c r="U1821" i="2"/>
  <c r="U671" i="2"/>
  <c r="U1506" i="2"/>
  <c r="U99" i="2"/>
  <c r="U1686" i="2"/>
  <c r="U278" i="2"/>
  <c r="U435" i="2"/>
  <c r="U1543" i="2"/>
  <c r="U1095" i="2"/>
  <c r="U699" i="2"/>
  <c r="U51" i="2"/>
  <c r="U1775" i="2"/>
  <c r="U582" i="2"/>
  <c r="U653" i="2"/>
  <c r="U1359" i="2"/>
  <c r="U1567" i="2"/>
  <c r="U1127" i="2"/>
  <c r="U1161" i="2"/>
  <c r="U307" i="2"/>
  <c r="U1234" i="2"/>
  <c r="U1272" i="2"/>
  <c r="U580" i="2"/>
  <c r="U1801" i="2"/>
  <c r="U1803" i="2"/>
  <c r="U67" i="2"/>
  <c r="U1046" i="2"/>
  <c r="U211" i="2"/>
  <c r="U741" i="2"/>
  <c r="U972" i="2"/>
  <c r="U979" i="2"/>
  <c r="U1242" i="2"/>
  <c r="U1381" i="2"/>
  <c r="U1848" i="2"/>
  <c r="U474" i="2"/>
  <c r="U1827" i="2"/>
  <c r="U1577" i="2"/>
  <c r="U676" i="2"/>
  <c r="U298" i="2"/>
  <c r="U1405" i="2"/>
  <c r="U1444" i="2"/>
  <c r="U485" i="2"/>
  <c r="U237" i="2"/>
  <c r="U1624" i="2"/>
  <c r="U1336" i="2"/>
  <c r="U139" i="2"/>
  <c r="U1634" i="2"/>
  <c r="U1165" i="2"/>
  <c r="U1022" i="2"/>
  <c r="U543" i="2"/>
  <c r="U1102" i="2"/>
  <c r="U802" i="2"/>
  <c r="U243" i="2"/>
  <c r="U1664" i="2"/>
  <c r="U208" i="2"/>
  <c r="U1900" i="2"/>
  <c r="U1269" i="2"/>
  <c r="U232" i="2"/>
  <c r="U1903" i="2"/>
  <c r="U1719" i="2"/>
  <c r="U1995" i="2"/>
  <c r="U932" i="2"/>
  <c r="U557" i="2"/>
  <c r="U1683" i="2"/>
  <c r="U793" i="2"/>
  <c r="U1451" i="2"/>
  <c r="U1313" i="2"/>
  <c r="U1243" i="2"/>
  <c r="U499" i="2"/>
  <c r="U755" i="2"/>
  <c r="U698" i="2"/>
  <c r="U1050" i="2"/>
  <c r="U1450" i="2"/>
  <c r="U718" i="2"/>
  <c r="U92" i="2"/>
  <c r="U477" i="2"/>
  <c r="U1933" i="2"/>
  <c r="U976" i="2"/>
  <c r="U125" i="2"/>
  <c r="U1248" i="2"/>
  <c r="U1965" i="2"/>
  <c r="U1245" i="2"/>
  <c r="U663" i="2"/>
  <c r="U1321" i="2"/>
  <c r="U1837" i="2"/>
  <c r="U797" i="2"/>
  <c r="U539" i="2"/>
  <c r="U620" i="2"/>
  <c r="U1463" i="2"/>
  <c r="U1545" i="2"/>
  <c r="U1118" i="2"/>
  <c r="U1913" i="2"/>
  <c r="U1423" i="2"/>
  <c r="U1394" i="2"/>
  <c r="U1390" i="2"/>
  <c r="U973" i="2"/>
  <c r="U235" i="2"/>
  <c r="U74" i="2"/>
  <c r="U832" i="2"/>
  <c r="U330" i="2"/>
  <c r="U1304" i="2"/>
  <c r="U926" i="2"/>
  <c r="U1740" i="2"/>
  <c r="U1864" i="2"/>
  <c r="U1897" i="2"/>
  <c r="U1554" i="2"/>
  <c r="U660" i="2"/>
  <c r="U1397" i="2"/>
  <c r="U305" i="2"/>
  <c r="U777" i="2"/>
  <c r="U1721" i="2"/>
  <c r="U522" i="2"/>
  <c r="U502" i="2"/>
  <c r="U391" i="2"/>
  <c r="U1656" i="2"/>
  <c r="U1752" i="2"/>
  <c r="U1238" i="2"/>
  <c r="U1283" i="2"/>
  <c r="U1749" i="2"/>
  <c r="U244" i="2"/>
  <c r="U1282" i="2"/>
  <c r="U1364" i="2"/>
  <c r="U610" i="2"/>
  <c r="U286" i="2"/>
  <c r="U410" i="2"/>
  <c r="U148" i="2"/>
  <c r="U1467" i="2"/>
  <c r="U646" i="2"/>
  <c r="U45" i="2"/>
  <c r="U1134" i="2"/>
  <c r="U1556" i="2"/>
  <c r="U470" i="2"/>
  <c r="U1179" i="2"/>
  <c r="U186" i="2"/>
  <c r="U136" i="2"/>
  <c r="U4" i="2"/>
  <c r="U34" i="2"/>
  <c r="U838" i="2"/>
  <c r="U462" i="2"/>
  <c r="U1014" i="2"/>
  <c r="U1335" i="2"/>
  <c r="U1016" i="2"/>
  <c r="U507" i="2"/>
  <c r="T1707" i="2"/>
  <c r="T687" i="2"/>
  <c r="T756" i="2"/>
  <c r="T1410" i="2"/>
  <c r="T1097" i="2"/>
  <c r="T1972" i="2"/>
  <c r="T1935" i="2"/>
  <c r="T1136" i="2"/>
  <c r="T1190" i="2"/>
  <c r="T290" i="2"/>
  <c r="T903" i="2"/>
  <c r="T447" i="2"/>
  <c r="T413" i="2"/>
  <c r="T1822" i="2"/>
  <c r="T62" i="2"/>
  <c r="T1920" i="2"/>
  <c r="T1941" i="2"/>
  <c r="T769" i="2"/>
  <c r="T1415" i="2"/>
  <c r="T217" i="2"/>
  <c r="T356" i="2"/>
  <c r="T1459" i="2"/>
  <c r="T1485" i="2"/>
  <c r="T7" i="2"/>
  <c r="T180" i="2"/>
  <c r="T888" i="2"/>
  <c r="T1246" i="2"/>
  <c r="T1717" i="2"/>
  <c r="T1971" i="2"/>
  <c r="T122" i="2"/>
  <c r="T1787" i="2"/>
  <c r="T1512" i="2"/>
  <c r="T1301" i="2"/>
  <c r="T441" i="2"/>
  <c r="T1986" i="2"/>
  <c r="T1020" i="2"/>
  <c r="T1330" i="2"/>
  <c r="T1825" i="2"/>
  <c r="T726" i="2"/>
  <c r="T1618" i="2"/>
  <c r="T1052" i="2"/>
  <c r="T140" i="2"/>
  <c r="T1402" i="2"/>
  <c r="T587" i="2"/>
  <c r="T1262" i="2"/>
  <c r="T575" i="2"/>
  <c r="T1480" i="2"/>
  <c r="T1860" i="2"/>
  <c r="T834" i="2"/>
  <c r="T1927" i="2"/>
  <c r="T1578" i="2"/>
  <c r="T909" i="2"/>
  <c r="T1916" i="2"/>
  <c r="T313" i="2"/>
  <c r="T1516" i="2"/>
  <c r="T1122" i="2"/>
  <c r="T1299" i="2"/>
  <c r="T1818" i="2"/>
  <c r="T1182" i="2"/>
  <c r="T1974" i="2"/>
  <c r="T1691" i="2"/>
  <c r="T123" i="2"/>
  <c r="T349" i="2"/>
  <c r="T1447" i="2"/>
  <c r="T1344" i="2"/>
  <c r="T586" i="2"/>
  <c r="T1431" i="2"/>
  <c r="T1235" i="2"/>
  <c r="T482" i="2"/>
  <c r="T1202" i="2"/>
  <c r="T185" i="2"/>
  <c r="T1027" i="2"/>
  <c r="T1587" i="2"/>
  <c r="T897" i="2"/>
  <c r="T245" i="2"/>
  <c r="T567" i="2"/>
  <c r="T1241" i="2"/>
  <c r="T1229" i="2"/>
  <c r="T1125" i="2"/>
  <c r="T1777" i="2"/>
  <c r="T1230" i="2"/>
  <c r="T63" i="2"/>
  <c r="T1488" i="2"/>
  <c r="T1086" i="2"/>
  <c r="T1192" i="2"/>
  <c r="T1542" i="2"/>
  <c r="T1436" i="2"/>
  <c r="T346" i="2"/>
  <c r="T249" i="2"/>
  <c r="T1228" i="2"/>
  <c r="T1449" i="2"/>
  <c r="T488" i="2"/>
  <c r="T283" i="2"/>
  <c r="T1445" i="2"/>
  <c r="T1267" i="2"/>
  <c r="T325" i="2"/>
  <c r="T806" i="2"/>
  <c r="T380" i="2"/>
  <c r="T882" i="2"/>
  <c r="T176" i="2"/>
  <c r="T297" i="2"/>
  <c r="T1323" i="2"/>
  <c r="T1762" i="2"/>
  <c r="T1041" i="2"/>
  <c r="T1285" i="2"/>
  <c r="T1249" i="2"/>
  <c r="T734" i="2"/>
  <c r="T489" i="2"/>
  <c r="T1065" i="2"/>
  <c r="T291" i="2"/>
  <c r="T1505" i="2"/>
  <c r="T1325" i="2"/>
  <c r="T415" i="2"/>
  <c r="T1129" i="2"/>
  <c r="T1499" i="2"/>
  <c r="T1551" i="2"/>
  <c r="T202" i="2"/>
  <c r="T203" i="2"/>
  <c r="T1476" i="2"/>
  <c r="T302" i="2"/>
  <c r="T1508" i="2"/>
  <c r="T1029" i="2"/>
  <c r="T1882" i="2"/>
  <c r="T626" i="2"/>
  <c r="T327" i="2"/>
  <c r="T1607" i="2"/>
  <c r="T334" i="2"/>
  <c r="T1521" i="2"/>
  <c r="T622" i="2"/>
  <c r="T492" i="2"/>
  <c r="T930" i="2"/>
  <c r="T1737" i="2"/>
  <c r="T845" i="2"/>
  <c r="T1730" i="2"/>
  <c r="T919" i="2"/>
  <c r="T910" i="2"/>
  <c r="T783" i="2"/>
  <c r="T179" i="2"/>
  <c r="T174" i="2"/>
  <c r="T239" i="2"/>
  <c r="T564" i="2"/>
  <c r="T512" i="2"/>
  <c r="T1520" i="2"/>
  <c r="T803" i="2"/>
  <c r="T1315" i="2"/>
  <c r="T1288" i="2"/>
  <c r="T1733" i="2"/>
  <c r="T438" i="2"/>
  <c r="T1654" i="2"/>
  <c r="T989" i="2"/>
  <c r="T1284" i="2"/>
  <c r="T556" i="2"/>
  <c r="T457" i="2"/>
  <c r="T1232" i="2"/>
  <c r="T553" i="2"/>
  <c r="T1810" i="2"/>
  <c r="T545" i="2"/>
  <c r="T652" i="2"/>
  <c r="T1949" i="2"/>
  <c r="T743" i="2"/>
  <c r="T744" i="2"/>
  <c r="T103" i="2"/>
  <c r="T1023" i="2"/>
  <c r="T700" i="2"/>
  <c r="T621" i="2"/>
  <c r="T1873" i="2"/>
  <c r="T1981" i="2"/>
  <c r="T1663" i="2"/>
  <c r="T1138" i="2"/>
  <c r="T1498" i="2"/>
  <c r="T862" i="2"/>
  <c r="T1942" i="2"/>
  <c r="T88" i="2"/>
  <c r="T1279" i="2"/>
  <c r="T1996" i="2"/>
  <c r="T1828" i="2"/>
  <c r="T1635" i="2"/>
  <c r="T600" i="2"/>
  <c r="T1902" i="2"/>
  <c r="T1043" i="2"/>
  <c r="T153" i="2"/>
  <c r="T1896" i="2"/>
  <c r="T1853" i="2"/>
  <c r="T911" i="2"/>
  <c r="T1144" i="2"/>
  <c r="T1210" i="2"/>
  <c r="T1033" i="2"/>
  <c r="T509" i="2"/>
  <c r="T807" i="2"/>
  <c r="T635" i="2"/>
  <c r="T1145" i="2"/>
  <c r="T1878" i="2"/>
  <c r="T1536" i="2"/>
  <c r="T337" i="2"/>
  <c r="T20" i="2"/>
  <c r="T1553" i="2"/>
  <c r="T1079" i="2"/>
  <c r="T279" i="2"/>
  <c r="T1433" i="2"/>
  <c r="T927" i="2"/>
  <c r="T1884" i="2"/>
  <c r="T665" i="2"/>
  <c r="T673" i="2"/>
  <c r="T631" i="2"/>
  <c r="T1062" i="2"/>
  <c r="T1700" i="2"/>
  <c r="T1840" i="2"/>
  <c r="T353" i="2"/>
  <c r="T1298" i="2"/>
  <c r="T612" i="2"/>
  <c r="T821" i="2"/>
  <c r="T643" i="2"/>
  <c r="T1960" i="2"/>
  <c r="T1108" i="2"/>
  <c r="T273" i="2"/>
  <c r="T1843" i="2"/>
  <c r="T72" i="2"/>
  <c r="T1361" i="2"/>
  <c r="T686" i="2"/>
  <c r="T1704" i="2"/>
  <c r="T739" i="2"/>
  <c r="T400" i="2"/>
  <c r="T1613" i="2"/>
  <c r="T1032" i="2"/>
  <c r="T1921" i="2"/>
  <c r="T998" i="2"/>
  <c r="T922" i="2"/>
  <c r="T1185" i="2"/>
  <c r="T1915" i="2"/>
  <c r="T130" i="2"/>
  <c r="T109" i="2"/>
  <c r="T786" i="2"/>
  <c r="T1496" i="2"/>
  <c r="T414" i="2"/>
  <c r="T15" i="2"/>
  <c r="T1563" i="2"/>
  <c r="T1149" i="2"/>
  <c r="T983" i="2"/>
  <c r="T1189" i="2"/>
  <c r="T1442" i="2"/>
  <c r="T314" i="2"/>
  <c r="T722" i="2"/>
  <c r="T1119" i="2"/>
  <c r="T1199" i="2"/>
  <c r="T1759" i="2"/>
  <c r="T1675" i="2"/>
  <c r="T1494" i="2"/>
  <c r="T1222" i="2"/>
  <c r="T814" i="2"/>
  <c r="T1532" i="2"/>
  <c r="T1811" i="2"/>
  <c r="T71" i="2"/>
  <c r="T827" i="2"/>
  <c r="T1944" i="2"/>
  <c r="T1694" i="2"/>
  <c r="T1658" i="2"/>
  <c r="T1501" i="2"/>
  <c r="T161" i="2"/>
  <c r="T1802" i="2"/>
  <c r="T242" i="2"/>
  <c r="T1172" i="2"/>
  <c r="T229" i="2"/>
  <c r="T691" i="2"/>
  <c r="T894" i="2"/>
  <c r="T812" i="2"/>
  <c r="T1221" i="2"/>
  <c r="T1797" i="2"/>
  <c r="T458" i="2"/>
  <c r="T199" i="2"/>
  <c r="T1619" i="2"/>
  <c r="T928" i="2"/>
  <c r="T1152" i="2"/>
  <c r="T1636" i="2"/>
  <c r="T891" i="2"/>
  <c r="T404" i="2"/>
  <c r="T452" i="2"/>
  <c r="T648" i="2"/>
  <c r="T1713" i="2"/>
  <c r="T1651" i="2"/>
  <c r="T1529" i="2"/>
  <c r="T591" i="2"/>
  <c r="T537" i="2"/>
  <c r="T1337" i="2"/>
  <c r="T650" i="2"/>
  <c r="T630" i="2"/>
  <c r="T19" i="2"/>
  <c r="T476" i="2"/>
  <c r="T659" i="2"/>
  <c r="T1715" i="2"/>
  <c r="T745" i="2"/>
  <c r="T1703" i="2"/>
  <c r="T129" i="2"/>
  <c r="T118" i="2"/>
  <c r="T860" i="2"/>
  <c r="T733" i="2"/>
  <c r="T1847" i="2"/>
  <c r="T57" i="2"/>
  <c r="T154" i="2"/>
  <c r="T341" i="2"/>
  <c r="T73" i="2"/>
  <c r="T708" i="2"/>
  <c r="T868" i="2"/>
  <c r="T1887" i="2"/>
  <c r="T1771" i="2"/>
  <c r="T12" i="2"/>
  <c r="T538" i="2"/>
  <c r="T1660" i="2"/>
  <c r="T1469" i="2"/>
  <c r="T1514" i="2"/>
  <c r="T895" i="2"/>
  <c r="T510" i="2"/>
  <c r="T431" i="2"/>
  <c r="T1482" i="2"/>
  <c r="T1546" i="2"/>
  <c r="T969" i="2"/>
  <c r="T386" i="2"/>
  <c r="T1067" i="2"/>
  <c r="T1156" i="2"/>
  <c r="T960" i="2"/>
  <c r="T1603" i="2"/>
  <c r="T1035" i="2"/>
  <c r="T1783" i="2"/>
  <c r="T1794" i="2"/>
  <c r="T1116" i="2"/>
  <c r="T1006" i="2"/>
  <c r="T1473" i="2"/>
  <c r="T527" i="2"/>
  <c r="T1458" i="2"/>
  <c r="T1584" i="2"/>
  <c r="T469" i="2"/>
  <c r="T716" i="2"/>
  <c r="T531" i="2"/>
  <c r="T519" i="2"/>
  <c r="T912" i="2"/>
  <c r="T1982" i="2"/>
  <c r="T1376" i="2"/>
  <c r="T800" i="2"/>
  <c r="T1274" i="2"/>
  <c r="T1880" i="2"/>
  <c r="T1456" i="2"/>
  <c r="T562" i="2"/>
  <c r="T1561" i="2"/>
  <c r="T428" i="2"/>
  <c r="T98" i="2"/>
  <c r="T1955" i="2"/>
  <c r="T1891" i="2"/>
  <c r="T1030" i="2"/>
  <c r="T189" i="2"/>
  <c r="T1705" i="2"/>
  <c r="T1976" i="2"/>
  <c r="T422" i="2"/>
  <c r="T1877" i="2"/>
  <c r="T1290" i="2"/>
  <c r="T1761" i="2"/>
  <c r="T1468" i="2"/>
  <c r="T1616" i="2"/>
  <c r="T1640" i="2"/>
  <c r="T871" i="2"/>
  <c r="T409" i="2"/>
  <c r="T1732" i="2"/>
  <c r="T1070" i="2"/>
  <c r="T1901" i="2"/>
  <c r="T471" i="2"/>
  <c r="T111" i="2"/>
  <c r="T1823" i="2"/>
  <c r="T1236" i="2"/>
  <c r="T1824" i="2"/>
  <c r="T1188" i="2"/>
  <c r="T407" i="2"/>
  <c r="T978" i="2"/>
  <c r="T1113" i="2"/>
  <c r="T1343" i="2"/>
  <c r="T220" i="2"/>
  <c r="T209" i="2"/>
  <c r="T908" i="2"/>
  <c r="T1355" i="2"/>
  <c r="T1500" i="2"/>
  <c r="T1626" i="2"/>
  <c r="T295" i="2"/>
  <c r="T618" i="2"/>
  <c r="T310" i="2"/>
  <c r="T1162" i="2"/>
  <c r="T416" i="2"/>
  <c r="T873" i="2"/>
  <c r="T1219" i="2"/>
  <c r="T1948" i="2"/>
  <c r="T338" i="2"/>
  <c r="T529" i="2"/>
  <c r="T1464" i="2"/>
  <c r="T501" i="2"/>
  <c r="T799" i="2"/>
  <c r="T1934" i="2"/>
  <c r="T1566" i="2"/>
  <c r="T1881" i="2"/>
  <c r="T446" i="2"/>
  <c r="T104" i="2"/>
  <c r="T1757" i="2"/>
  <c r="T97" i="2"/>
  <c r="T771" i="2"/>
  <c r="T750" i="2"/>
  <c r="T274" i="2"/>
  <c r="T1571" i="2"/>
  <c r="T1784" i="2"/>
  <c r="T138" i="2"/>
  <c r="T1475" i="2"/>
  <c r="T256" i="2"/>
  <c r="T241" i="2"/>
  <c r="T1772" i="2"/>
  <c r="T487" i="2"/>
  <c r="T782" i="2"/>
  <c r="T711" i="2"/>
  <c r="T350" i="2"/>
  <c r="T837" i="2"/>
  <c r="T1871" i="2"/>
  <c r="T1372" i="2"/>
  <c r="T165" i="2"/>
  <c r="T606" i="2"/>
  <c r="T210" i="2"/>
  <c r="T1990" i="2"/>
  <c r="T768" i="2"/>
  <c r="T1735" i="2"/>
  <c r="T1923" i="2"/>
  <c r="T1780" i="2"/>
  <c r="T21" i="2"/>
  <c r="T1203" i="2"/>
  <c r="T929" i="2"/>
  <c r="T1471" i="2"/>
  <c r="T899" i="2"/>
  <c r="T359" i="2"/>
  <c r="T1328" i="2"/>
  <c r="T902" i="2"/>
  <c r="T1074" i="2"/>
  <c r="T230" i="2"/>
  <c r="T253" i="2"/>
  <c r="T767" i="2"/>
  <c r="T1164" i="2"/>
  <c r="T1796" i="2"/>
  <c r="T1515" i="2"/>
  <c r="T145" i="2"/>
  <c r="T598" i="2"/>
  <c r="T1594" i="2"/>
  <c r="T1831" i="2"/>
  <c r="T1865" i="2"/>
  <c r="T1809" i="2"/>
  <c r="T1373" i="2"/>
  <c r="T1857" i="2"/>
  <c r="T299" i="2"/>
  <c r="T1591" i="2"/>
  <c r="T1548" i="2"/>
  <c r="T1768" i="2"/>
  <c r="T883" i="2"/>
  <c r="T383" i="2"/>
  <c r="T1425" i="2"/>
  <c r="T1814" i="2"/>
  <c r="T565" i="2"/>
  <c r="T1351" i="2"/>
  <c r="T246" i="2"/>
  <c r="T1227" i="2"/>
  <c r="T867" i="2"/>
  <c r="T1641" i="2"/>
  <c r="T1806" i="2"/>
  <c r="T84" i="2"/>
  <c r="T262" i="2"/>
  <c r="T1239" i="2"/>
  <c r="T764" i="2"/>
  <c r="T58" i="2"/>
  <c r="T1914" i="2"/>
  <c r="T611" i="2"/>
  <c r="T100" i="2"/>
  <c r="T536" i="2"/>
  <c r="T1460" i="2"/>
  <c r="T451" i="2"/>
  <c r="T958" i="2"/>
  <c r="T60" i="2"/>
  <c r="T439" i="2"/>
  <c r="T1544" i="2"/>
  <c r="T647" i="2"/>
  <c r="T900" i="2"/>
  <c r="T754" i="2"/>
  <c r="T1205" i="2"/>
  <c r="T1413" i="2"/>
  <c r="T727" i="2"/>
  <c r="T1511" i="2"/>
  <c r="T1128" i="2"/>
  <c r="T1904" i="2"/>
  <c r="T1510" i="2"/>
  <c r="T1167" i="2"/>
  <c r="T1856" i="2"/>
  <c r="T182" i="2"/>
  <c r="T1696" i="2"/>
  <c r="T656" i="2"/>
  <c r="T1987" i="2"/>
  <c r="T1560" i="2"/>
  <c r="T1946" i="2"/>
  <c r="T1711" i="2"/>
  <c r="T1196" i="2"/>
  <c r="T23" i="2"/>
  <c r="T192" i="2"/>
  <c r="T1926" i="2"/>
  <c r="T96" i="2"/>
  <c r="T1428" i="2"/>
  <c r="T460" i="2"/>
  <c r="T1398" i="2"/>
  <c r="T119" i="2"/>
  <c r="T530" i="2"/>
  <c r="T1429" i="2"/>
  <c r="T805" i="2"/>
  <c r="T219" i="2"/>
  <c r="T709" i="2"/>
  <c r="T355" i="2"/>
  <c r="T375" i="2"/>
  <c r="T1850" i="2"/>
  <c r="T817" i="2"/>
  <c r="T1395" i="2"/>
  <c r="T133" i="2"/>
  <c r="T593" i="2"/>
  <c r="T1731" i="2"/>
  <c r="T576" i="2"/>
  <c r="T426" i="2"/>
  <c r="T396" i="2"/>
  <c r="T572" i="2"/>
  <c r="T1370" i="2"/>
  <c r="T1756" i="2"/>
  <c r="T360" i="2"/>
  <c r="T184" i="2"/>
  <c r="T1200" i="2"/>
  <c r="T228" i="2"/>
  <c r="T1858" i="2"/>
  <c r="T517" i="2"/>
  <c r="T1443" i="2"/>
  <c r="T1649" i="2"/>
  <c r="T1629" i="2"/>
  <c r="T1605" i="2"/>
  <c r="T775" i="2"/>
  <c r="T588" i="2"/>
  <c r="T573" i="2"/>
  <c r="T763" i="2"/>
  <c r="T1666" i="2"/>
  <c r="T511" i="2"/>
  <c r="T1163" i="2"/>
  <c r="T1181" i="2"/>
  <c r="T1327" i="2"/>
  <c r="T968" i="2"/>
  <c r="T1609" i="2"/>
  <c r="T1273" i="2"/>
  <c r="T1581" i="2"/>
  <c r="T303" i="2"/>
  <c r="T425" i="2"/>
  <c r="T945" i="2"/>
  <c r="T913" i="2"/>
  <c r="T419" i="2"/>
  <c r="T690" i="2"/>
  <c r="T429" i="2"/>
  <c r="T141" i="2"/>
  <c r="T1793" i="2"/>
  <c r="T546" i="2"/>
  <c r="T151" i="2"/>
  <c r="T332" i="2"/>
  <c r="T982" i="2"/>
  <c r="T331" i="2"/>
  <c r="T265" i="2"/>
  <c r="T542" i="2"/>
  <c r="T255" i="2"/>
  <c r="T1684" i="2"/>
  <c r="T1589" i="2"/>
  <c r="T879" i="2"/>
  <c r="T478" i="2"/>
  <c r="T116" i="2"/>
  <c r="T1198" i="2"/>
  <c r="T408" i="2"/>
  <c r="T1486" i="2"/>
  <c r="T1764" i="2"/>
  <c r="T1170" i="2"/>
  <c r="T384" i="2"/>
  <c r="T285" i="2"/>
  <c r="T1126" i="2"/>
  <c r="T1866" i="2"/>
  <c r="T326" i="2"/>
  <c r="T893" i="2"/>
  <c r="T956" i="2"/>
  <c r="T1207" i="2"/>
  <c r="T468" i="2"/>
  <c r="T723" i="2"/>
  <c r="T808" i="2"/>
  <c r="T1633" i="2"/>
  <c r="T1096" i="2"/>
  <c r="T715" i="2"/>
  <c r="T1570" i="2"/>
  <c r="T347" i="2"/>
  <c r="T1573" i="2"/>
  <c r="T342" i="2"/>
  <c r="T961" i="2"/>
  <c r="T839" i="2"/>
  <c r="T388" i="2"/>
  <c r="T1346" i="2"/>
  <c r="T1975" i="2"/>
  <c r="T1925" i="2"/>
  <c r="T1176" i="2"/>
  <c r="T1110" i="2"/>
  <c r="T1223" i="2"/>
  <c r="T17" i="2"/>
  <c r="T798" i="2"/>
  <c r="T1795" i="2"/>
  <c r="T694" i="2"/>
  <c r="T1151" i="2"/>
  <c r="T102" i="2"/>
  <c r="T619" i="2"/>
  <c r="T816" i="2"/>
  <c r="T801" i="2"/>
  <c r="T1535" i="2"/>
  <c r="T53" i="2"/>
  <c r="T1575" i="2"/>
  <c r="T445" i="2"/>
  <c r="T1374" i="2"/>
  <c r="T1541" i="2"/>
  <c r="T933" i="2"/>
  <c r="T1599" i="2"/>
  <c r="T1275" i="2"/>
  <c r="T444" i="2"/>
  <c r="T757" i="2"/>
  <c r="T231" i="2"/>
  <c r="T1143" i="2"/>
  <c r="T27" i="2"/>
  <c r="T120" i="2"/>
  <c r="T616" i="2"/>
  <c r="T1088" i="2"/>
  <c r="T513" i="2"/>
  <c r="T506" i="2"/>
  <c r="T1569" i="2"/>
  <c r="T853" i="2"/>
  <c r="T1307" i="2"/>
  <c r="T942" i="2"/>
  <c r="T1077" i="2"/>
  <c r="T1411" i="2"/>
  <c r="T1060" i="2"/>
  <c r="T3" i="2"/>
  <c r="T1911" i="2"/>
  <c r="T990" i="2"/>
  <c r="T14" i="2"/>
  <c r="T1907" i="2"/>
  <c r="T156" i="2"/>
  <c r="T880" i="2"/>
  <c r="T939" i="2"/>
  <c r="T81" i="2"/>
  <c r="T1621" i="2"/>
  <c r="T1439" i="2"/>
  <c r="T568" i="2"/>
  <c r="T1296" i="2"/>
  <c r="T1687" i="2"/>
  <c r="T1048" i="2"/>
  <c r="T1404" i="2"/>
  <c r="T250" i="2"/>
  <c r="T1356" i="2"/>
  <c r="T774" i="2"/>
  <c r="T1778" i="2"/>
  <c r="T1201" i="2"/>
  <c r="T238" i="2"/>
  <c r="T1983" i="2"/>
  <c r="T1256" i="2"/>
  <c r="T433" i="2"/>
  <c r="T236" i="2"/>
  <c r="T405" i="2"/>
  <c r="T601" i="2"/>
  <c r="T1259" i="2"/>
  <c r="T1706" i="2"/>
  <c r="T1265" i="2"/>
  <c r="T437" i="2"/>
  <c r="T1139" i="2"/>
  <c r="T682" i="2"/>
  <c r="T1869" i="2"/>
  <c r="T666" i="2"/>
  <c r="T124" i="2"/>
  <c r="T1276" i="2"/>
  <c r="T1419" i="2"/>
  <c r="T1564" i="2"/>
  <c r="T520" i="2"/>
  <c r="T1348" i="2"/>
  <c r="T639" i="2"/>
  <c r="T321" i="2"/>
  <c r="T292" i="2"/>
  <c r="T1331" i="2"/>
  <c r="T1191" i="2"/>
  <c r="T1217" i="2"/>
  <c r="T1071" i="2"/>
  <c r="T1141" i="2"/>
  <c r="T865" i="2"/>
  <c r="T1815" i="2"/>
  <c r="T1854" i="2"/>
  <c r="T1747" i="2"/>
  <c r="T267" i="2"/>
  <c r="T1991" i="2"/>
  <c r="T1690" i="2"/>
  <c r="T1099" i="2"/>
  <c r="T1009" i="2"/>
  <c r="T1698" i="2"/>
  <c r="T1720" i="2"/>
  <c r="T1672" i="2"/>
  <c r="T54" i="2"/>
  <c r="T696" i="2"/>
  <c r="T1184" i="2"/>
  <c r="T32" i="2"/>
  <c r="T50" i="2"/>
  <c r="T453" i="2"/>
  <c r="T1610" i="2"/>
  <c r="T941" i="2"/>
  <c r="T1406" i="2"/>
  <c r="T1766" i="2"/>
  <c r="T641" i="2"/>
  <c r="T1999" i="2"/>
  <c r="T599" i="2"/>
  <c r="T1886" i="2"/>
  <c r="T1785" i="2"/>
  <c r="T1947" i="2"/>
  <c r="T1133" i="2"/>
  <c r="T1183" i="2"/>
  <c r="T993" i="2"/>
  <c r="T392" i="2"/>
  <c r="T432" i="2"/>
  <c r="T114" i="2"/>
  <c r="T152" i="2"/>
  <c r="T306" i="2"/>
  <c r="T997" i="2"/>
  <c r="T440" i="2"/>
  <c r="T884" i="2"/>
  <c r="T196" i="2"/>
  <c r="T1550" i="2"/>
  <c r="T1659" i="2"/>
  <c r="T1875" i="2"/>
  <c r="T1375" i="2"/>
  <c r="T594" i="2"/>
  <c r="T848" i="2"/>
  <c r="T1826" i="2"/>
  <c r="T1109" i="2"/>
  <c r="T1430" i="2"/>
  <c r="T323" i="2"/>
  <c r="T135" i="2"/>
  <c r="T1710" i="2"/>
  <c r="T1628" i="2"/>
  <c r="T1963" i="2"/>
  <c r="T1318" i="2"/>
  <c r="T1154" i="2"/>
  <c r="T1291" i="2"/>
  <c r="T1093" i="2"/>
  <c r="T762" i="2"/>
  <c r="T1748" i="2"/>
  <c r="T822" i="2"/>
  <c r="T1692" i="2"/>
  <c r="T240" i="2"/>
  <c r="T864" i="2"/>
  <c r="T875" i="2"/>
  <c r="T333" i="2"/>
  <c r="T638" i="2"/>
  <c r="T1055" i="2"/>
  <c r="T369" i="2"/>
  <c r="T1754" i="2"/>
  <c r="T1213" i="2"/>
  <c r="T336" i="2"/>
  <c r="T725" i="2"/>
  <c r="T852" i="2"/>
  <c r="T1427" i="2"/>
  <c r="T1637" i="2"/>
  <c r="T1025" i="2"/>
  <c r="T1859" i="2"/>
  <c r="T1786" i="2"/>
  <c r="T938" i="2"/>
  <c r="T1393" i="2"/>
  <c r="T954" i="2"/>
  <c r="T1909" i="2"/>
  <c r="T1676" i="2"/>
  <c r="T831" i="2"/>
  <c r="T1781" i="2"/>
  <c r="T395" i="2"/>
  <c r="T1332" i="2"/>
  <c r="T48" i="2"/>
  <c r="T382" i="2"/>
  <c r="T1072" i="2"/>
  <c r="T721" i="2"/>
  <c r="T225" i="2"/>
  <c r="T1385" i="2"/>
  <c r="T1502" i="2"/>
  <c r="T1953" i="2"/>
  <c r="T1155" i="2"/>
  <c r="T173" i="2"/>
  <c r="T1005" i="2"/>
  <c r="T844" i="2"/>
  <c r="T946" i="2"/>
  <c r="T836" i="2"/>
  <c r="T486" i="2"/>
  <c r="T1614" i="2"/>
  <c r="T1872" i="2"/>
  <c r="T833" i="2"/>
  <c r="T394" i="2"/>
  <c r="T1075" i="2"/>
  <c r="T9" i="2"/>
  <c r="T1534" i="2"/>
  <c r="T1595" i="2"/>
  <c r="T465" i="2"/>
  <c r="T1231" i="2"/>
  <c r="T1193" i="2"/>
  <c r="T724" i="2"/>
  <c r="T496" i="2"/>
  <c r="T201" i="2"/>
  <c r="T190" i="2"/>
  <c r="T1019" i="2"/>
  <c r="T1725" i="2"/>
  <c r="T992" i="2"/>
  <c r="T1744" i="2"/>
  <c r="T1357" i="2"/>
  <c r="T697" i="2"/>
  <c r="T83" i="2"/>
  <c r="T311" i="2"/>
  <c r="T1037" i="2"/>
  <c r="T1177" i="2"/>
  <c r="T1791" i="2"/>
  <c r="T1281" i="2"/>
  <c r="T1389" i="2"/>
  <c r="T1892" i="2"/>
  <c r="T1064" i="2"/>
  <c r="T1094" i="2"/>
  <c r="T693" i="2"/>
  <c r="T967" i="2"/>
  <c r="T1470" i="2"/>
  <c r="T2001" i="2"/>
  <c r="T1870" i="2"/>
  <c r="T1509" i="2"/>
  <c r="T1930" i="2"/>
  <c r="T1924" i="2"/>
  <c r="T363" i="2"/>
  <c r="T1069" i="2"/>
  <c r="T1493" i="2"/>
  <c r="T1523" i="2"/>
  <c r="T94" i="2"/>
  <c r="T1555" i="2"/>
  <c r="T301" i="2"/>
  <c r="T1770" i="2"/>
  <c r="T251" i="2"/>
  <c r="T1739" i="2"/>
  <c r="T987" i="2"/>
  <c r="T227" i="2"/>
  <c r="T1365" i="2"/>
  <c r="T896" i="2"/>
  <c r="T1448" i="2"/>
  <c r="T277" i="2"/>
  <c r="T753" i="2"/>
  <c r="T720" i="2"/>
  <c r="T372" i="2"/>
  <c r="T143" i="2"/>
  <c r="T1135" i="2"/>
  <c r="T343" i="2"/>
  <c r="T1297" i="2"/>
  <c r="T1836" i="2"/>
  <c r="T284" i="2"/>
  <c r="T824" i="2"/>
  <c r="T1846" i="2"/>
  <c r="T1237" i="2"/>
  <c r="T819" i="2"/>
  <c r="T1574" i="2"/>
  <c r="T80" i="2"/>
  <c r="T855" i="2"/>
  <c r="T1252" i="2"/>
  <c r="T497" i="2"/>
  <c r="T1098" i="2"/>
  <c r="T1568" i="2"/>
  <c r="T1576" i="2"/>
  <c r="T1387" i="2"/>
  <c r="T1601" i="2"/>
  <c r="T1741" i="2"/>
  <c r="T579" i="2"/>
  <c r="T1867" i="2"/>
  <c r="T787" i="2"/>
  <c r="T281" i="2"/>
  <c r="T1685" i="2"/>
  <c r="T957" i="2"/>
  <c r="T91" i="2"/>
  <c r="T1899" i="2"/>
  <c r="T778" i="2"/>
  <c r="T1767" i="2"/>
  <c r="T657" i="2"/>
  <c r="T528" i="2"/>
  <c r="T1117" i="2"/>
  <c r="T1420" i="2"/>
  <c r="T1980" i="2"/>
  <c r="T1308" i="2"/>
  <c r="T484" i="2"/>
  <c r="T1883" i="2"/>
  <c r="T1215" i="2"/>
  <c r="T1194" i="2"/>
  <c r="T1817" i="2"/>
  <c r="T959" i="2"/>
  <c r="T1414" i="2"/>
  <c r="T1669" i="2"/>
  <c r="T280" i="2"/>
  <c r="T258" i="2"/>
  <c r="T1931" i="2"/>
  <c r="T547" i="2"/>
  <c r="T464" i="2"/>
  <c r="T1596" i="2"/>
  <c r="T1722" i="2"/>
  <c r="T36" i="2"/>
  <c r="T1928" i="2"/>
  <c r="T1773" i="2"/>
  <c r="T365" i="2"/>
  <c r="T735" i="2"/>
  <c r="T1180" i="2"/>
  <c r="T549" i="2"/>
  <c r="T107" i="2"/>
  <c r="T505" i="2"/>
  <c r="T662" i="2"/>
  <c r="T1716" i="2"/>
  <c r="T813" i="2"/>
  <c r="T1257" i="2"/>
  <c r="T1400" i="2"/>
  <c r="T11" i="2"/>
  <c r="T1562" i="2"/>
  <c r="T1412" i="2"/>
  <c r="T1662" i="2"/>
  <c r="T1985" i="2"/>
  <c r="T1081" i="2"/>
  <c r="T40" i="2"/>
  <c r="T1638" i="2"/>
  <c r="T1058" i="2"/>
  <c r="T461" i="2"/>
  <c r="T1490" i="2"/>
  <c r="T142" i="2"/>
  <c r="T1044" i="2"/>
  <c r="T810" i="2"/>
  <c r="T1115" i="2"/>
  <c r="T1384" i="2"/>
  <c r="T178" i="2"/>
  <c r="T854" i="2"/>
  <c r="T923" i="2"/>
  <c r="T914" i="2"/>
  <c r="T276" i="2"/>
  <c r="T30" i="2"/>
  <c r="T1287" i="2"/>
  <c r="T399" i="2"/>
  <c r="T985" i="2"/>
  <c r="T66" i="2"/>
  <c r="T548" i="2"/>
  <c r="T826" i="2"/>
  <c r="T962" i="2"/>
  <c r="T937" i="2"/>
  <c r="T1277" i="2"/>
  <c r="T1158" i="2"/>
  <c r="T1168" i="2"/>
  <c r="T1438" i="2"/>
  <c r="T1572" i="2"/>
  <c r="T1484" i="2"/>
  <c r="T541" i="2"/>
  <c r="T52" i="2"/>
  <c r="T1263" i="2"/>
  <c r="T702" i="2"/>
  <c r="T1549" i="2"/>
  <c r="T361" i="2"/>
  <c r="T856" i="2"/>
  <c r="T1997" i="2"/>
  <c r="T953" i="2"/>
  <c r="T684" i="2"/>
  <c r="T1085" i="2"/>
  <c r="T373" i="2"/>
  <c r="T459" i="2"/>
  <c r="T248" i="2"/>
  <c r="T401" i="2"/>
  <c r="T935" i="2"/>
  <c r="T504" i="2"/>
  <c r="T1208" i="2"/>
  <c r="T514" i="2"/>
  <c r="T137" i="2"/>
  <c r="T59" i="2"/>
  <c r="T226" i="2"/>
  <c r="T809" i="2"/>
  <c r="T1895" i="2"/>
  <c r="T1363" i="2"/>
  <c r="T623" i="2"/>
  <c r="T679" i="2"/>
  <c r="T1100" i="2"/>
  <c r="T846" i="2"/>
  <c r="T890" i="2"/>
  <c r="T466" i="2"/>
  <c r="T820" i="2"/>
  <c r="T1889" i="2"/>
  <c r="T5" i="2"/>
  <c r="T742" i="2"/>
  <c r="T1278" i="2"/>
  <c r="T1852" i="2"/>
  <c r="T1339" i="2"/>
  <c r="T1002" i="2"/>
  <c r="T1937" i="2"/>
  <c r="T1007" i="2"/>
  <c r="T1559" i="2"/>
  <c r="T796" i="2"/>
  <c r="T39" i="2"/>
  <c r="T1462" i="2"/>
  <c r="T1557" i="2"/>
  <c r="T1632" i="2"/>
  <c r="T966" i="2"/>
  <c r="T1819" i="2"/>
  <c r="T678" i="2"/>
  <c r="T1812" i="2"/>
  <c r="T1689" i="2"/>
  <c r="T617" i="2"/>
  <c r="T269" i="2"/>
  <c r="T1366" i="2"/>
  <c r="T233" i="2"/>
  <c r="T172" i="2"/>
  <c r="T1388" i="2"/>
  <c r="T791" i="2"/>
  <c r="T1989" i="2"/>
  <c r="T986" i="2"/>
  <c r="T944" i="2"/>
  <c r="T1834" i="2"/>
  <c r="T35" i="2"/>
  <c r="T1003" i="2"/>
  <c r="T994" i="2"/>
  <c r="T362" i="2"/>
  <c r="T729" i="2"/>
  <c r="T1441" i="2"/>
  <c r="T1622" i="2"/>
  <c r="T603" i="2"/>
  <c r="T483" i="2"/>
  <c r="T43" i="2"/>
  <c r="T732" i="2"/>
  <c r="T651" i="2"/>
  <c r="T1264" i="2"/>
  <c r="T390" i="2"/>
  <c r="T1623" i="2"/>
  <c r="T713" i="2"/>
  <c r="T1107" i="2"/>
  <c r="T134" i="2"/>
  <c r="T1261" i="2"/>
  <c r="T78" i="2"/>
  <c r="T761" i="2"/>
  <c r="T1166" i="2"/>
  <c r="T289" i="2"/>
  <c r="T1967" i="2"/>
  <c r="T6" i="2"/>
  <c r="T1940" i="2"/>
  <c r="T1751" i="2"/>
  <c r="T449" i="2"/>
  <c r="T1580" i="2"/>
  <c r="T1906" i="2"/>
  <c r="T1969" i="2"/>
  <c r="T779" i="2"/>
  <c r="T654" i="2"/>
  <c r="T352" i="2"/>
  <c r="T1841" i="2"/>
  <c r="T1487" i="2"/>
  <c r="T1600" i="2"/>
  <c r="T1832" i="2"/>
  <c r="T747" i="2"/>
  <c r="T1342" i="2"/>
  <c r="T1417" i="2"/>
  <c r="T825" i="2"/>
  <c r="T921" i="2"/>
  <c r="T379" i="2"/>
  <c r="T533" i="2"/>
  <c r="T1314" i="2"/>
  <c r="T1679" i="2"/>
  <c r="T1844" i="2"/>
  <c r="T1503" i="2"/>
  <c r="T1519" i="2"/>
  <c r="T354" i="2"/>
  <c r="T952" i="2"/>
  <c r="T1341" i="2"/>
  <c r="T1090" i="2"/>
  <c r="T308" i="2"/>
  <c r="T655" i="2"/>
  <c r="T1968" i="2"/>
  <c r="T387" i="2"/>
  <c r="T472" i="2"/>
  <c r="T829" i="2"/>
  <c r="T500" i="2"/>
  <c r="T1973" i="2"/>
  <c r="T1893" i="2"/>
  <c r="T312" i="2"/>
  <c r="T1317" i="2"/>
  <c r="T1961" i="2"/>
  <c r="T1727" i="2"/>
  <c r="T1504" i="2"/>
  <c r="T159" i="2"/>
  <c r="T1353" i="2"/>
  <c r="T1808" i="2"/>
  <c r="T1255" i="2"/>
  <c r="T1862" i="2"/>
  <c r="T1225" i="2"/>
  <c r="T160" i="2"/>
  <c r="T766" i="2"/>
  <c r="T206" i="2"/>
  <c r="T163" i="2"/>
  <c r="T1627" i="2"/>
  <c r="T1300" i="2"/>
  <c r="T316" i="2"/>
  <c r="T294" i="2"/>
  <c r="T1598" i="2"/>
  <c r="T498" i="2"/>
  <c r="T223" i="2"/>
  <c r="T1021" i="2"/>
  <c r="T1253" i="2"/>
  <c r="T1350" i="2"/>
  <c r="T1839" i="2"/>
  <c r="T1845" i="2"/>
  <c r="T1518" i="2"/>
  <c r="T1681" i="2"/>
  <c r="T717" i="2"/>
  <c r="T559" i="2"/>
  <c r="T1106" i="2"/>
  <c r="T1879" i="2"/>
  <c r="T1270" i="2"/>
  <c r="T1303" i="2"/>
  <c r="T823" i="2"/>
  <c r="T1497" i="2"/>
  <c r="T1435" i="2"/>
  <c r="T596" i="2"/>
  <c r="T892" i="2"/>
  <c r="T1957" i="2"/>
  <c r="T1187" i="2"/>
  <c r="T1457" i="2"/>
  <c r="T1813" i="2"/>
  <c r="T1646" i="2"/>
  <c r="T889" i="2"/>
  <c r="T795" i="2"/>
  <c r="T772" i="2"/>
  <c r="T1917" i="2"/>
  <c r="T366" i="2"/>
  <c r="T455" i="2"/>
  <c r="T150" i="2"/>
  <c r="T749" i="2"/>
  <c r="T1137" i="2"/>
  <c r="T1517" i="2"/>
  <c r="T1951" i="2"/>
  <c r="T1984" i="2"/>
  <c r="T271" i="2"/>
  <c r="T975" i="2"/>
  <c r="T1590" i="2"/>
  <c r="T1954" i="2"/>
  <c r="T193" i="2"/>
  <c r="T213" i="2"/>
  <c r="T65" i="2"/>
  <c r="T1729" i="2"/>
  <c r="T1988" i="2"/>
  <c r="T475" i="2"/>
  <c r="T642" i="2"/>
  <c r="T1209" i="2"/>
  <c r="T566" i="2"/>
  <c r="T221" i="2"/>
  <c r="T1160" i="2"/>
  <c r="T1087" i="2"/>
  <c r="T1945" i="2"/>
  <c r="T1247" i="2"/>
  <c r="T917" i="2"/>
  <c r="T1929" i="2"/>
  <c r="T534" i="2"/>
  <c r="T1670" i="2"/>
  <c r="T1157" i="2"/>
  <c r="T1863" i="2"/>
  <c r="T403" i="2"/>
  <c r="T1630" i="2"/>
  <c r="T1653" i="2"/>
  <c r="T1876" i="2"/>
  <c r="T1206" i="2"/>
  <c r="T1437" i="2"/>
  <c r="T266" i="2"/>
  <c r="T1527" i="2"/>
  <c r="T1233" i="2"/>
  <c r="T1426" i="2"/>
  <c r="T1380" i="2"/>
  <c r="T357" i="2"/>
  <c r="T1000" i="2"/>
  <c r="T1537" i="2"/>
  <c r="T792" i="2"/>
  <c r="T1993" i="2"/>
  <c r="T212" i="2"/>
  <c r="T1036" i="2"/>
  <c r="T2" i="2"/>
  <c r="T1998" i="2"/>
  <c r="T785" i="2"/>
  <c r="T1528" i="2"/>
  <c r="T1688" i="2"/>
  <c r="T33" i="2"/>
  <c r="T1352" i="2"/>
  <c r="T869" i="2"/>
  <c r="T608" i="2"/>
  <c r="T1888" i="2"/>
  <c r="T393" i="2"/>
  <c r="T1816" i="2"/>
  <c r="T1522" i="2"/>
  <c r="T70" i="2"/>
  <c r="T79" i="2"/>
  <c r="T188" i="2"/>
  <c r="T64" i="2"/>
  <c r="T1319" i="2"/>
  <c r="T270" i="2"/>
  <c r="T1800" i="2"/>
  <c r="T1547" i="2"/>
  <c r="T555" i="2"/>
  <c r="T1132" i="2"/>
  <c r="T1602" i="2"/>
  <c r="T1266" i="2"/>
  <c r="T1038" i="2"/>
  <c r="T376" i="2"/>
  <c r="T264" i="2"/>
  <c r="T1533" i="2"/>
  <c r="T1612" i="2"/>
  <c r="T931" i="2"/>
  <c r="T282" i="2"/>
  <c r="T584" i="2"/>
  <c r="T106" i="2"/>
  <c r="T1367" i="2"/>
  <c r="T861" i="2"/>
  <c r="T480" i="2"/>
  <c r="T707" i="2"/>
  <c r="T1392" i="2"/>
  <c r="T1792" i="2"/>
  <c r="T1682" i="2"/>
  <c r="T918" i="2"/>
  <c r="T1130" i="2"/>
  <c r="T1702" i="2"/>
  <c r="T752" i="2"/>
  <c r="T925" i="2"/>
  <c r="T378" i="2"/>
  <c r="T191" i="2"/>
  <c r="T263" i="2"/>
  <c r="T1212" i="2"/>
  <c r="T254" i="2"/>
  <c r="T981" i="2"/>
  <c r="T1606" i="2"/>
  <c r="T1011" i="2"/>
  <c r="T117" i="2"/>
  <c r="T1305" i="2"/>
  <c r="T1977" i="2"/>
  <c r="T712" i="2"/>
  <c r="T695" i="2"/>
  <c r="T1028" i="2"/>
  <c r="T304" i="2"/>
  <c r="T16" i="2"/>
  <c r="T222" i="2"/>
  <c r="T607" i="2"/>
  <c r="T597" i="2"/>
  <c r="T456" i="2"/>
  <c r="T1695" i="2"/>
  <c r="T677" i="2"/>
  <c r="T207" i="2"/>
  <c r="T77" i="2"/>
  <c r="T521" i="2"/>
  <c r="T731" i="2"/>
  <c r="T1076" i="2"/>
  <c r="T1820" i="2"/>
  <c r="T1526" i="2"/>
  <c r="T1045" i="2"/>
  <c r="T874" i="2"/>
  <c r="T907" i="2"/>
  <c r="T955" i="2"/>
  <c r="T463" i="2"/>
  <c r="T436" i="2"/>
  <c r="T113" i="2"/>
  <c r="T1481" i="2"/>
  <c r="T870" i="2"/>
  <c r="T1042" i="2"/>
  <c r="T351" i="2"/>
  <c r="T1910" i="2"/>
  <c r="T1114" i="2"/>
  <c r="T1483" i="2"/>
  <c r="T358" i="2"/>
  <c r="T1024" i="2"/>
  <c r="T1723" i="2"/>
  <c r="T22" i="2"/>
  <c r="T751" i="2"/>
  <c r="T540" i="2"/>
  <c r="T47" i="2"/>
  <c r="T728" i="2"/>
  <c r="T319" i="2"/>
  <c r="T450" i="2"/>
  <c r="T681" i="2"/>
  <c r="T1174" i="2"/>
  <c r="T1631" i="2"/>
  <c r="T1849" i="2"/>
  <c r="T924" i="2"/>
  <c r="T1769" i="2"/>
  <c r="T1004" i="2"/>
  <c r="T115" i="2"/>
  <c r="T1709" i="2"/>
  <c r="T644" i="2"/>
  <c r="T1173" i="2"/>
  <c r="T443" i="2"/>
  <c r="T1422" i="2"/>
  <c r="T1693" i="2"/>
  <c r="T849" i="2"/>
  <c r="T788" i="2"/>
  <c r="T613" i="2"/>
  <c r="T758" i="2"/>
  <c r="T885" i="2"/>
  <c r="T574" i="2"/>
  <c r="T947" i="2"/>
  <c r="T710" i="2"/>
  <c r="T448" i="2"/>
  <c r="T920" i="2"/>
  <c r="T41" i="2"/>
  <c r="T170" i="2"/>
  <c r="T317" i="2"/>
  <c r="T1371" i="2"/>
  <c r="T1978" i="2"/>
  <c r="T551" i="2"/>
  <c r="T780" i="2"/>
  <c r="T257" i="2"/>
  <c r="T1169" i="2"/>
  <c r="T112" i="2"/>
  <c r="T18" i="2"/>
  <c r="T424" i="2"/>
  <c r="T526" i="2"/>
  <c r="T288" i="2"/>
  <c r="T1083" i="2"/>
  <c r="T1625" i="2"/>
  <c r="T1073" i="2"/>
  <c r="T847" i="2"/>
  <c r="T904" i="2"/>
  <c r="T1408" i="2"/>
  <c r="T95" i="2"/>
  <c r="T1017" i="2"/>
  <c r="T1774" i="2"/>
  <c r="T1855" i="2"/>
  <c r="T1776" i="2"/>
  <c r="T1379" i="2"/>
  <c r="T649" i="2"/>
  <c r="T1650" i="2"/>
  <c r="T144" i="2"/>
  <c r="T627" i="2"/>
  <c r="T1015" i="2"/>
  <c r="T1890" i="2"/>
  <c r="T1586" i="2"/>
  <c r="T442" i="2"/>
  <c r="T374" i="2"/>
  <c r="T532" i="2"/>
  <c r="T704" i="2"/>
  <c r="T1665" i="2"/>
  <c r="T835" i="2"/>
  <c r="T934" i="2"/>
  <c r="T493" i="2"/>
  <c r="T224" i="2"/>
  <c r="T1068" i="2"/>
  <c r="T13" i="2"/>
  <c r="T887" i="2"/>
  <c r="T1120" i="2"/>
  <c r="T155" i="2"/>
  <c r="T1655" i="2"/>
  <c r="T905" i="2"/>
  <c r="T1835" i="2"/>
  <c r="T830" i="2"/>
  <c r="T1063" i="2"/>
  <c r="T664" i="2"/>
  <c r="T1495" i="2"/>
  <c r="T1617" i="2"/>
  <c r="T1226" i="2"/>
  <c r="T1334" i="2"/>
  <c r="T200" i="2"/>
  <c r="T1407" i="2"/>
  <c r="T1197" i="2"/>
  <c r="T1724" i="2"/>
  <c r="T1089" i="2"/>
  <c r="T272" i="2"/>
  <c r="T760" i="2"/>
  <c r="T121" i="2"/>
  <c r="T554" i="2"/>
  <c r="T872" i="2"/>
  <c r="T667" i="2"/>
  <c r="T857" i="2"/>
  <c r="T247" i="2"/>
  <c r="T412" i="2"/>
  <c r="T1531" i="2"/>
  <c r="T1175" i="2"/>
  <c r="T1939" i="2"/>
  <c r="T683" i="2"/>
  <c r="T1080" i="2"/>
  <c r="T1211" i="2"/>
  <c r="T561" i="2"/>
  <c r="T216" i="2"/>
  <c r="T26" i="2"/>
  <c r="T1153" i="2"/>
  <c r="T629" i="2"/>
  <c r="T558" i="2"/>
  <c r="T252" i="2"/>
  <c r="T1309" i="2"/>
  <c r="T1251" i="2"/>
  <c r="T525" i="2"/>
  <c r="T776" i="2"/>
  <c r="T1718" i="2"/>
  <c r="T784" i="2"/>
  <c r="T1524" i="2"/>
  <c r="T1712" i="2"/>
  <c r="T1105" i="2"/>
  <c r="T670" i="2"/>
  <c r="T1779" i="2"/>
  <c r="T570" i="2"/>
  <c r="T473" i="2"/>
  <c r="T714" i="2"/>
  <c r="T1082" i="2"/>
  <c r="T1159" i="2"/>
  <c r="T348" i="2"/>
  <c r="T402" i="2"/>
  <c r="T44" i="2"/>
  <c r="T563" i="2"/>
  <c r="T1790" i="2"/>
  <c r="T706" i="2"/>
  <c r="T128" i="2"/>
  <c r="T1123" i="2"/>
  <c r="T1491" i="2"/>
  <c r="T93" i="2"/>
  <c r="T1103" i="2"/>
  <c r="T1538" i="2"/>
  <c r="T490" i="2"/>
  <c r="T389" i="2"/>
  <c r="T995" i="2"/>
  <c r="T1358" i="2"/>
  <c r="T680" i="2"/>
  <c r="T949" i="2"/>
  <c r="T624" i="2"/>
  <c r="T1171" i="2"/>
  <c r="T1382" i="2"/>
  <c r="T1643" i="2"/>
  <c r="T75" i="2"/>
  <c r="T1829" i="2"/>
  <c r="T689" i="2"/>
  <c r="T1750" i="2"/>
  <c r="T28" i="2"/>
  <c r="T1312" i="2"/>
  <c r="T859" i="2"/>
  <c r="T661" i="2"/>
  <c r="T1667" i="2"/>
  <c r="T980" i="2"/>
  <c r="T381" i="2"/>
  <c r="T1258" i="2"/>
  <c r="T397" i="2"/>
  <c r="T640" i="2"/>
  <c r="T804" i="2"/>
  <c r="T1608" i="2"/>
  <c r="T1324" i="2"/>
  <c r="T1031" i="2"/>
  <c r="T215" i="2"/>
  <c r="T1648" i="2"/>
  <c r="T398" i="2"/>
  <c r="T1121" i="2"/>
  <c r="T300" i="2"/>
  <c r="T1034" i="2"/>
  <c r="T1306" i="2"/>
  <c r="T260" i="2"/>
  <c r="T268" i="2"/>
  <c r="T1592" i="2"/>
  <c r="T1657" i="2"/>
  <c r="T430" i="2"/>
  <c r="T367" i="2"/>
  <c r="T318" i="2"/>
  <c r="T1051" i="2"/>
  <c r="T688" i="2"/>
  <c r="T605" i="2"/>
  <c r="T1440" i="2"/>
  <c r="T811" i="2"/>
  <c r="T1316" i="2"/>
  <c r="T494" i="2"/>
  <c r="T86" i="2"/>
  <c r="T1513" i="2"/>
  <c r="T1092" i="2"/>
  <c r="T850" i="2"/>
  <c r="T434" i="2"/>
  <c r="T1943" i="2"/>
  <c r="T1140" i="2"/>
  <c r="T1455" i="2"/>
  <c r="T1466" i="2"/>
  <c r="T592" i="2"/>
  <c r="T85" i="2"/>
  <c r="T385" i="2"/>
  <c r="T1959" i="2"/>
  <c r="T571" i="2"/>
  <c r="T1142" i="2"/>
  <c r="T964" i="2"/>
  <c r="T198" i="2"/>
  <c r="T1674" i="2"/>
  <c r="T518" i="2"/>
  <c r="T685" i="2"/>
  <c r="T1026" i="2"/>
  <c r="T668" i="2"/>
  <c r="T632" i="2"/>
  <c r="T421" i="2"/>
  <c r="T515" i="2"/>
  <c r="T965" i="2"/>
  <c r="T167" i="2"/>
  <c r="T1271" i="2"/>
  <c r="T675" i="2"/>
  <c r="T1354" i="2"/>
  <c r="T1615" i="2"/>
  <c r="T1293" i="2"/>
  <c r="T1805" i="2"/>
  <c r="T916" i="2"/>
  <c r="T183" i="2"/>
  <c r="T948" i="2"/>
  <c r="T344" i="2"/>
  <c r="T1708" i="2"/>
  <c r="T1804" i="2"/>
  <c r="T703" i="2"/>
  <c r="T1964" i="2"/>
  <c r="T1059" i="2"/>
  <c r="T1416" i="2"/>
  <c r="T1268" i="2"/>
  <c r="T1830" i="2"/>
  <c r="T996" i="2"/>
  <c r="T90" i="2"/>
  <c r="T886" i="2"/>
  <c r="T368" i="2"/>
  <c r="T1329" i="2"/>
  <c r="T187" i="2"/>
  <c r="T1147" i="2"/>
  <c r="T411" i="2"/>
  <c r="T76" i="2"/>
  <c r="T736" i="2"/>
  <c r="T645" i="2"/>
  <c r="T320" i="2"/>
  <c r="T218" i="2"/>
  <c r="T1204" i="2"/>
  <c r="T1583" i="2"/>
  <c r="T1432" i="2"/>
  <c r="T1421" i="2"/>
  <c r="T984" i="2"/>
  <c r="T560" i="2"/>
  <c r="T1585" i="2"/>
  <c r="T197" i="2"/>
  <c r="T915" i="2"/>
  <c r="T108" i="2"/>
  <c r="T1302" i="2"/>
  <c r="T1091" i="2"/>
  <c r="T204" i="2"/>
  <c r="T1745" i="2"/>
  <c r="T1474" i="2"/>
  <c r="T1919" i="2"/>
  <c r="T1403" i="2"/>
  <c r="T1386" i="2"/>
  <c r="T1322" i="2"/>
  <c r="T658" i="2"/>
  <c r="T275" i="2"/>
  <c r="T25" i="2"/>
  <c r="T158" i="2"/>
  <c r="T1807" i="2"/>
  <c r="T322" i="2"/>
  <c r="T164" i="2"/>
  <c r="T406" i="2"/>
  <c r="T127" i="2"/>
  <c r="T1885" i="2"/>
  <c r="T1391" i="2"/>
  <c r="T1333" i="2"/>
  <c r="T737" i="2"/>
  <c r="T1579" i="2"/>
  <c r="T773" i="2"/>
  <c r="T988" i="2"/>
  <c r="T1798" i="2"/>
  <c r="T205" i="2"/>
  <c r="T1782" i="2"/>
  <c r="T339" i="2"/>
  <c r="T1673" i="2"/>
  <c r="T1582" i="2"/>
  <c r="T89" i="2"/>
  <c r="T790" i="2"/>
  <c r="T595" i="2"/>
  <c r="T692" i="2"/>
  <c r="T315" i="2"/>
  <c r="T634" i="2"/>
  <c r="T49" i="2"/>
  <c r="T604" i="2"/>
  <c r="T1697" i="2"/>
  <c r="T169" i="2"/>
  <c r="T1409" i="2"/>
  <c r="T1377" i="2"/>
  <c r="T10" i="2"/>
  <c r="T1962" i="2"/>
  <c r="T38" i="2"/>
  <c r="T1012" i="2"/>
  <c r="T1918" i="2"/>
  <c r="T1565" i="2"/>
  <c r="T1195" i="2"/>
  <c r="T1755" i="2"/>
  <c r="T669" i="2"/>
  <c r="T495" i="2"/>
  <c r="T1742" i="2"/>
  <c r="T1224" i="2"/>
  <c r="T175" i="2"/>
  <c r="T552" i="2"/>
  <c r="T1008" i="2"/>
  <c r="T1040" i="2"/>
  <c r="T1057" i="2"/>
  <c r="T815" i="2"/>
  <c r="T637" i="2"/>
  <c r="T1338" i="2"/>
  <c r="T970" i="2"/>
  <c r="T901" i="2"/>
  <c r="T1677" i="2"/>
  <c r="T877" i="2"/>
  <c r="T82" i="2"/>
  <c r="T1453" i="2"/>
  <c r="T1530" i="2"/>
  <c r="T1644" i="2"/>
  <c r="T364" i="2"/>
  <c r="T309" i="2"/>
  <c r="T1765" i="2"/>
  <c r="T578" i="2"/>
  <c r="T1994" i="2"/>
  <c r="T1763" i="2"/>
  <c r="T195" i="2"/>
  <c r="T1479" i="2"/>
  <c r="T1894" i="2"/>
  <c r="T602" i="2"/>
  <c r="T1010" i="2"/>
  <c r="T1178" i="2"/>
  <c r="T1678" i="2"/>
  <c r="T1320" i="2"/>
  <c r="T1726" i="2"/>
  <c r="T1218" i="2"/>
  <c r="T1956" i="2"/>
  <c r="T132" i="2"/>
  <c r="T738" i="2"/>
  <c r="T101" i="2"/>
  <c r="T1950" i="2"/>
  <c r="T491" i="2"/>
  <c r="T1286" i="2"/>
  <c r="T427" i="2"/>
  <c r="T999" i="2"/>
  <c r="T296" i="2"/>
  <c r="T1743" i="2"/>
  <c r="T590" i="2"/>
  <c r="T1214" i="2"/>
  <c r="T1186" i="2"/>
  <c r="T417" i="2"/>
  <c r="T1788" i="2"/>
  <c r="T370" i="2"/>
  <c r="T589" i="2"/>
  <c r="T1652" i="2"/>
  <c r="T171" i="2"/>
  <c r="T828" i="2"/>
  <c r="T1958" i="2"/>
  <c r="T1360" i="2"/>
  <c r="T789" i="2"/>
  <c r="T1056" i="2"/>
  <c r="T759" i="2"/>
  <c r="T293" i="2"/>
  <c r="T577" i="2"/>
  <c r="T1540" i="2"/>
  <c r="T1220" i="2"/>
  <c r="T1345" i="2"/>
  <c r="T1478" i="2"/>
  <c r="T1101" i="2"/>
  <c r="T146" i="2"/>
  <c r="T1680" i="2"/>
  <c r="T1851" i="2"/>
  <c r="T479" i="2"/>
  <c r="T1396" i="2"/>
  <c r="T818" i="2"/>
  <c r="T878" i="2"/>
  <c r="T1701" i="2"/>
  <c r="T1054" i="2"/>
  <c r="T68" i="2"/>
  <c r="T524" i="2"/>
  <c r="T1112" i="2"/>
  <c r="T1289" i="2"/>
  <c r="T1148" i="2"/>
  <c r="T1368" i="2"/>
  <c r="T977" i="2"/>
  <c r="T1492" i="2"/>
  <c r="T1013" i="2"/>
  <c r="T615" i="2"/>
  <c r="T1446" i="2"/>
  <c r="T1868" i="2"/>
  <c r="T1552" i="2"/>
  <c r="T1001" i="2"/>
  <c r="T418" i="2"/>
  <c r="T1714" i="2"/>
  <c r="T42" i="2"/>
  <c r="T1111" i="2"/>
  <c r="T794" i="2"/>
  <c r="T609" i="2"/>
  <c r="T162" i="2"/>
  <c r="T1753" i="2"/>
  <c r="T1347" i="2"/>
  <c r="T951" i="2"/>
  <c r="T1922" i="2"/>
  <c r="T583" i="2"/>
  <c r="T105" i="2"/>
  <c r="T168" i="2"/>
  <c r="T1477" i="2"/>
  <c r="T287" i="2"/>
  <c r="T371" i="2"/>
  <c r="T69" i="2"/>
  <c r="T261" i="2"/>
  <c r="T516" i="2"/>
  <c r="T1066" i="2"/>
  <c r="T841" i="2"/>
  <c r="T1053" i="2"/>
  <c r="T1362" i="2"/>
  <c r="T324" i="2"/>
  <c r="T1292" i="2"/>
  <c r="T37" i="2"/>
  <c r="T126" i="2"/>
  <c r="T1912" i="2"/>
  <c r="T1661" i="2"/>
  <c r="T1932" i="2"/>
  <c r="T906" i="2"/>
  <c r="T2000" i="2"/>
  <c r="T963" i="2"/>
  <c r="T1746" i="2"/>
  <c r="T1378" i="2"/>
  <c r="T1789" i="2"/>
  <c r="T585" i="2"/>
  <c r="T544" i="2"/>
  <c r="T842" i="2"/>
  <c r="T1905" i="2"/>
  <c r="T420" i="2"/>
  <c r="T1838" i="2"/>
  <c r="T843" i="2"/>
  <c r="T1311" i="2"/>
  <c r="T377" i="2"/>
  <c r="T1418" i="2"/>
  <c r="T781" i="2"/>
  <c r="T863" i="2"/>
  <c r="T1647" i="2"/>
  <c r="T523" i="2"/>
  <c r="T503" i="2"/>
  <c r="T1295" i="2"/>
  <c r="T181" i="2"/>
  <c r="T1588" i="2"/>
  <c r="T943" i="2"/>
  <c r="T345" i="2"/>
  <c r="T423" i="2"/>
  <c r="T1979" i="2"/>
  <c r="T971" i="2"/>
  <c r="T1489" i="2"/>
  <c r="T1525" i="2"/>
  <c r="T866" i="2"/>
  <c r="T55" i="2"/>
  <c r="T328" i="2"/>
  <c r="T177" i="2"/>
  <c r="T1047" i="2"/>
  <c r="T110" i="2"/>
  <c r="T481" i="2"/>
  <c r="T467" i="2"/>
  <c r="T1938" i="2"/>
  <c r="T770" i="2"/>
  <c r="T1936" i="2"/>
  <c r="T1454" i="2"/>
  <c r="T1597" i="2"/>
  <c r="T1734" i="2"/>
  <c r="T1952" i="2"/>
  <c r="T1061" i="2"/>
  <c r="T936" i="2"/>
  <c r="T1539" i="2"/>
  <c r="T194" i="2"/>
  <c r="T1310" i="2"/>
  <c r="T1472" i="2"/>
  <c r="T454" i="2"/>
  <c r="T1799" i="2"/>
  <c r="T1216" i="2"/>
  <c r="T61" i="2"/>
  <c r="T1558" i="2"/>
  <c r="T1465" i="2"/>
  <c r="T1671" i="2"/>
  <c r="T31" i="2"/>
  <c r="T1728" i="2"/>
  <c r="T1611" i="2"/>
  <c r="T335" i="2"/>
  <c r="T149" i="2"/>
  <c r="T214" i="2"/>
  <c r="T1434" i="2"/>
  <c r="T1758" i="2"/>
  <c r="T166" i="2"/>
  <c r="T1078" i="2"/>
  <c r="T1639" i="2"/>
  <c r="T636" i="2"/>
  <c r="T234" i="2"/>
  <c r="T633" i="2"/>
  <c r="T550" i="2"/>
  <c r="T701" i="2"/>
  <c r="T628" i="2"/>
  <c r="T748" i="2"/>
  <c r="T535" i="2"/>
  <c r="T765" i="2"/>
  <c r="T259" i="2"/>
  <c r="T1970" i="2"/>
  <c r="T1461" i="2"/>
  <c r="T1966" i="2"/>
  <c r="T131" i="2"/>
  <c r="T625" i="2"/>
  <c r="T157" i="2"/>
  <c r="T46" i="2"/>
  <c r="T1908" i="2"/>
  <c r="T147" i="2"/>
  <c r="T87" i="2"/>
  <c r="T1349" i="2"/>
  <c r="T1260" i="2"/>
  <c r="T1244" i="2"/>
  <c r="T1992" i="2"/>
  <c r="T1620" i="2"/>
  <c r="T569" i="2"/>
  <c r="T1507" i="2"/>
  <c r="T1833" i="2"/>
  <c r="T1280" i="2"/>
  <c r="T329" i="2"/>
  <c r="T1018" i="2"/>
  <c r="T1124" i="2"/>
  <c r="T719" i="2"/>
  <c r="T1104" i="2"/>
  <c r="T881" i="2"/>
  <c r="T1898" i="2"/>
  <c r="T674" i="2"/>
  <c r="T56" i="2"/>
  <c r="T898" i="2"/>
  <c r="T740" i="2"/>
  <c r="T858" i="2"/>
  <c r="T1399" i="2"/>
  <c r="T705" i="2"/>
  <c r="T1604" i="2"/>
  <c r="T1842" i="2"/>
  <c r="T991" i="2"/>
  <c r="T1294" i="2"/>
  <c r="T1039" i="2"/>
  <c r="T1326" i="2"/>
  <c r="T940" i="2"/>
  <c r="T950" i="2"/>
  <c r="T746" i="2"/>
  <c r="T1401" i="2"/>
  <c r="T1150" i="2"/>
  <c r="T1340" i="2"/>
  <c r="T974" i="2"/>
  <c r="T508" i="2"/>
  <c r="T1874" i="2"/>
  <c r="T876" i="2"/>
  <c r="T24" i="2"/>
  <c r="T1861" i="2"/>
  <c r="T1131" i="2"/>
  <c r="T340" i="2"/>
  <c r="T672" i="2"/>
  <c r="T840" i="2"/>
  <c r="T1369" i="2"/>
  <c r="T8" i="2"/>
  <c r="T730" i="2"/>
  <c r="T1452" i="2"/>
  <c r="T29" i="2"/>
  <c r="T1699" i="2"/>
  <c r="T581" i="2"/>
  <c r="T1593" i="2"/>
  <c r="T1146" i="2"/>
  <c r="T1736" i="2"/>
  <c r="T1668" i="2"/>
  <c r="T1383" i="2"/>
  <c r="T1250" i="2"/>
  <c r="T851" i="2"/>
  <c r="T614" i="2"/>
  <c r="T1254" i="2"/>
  <c r="T1645" i="2"/>
  <c r="T1049" i="2"/>
  <c r="T1738" i="2"/>
  <c r="T1642" i="2"/>
  <c r="T1424" i="2"/>
  <c r="T1084" i="2"/>
  <c r="T1760" i="2"/>
  <c r="T1240" i="2"/>
  <c r="T1821" i="2"/>
  <c r="T671" i="2"/>
  <c r="T1506" i="2"/>
  <c r="T99" i="2"/>
  <c r="T1686" i="2"/>
  <c r="T278" i="2"/>
  <c r="T435" i="2"/>
  <c r="T1543" i="2"/>
  <c r="T1095" i="2"/>
  <c r="T699" i="2"/>
  <c r="T51" i="2"/>
  <c r="T1775" i="2"/>
  <c r="T582" i="2"/>
  <c r="T653" i="2"/>
  <c r="T1359" i="2"/>
  <c r="T1567" i="2"/>
  <c r="T1127" i="2"/>
  <c r="T1161" i="2"/>
  <c r="T307" i="2"/>
  <c r="T1234" i="2"/>
  <c r="T1272" i="2"/>
  <c r="T580" i="2"/>
  <c r="T1801" i="2"/>
  <c r="T1803" i="2"/>
  <c r="T67" i="2"/>
  <c r="T1046" i="2"/>
  <c r="T211" i="2"/>
  <c r="T741" i="2"/>
  <c r="T972" i="2"/>
  <c r="T979" i="2"/>
  <c r="T1242" i="2"/>
  <c r="T1381" i="2"/>
  <c r="T1848" i="2"/>
  <c r="T474" i="2"/>
  <c r="T1827" i="2"/>
  <c r="T1577" i="2"/>
  <c r="T676" i="2"/>
  <c r="T298" i="2"/>
  <c r="T1405" i="2"/>
  <c r="T1444" i="2"/>
  <c r="T485" i="2"/>
  <c r="T237" i="2"/>
  <c r="T1624" i="2"/>
  <c r="T1336" i="2"/>
  <c r="T139" i="2"/>
  <c r="T1634" i="2"/>
  <c r="T1165" i="2"/>
  <c r="T1022" i="2"/>
  <c r="T543" i="2"/>
  <c r="T1102" i="2"/>
  <c r="T802" i="2"/>
  <c r="T243" i="2"/>
  <c r="T1664" i="2"/>
  <c r="T208" i="2"/>
  <c r="T1900" i="2"/>
  <c r="T1269" i="2"/>
  <c r="T232" i="2"/>
  <c r="T1903" i="2"/>
  <c r="T1719" i="2"/>
  <c r="T1995" i="2"/>
  <c r="T932" i="2"/>
  <c r="T557" i="2"/>
  <c r="T1683" i="2"/>
  <c r="T793" i="2"/>
  <c r="T1451" i="2"/>
  <c r="T1313" i="2"/>
  <c r="T1243" i="2"/>
  <c r="T499" i="2"/>
  <c r="T755" i="2"/>
  <c r="T698" i="2"/>
  <c r="T1050" i="2"/>
  <c r="T1450" i="2"/>
  <c r="T718" i="2"/>
  <c r="T92" i="2"/>
  <c r="T477" i="2"/>
  <c r="T1933" i="2"/>
  <c r="T976" i="2"/>
  <c r="T125" i="2"/>
  <c r="T1248" i="2"/>
  <c r="T1965" i="2"/>
  <c r="T1245" i="2"/>
  <c r="T663" i="2"/>
  <c r="T1321" i="2"/>
  <c r="T1837" i="2"/>
  <c r="T797" i="2"/>
  <c r="T539" i="2"/>
  <c r="T620" i="2"/>
  <c r="T1463" i="2"/>
  <c r="T1545" i="2"/>
  <c r="T1118" i="2"/>
  <c r="T1913" i="2"/>
  <c r="T1423" i="2"/>
  <c r="T1394" i="2"/>
  <c r="T1390" i="2"/>
  <c r="T973" i="2"/>
  <c r="T235" i="2"/>
  <c r="T74" i="2"/>
  <c r="T832" i="2"/>
  <c r="T330" i="2"/>
  <c r="T1304" i="2"/>
  <c r="T926" i="2"/>
  <c r="T1740" i="2"/>
  <c r="T1864" i="2"/>
  <c r="T1897" i="2"/>
  <c r="T1554" i="2"/>
  <c r="T660" i="2"/>
  <c r="T1397" i="2"/>
  <c r="T305" i="2"/>
  <c r="T777" i="2"/>
  <c r="T1721" i="2"/>
  <c r="T522" i="2"/>
  <c r="T502" i="2"/>
  <c r="T391" i="2"/>
  <c r="T1656" i="2"/>
  <c r="T1752" i="2"/>
  <c r="T1238" i="2"/>
  <c r="T1283" i="2"/>
  <c r="T1749" i="2"/>
  <c r="T244" i="2"/>
  <c r="T1282" i="2"/>
  <c r="T1364" i="2"/>
  <c r="T610" i="2"/>
  <c r="T286" i="2"/>
  <c r="T410" i="2"/>
  <c r="T148" i="2"/>
  <c r="T1467" i="2"/>
  <c r="T646" i="2"/>
  <c r="T45" i="2"/>
  <c r="T1134" i="2"/>
  <c r="T1556" i="2"/>
  <c r="T470" i="2"/>
  <c r="T1179" i="2"/>
  <c r="T186" i="2"/>
  <c r="T136" i="2"/>
  <c r="T4" i="2"/>
  <c r="T34" i="2"/>
  <c r="T838" i="2"/>
  <c r="T462" i="2"/>
  <c r="T1014" i="2"/>
  <c r="T1335" i="2"/>
  <c r="T1016" i="2"/>
  <c r="T507" i="2"/>
  <c r="S1707" i="2"/>
  <c r="S687" i="2"/>
  <c r="S756" i="2"/>
  <c r="S1410" i="2"/>
  <c r="S1097" i="2"/>
  <c r="S1972" i="2"/>
  <c r="S1935" i="2"/>
  <c r="S1136" i="2"/>
  <c r="S1190" i="2"/>
  <c r="S290" i="2"/>
  <c r="S903" i="2"/>
  <c r="S447" i="2"/>
  <c r="S413" i="2"/>
  <c r="S1822" i="2"/>
  <c r="S62" i="2"/>
  <c r="S1920" i="2"/>
  <c r="S1941" i="2"/>
  <c r="S769" i="2"/>
  <c r="S1415" i="2"/>
  <c r="S217" i="2"/>
  <c r="S356" i="2"/>
  <c r="S1459" i="2"/>
  <c r="S1485" i="2"/>
  <c r="S7" i="2"/>
  <c r="S180" i="2"/>
  <c r="S888" i="2"/>
  <c r="S1246" i="2"/>
  <c r="S1717" i="2"/>
  <c r="S1971" i="2"/>
  <c r="S122" i="2"/>
  <c r="S1787" i="2"/>
  <c r="S1512" i="2"/>
  <c r="S1301" i="2"/>
  <c r="S441" i="2"/>
  <c r="S1986" i="2"/>
  <c r="S1020" i="2"/>
  <c r="S1330" i="2"/>
  <c r="S1825" i="2"/>
  <c r="S726" i="2"/>
  <c r="S1618" i="2"/>
  <c r="S1052" i="2"/>
  <c r="S140" i="2"/>
  <c r="S1402" i="2"/>
  <c r="S587" i="2"/>
  <c r="S1262" i="2"/>
  <c r="S575" i="2"/>
  <c r="S1480" i="2"/>
  <c r="S1860" i="2"/>
  <c r="S834" i="2"/>
  <c r="S1927" i="2"/>
  <c r="S1578" i="2"/>
  <c r="S909" i="2"/>
  <c r="S1916" i="2"/>
  <c r="S313" i="2"/>
  <c r="S1516" i="2"/>
  <c r="S1122" i="2"/>
  <c r="S1299" i="2"/>
  <c r="S1818" i="2"/>
  <c r="S1182" i="2"/>
  <c r="S1974" i="2"/>
  <c r="S1691" i="2"/>
  <c r="S123" i="2"/>
  <c r="S349" i="2"/>
  <c r="S1447" i="2"/>
  <c r="S1344" i="2"/>
  <c r="S586" i="2"/>
  <c r="S1431" i="2"/>
  <c r="S1235" i="2"/>
  <c r="S482" i="2"/>
  <c r="S1202" i="2"/>
  <c r="S185" i="2"/>
  <c r="S1027" i="2"/>
  <c r="S1587" i="2"/>
  <c r="S897" i="2"/>
  <c r="S245" i="2"/>
  <c r="S567" i="2"/>
  <c r="S1241" i="2"/>
  <c r="S1229" i="2"/>
  <c r="S1125" i="2"/>
  <c r="S1777" i="2"/>
  <c r="S1230" i="2"/>
  <c r="S63" i="2"/>
  <c r="S1488" i="2"/>
  <c r="S1086" i="2"/>
  <c r="S1192" i="2"/>
  <c r="S1542" i="2"/>
  <c r="S1436" i="2"/>
  <c r="S346" i="2"/>
  <c r="S249" i="2"/>
  <c r="S1228" i="2"/>
  <c r="S1449" i="2"/>
  <c r="S488" i="2"/>
  <c r="S283" i="2"/>
  <c r="S1445" i="2"/>
  <c r="S1267" i="2"/>
  <c r="S325" i="2"/>
  <c r="S806" i="2"/>
  <c r="S380" i="2"/>
  <c r="S882" i="2"/>
  <c r="S176" i="2"/>
  <c r="S297" i="2"/>
  <c r="S1323" i="2"/>
  <c r="S1762" i="2"/>
  <c r="S1041" i="2"/>
  <c r="S1285" i="2"/>
  <c r="S1249" i="2"/>
  <c r="S734" i="2"/>
  <c r="S489" i="2"/>
  <c r="S1065" i="2"/>
  <c r="S291" i="2"/>
  <c r="S1505" i="2"/>
  <c r="S1325" i="2"/>
  <c r="S415" i="2"/>
  <c r="S1129" i="2"/>
  <c r="S1499" i="2"/>
  <c r="S1551" i="2"/>
  <c r="S202" i="2"/>
  <c r="S203" i="2"/>
  <c r="S1476" i="2"/>
  <c r="S302" i="2"/>
  <c r="S1508" i="2"/>
  <c r="S1029" i="2"/>
  <c r="S1882" i="2"/>
  <c r="S626" i="2"/>
  <c r="S327" i="2"/>
  <c r="S1607" i="2"/>
  <c r="S334" i="2"/>
  <c r="S1521" i="2"/>
  <c r="S622" i="2"/>
  <c r="S492" i="2"/>
  <c r="S930" i="2"/>
  <c r="S1737" i="2"/>
  <c r="S845" i="2"/>
  <c r="S1730" i="2"/>
  <c r="S919" i="2"/>
  <c r="S910" i="2"/>
  <c r="S783" i="2"/>
  <c r="S179" i="2"/>
  <c r="S174" i="2"/>
  <c r="S239" i="2"/>
  <c r="S564" i="2"/>
  <c r="S512" i="2"/>
  <c r="S1520" i="2"/>
  <c r="S803" i="2"/>
  <c r="S1315" i="2"/>
  <c r="S1288" i="2"/>
  <c r="S1733" i="2"/>
  <c r="S438" i="2"/>
  <c r="S1654" i="2"/>
  <c r="S989" i="2"/>
  <c r="S1284" i="2"/>
  <c r="S556" i="2"/>
  <c r="S457" i="2"/>
  <c r="S1232" i="2"/>
  <c r="S553" i="2"/>
  <c r="S1810" i="2"/>
  <c r="S545" i="2"/>
  <c r="S652" i="2"/>
  <c r="S1949" i="2"/>
  <c r="S743" i="2"/>
  <c r="S744" i="2"/>
  <c r="S103" i="2"/>
  <c r="S1023" i="2"/>
  <c r="S700" i="2"/>
  <c r="S621" i="2"/>
  <c r="S1873" i="2"/>
  <c r="S1981" i="2"/>
  <c r="S1663" i="2"/>
  <c r="S1138" i="2"/>
  <c r="S1498" i="2"/>
  <c r="S862" i="2"/>
  <c r="S1942" i="2"/>
  <c r="S88" i="2"/>
  <c r="S1279" i="2"/>
  <c r="S1996" i="2"/>
  <c r="S1828" i="2"/>
  <c r="S1635" i="2"/>
  <c r="S600" i="2"/>
  <c r="S1902" i="2"/>
  <c r="S1043" i="2"/>
  <c r="S153" i="2"/>
  <c r="S1896" i="2"/>
  <c r="S1853" i="2"/>
  <c r="S911" i="2"/>
  <c r="S1144" i="2"/>
  <c r="S1210" i="2"/>
  <c r="S1033" i="2"/>
  <c r="S509" i="2"/>
  <c r="S807" i="2"/>
  <c r="S635" i="2"/>
  <c r="S1145" i="2"/>
  <c r="S1878" i="2"/>
  <c r="S1536" i="2"/>
  <c r="S337" i="2"/>
  <c r="S20" i="2"/>
  <c r="S1553" i="2"/>
  <c r="S1079" i="2"/>
  <c r="S279" i="2"/>
  <c r="S1433" i="2"/>
  <c r="S927" i="2"/>
  <c r="S1884" i="2"/>
  <c r="S665" i="2"/>
  <c r="S673" i="2"/>
  <c r="S631" i="2"/>
  <c r="S1062" i="2"/>
  <c r="S1700" i="2"/>
  <c r="S1840" i="2"/>
  <c r="S353" i="2"/>
  <c r="S1298" i="2"/>
  <c r="S612" i="2"/>
  <c r="S821" i="2"/>
  <c r="S643" i="2"/>
  <c r="S1960" i="2"/>
  <c r="S1108" i="2"/>
  <c r="S273" i="2"/>
  <c r="S1843" i="2"/>
  <c r="S72" i="2"/>
  <c r="S1361" i="2"/>
  <c r="S686" i="2"/>
  <c r="S1704" i="2"/>
  <c r="S739" i="2"/>
  <c r="S400" i="2"/>
  <c r="S1613" i="2"/>
  <c r="S1032" i="2"/>
  <c r="S1921" i="2"/>
  <c r="S998" i="2"/>
  <c r="S922" i="2"/>
  <c r="S1185" i="2"/>
  <c r="S1915" i="2"/>
  <c r="S130" i="2"/>
  <c r="S109" i="2"/>
  <c r="S786" i="2"/>
  <c r="S1496" i="2"/>
  <c r="S414" i="2"/>
  <c r="S15" i="2"/>
  <c r="S1563" i="2"/>
  <c r="S1149" i="2"/>
  <c r="S983" i="2"/>
  <c r="S1189" i="2"/>
  <c r="S1442" i="2"/>
  <c r="S314" i="2"/>
  <c r="S722" i="2"/>
  <c r="S1119" i="2"/>
  <c r="S1199" i="2"/>
  <c r="S1759" i="2"/>
  <c r="S1675" i="2"/>
  <c r="S1494" i="2"/>
  <c r="S1222" i="2"/>
  <c r="S814" i="2"/>
  <c r="S1532" i="2"/>
  <c r="S1811" i="2"/>
  <c r="S71" i="2"/>
  <c r="S827" i="2"/>
  <c r="S1944" i="2"/>
  <c r="S1694" i="2"/>
  <c r="S1658" i="2"/>
  <c r="S1501" i="2"/>
  <c r="S161" i="2"/>
  <c r="S1802" i="2"/>
  <c r="S242" i="2"/>
  <c r="S1172" i="2"/>
  <c r="S229" i="2"/>
  <c r="S691" i="2"/>
  <c r="S894" i="2"/>
  <c r="S812" i="2"/>
  <c r="S1221" i="2"/>
  <c r="S1797" i="2"/>
  <c r="S458" i="2"/>
  <c r="S199" i="2"/>
  <c r="S1619" i="2"/>
  <c r="S928" i="2"/>
  <c r="S1152" i="2"/>
  <c r="S1636" i="2"/>
  <c r="S891" i="2"/>
  <c r="S404" i="2"/>
  <c r="S452" i="2"/>
  <c r="S648" i="2"/>
  <c r="S1713" i="2"/>
  <c r="S1651" i="2"/>
  <c r="S1529" i="2"/>
  <c r="S591" i="2"/>
  <c r="S537" i="2"/>
  <c r="S1337" i="2"/>
  <c r="S650" i="2"/>
  <c r="S630" i="2"/>
  <c r="S19" i="2"/>
  <c r="S476" i="2"/>
  <c r="S659" i="2"/>
  <c r="S1715" i="2"/>
  <c r="S745" i="2"/>
  <c r="S1703" i="2"/>
  <c r="S129" i="2"/>
  <c r="S118" i="2"/>
  <c r="S860" i="2"/>
  <c r="S733" i="2"/>
  <c r="S1847" i="2"/>
  <c r="S57" i="2"/>
  <c r="S154" i="2"/>
  <c r="S341" i="2"/>
  <c r="S73" i="2"/>
  <c r="S708" i="2"/>
  <c r="S868" i="2"/>
  <c r="S1887" i="2"/>
  <c r="S1771" i="2"/>
  <c r="S12" i="2"/>
  <c r="S538" i="2"/>
  <c r="S1660" i="2"/>
  <c r="S1469" i="2"/>
  <c r="S1514" i="2"/>
  <c r="S895" i="2"/>
  <c r="S510" i="2"/>
  <c r="S431" i="2"/>
  <c r="S1482" i="2"/>
  <c r="S1546" i="2"/>
  <c r="S969" i="2"/>
  <c r="S386" i="2"/>
  <c r="S1067" i="2"/>
  <c r="S1156" i="2"/>
  <c r="S960" i="2"/>
  <c r="S1603" i="2"/>
  <c r="S1035" i="2"/>
  <c r="S1783" i="2"/>
  <c r="S1794" i="2"/>
  <c r="S1116" i="2"/>
  <c r="S1006" i="2"/>
  <c r="S1473" i="2"/>
  <c r="S527" i="2"/>
  <c r="S1458" i="2"/>
  <c r="S1584" i="2"/>
  <c r="S469" i="2"/>
  <c r="S716" i="2"/>
  <c r="S531" i="2"/>
  <c r="S519" i="2"/>
  <c r="S912" i="2"/>
  <c r="S1982" i="2"/>
  <c r="S1376" i="2"/>
  <c r="S800" i="2"/>
  <c r="S1274" i="2"/>
  <c r="S1880" i="2"/>
  <c r="S1456" i="2"/>
  <c r="S562" i="2"/>
  <c r="S1561" i="2"/>
  <c r="S428" i="2"/>
  <c r="S98" i="2"/>
  <c r="S1955" i="2"/>
  <c r="S1891" i="2"/>
  <c r="S1030" i="2"/>
  <c r="S189" i="2"/>
  <c r="S1705" i="2"/>
  <c r="S1976" i="2"/>
  <c r="S422" i="2"/>
  <c r="S1877" i="2"/>
  <c r="S1290" i="2"/>
  <c r="S1761" i="2"/>
  <c r="S1468" i="2"/>
  <c r="S1616" i="2"/>
  <c r="S1640" i="2"/>
  <c r="S871" i="2"/>
  <c r="S409" i="2"/>
  <c r="S1732" i="2"/>
  <c r="S1070" i="2"/>
  <c r="S1901" i="2"/>
  <c r="S471" i="2"/>
  <c r="S111" i="2"/>
  <c r="S1823" i="2"/>
  <c r="S1236" i="2"/>
  <c r="S1824" i="2"/>
  <c r="S1188" i="2"/>
  <c r="S407" i="2"/>
  <c r="S978" i="2"/>
  <c r="S1113" i="2"/>
  <c r="S1343" i="2"/>
  <c r="S220" i="2"/>
  <c r="S209" i="2"/>
  <c r="S908" i="2"/>
  <c r="S1355" i="2"/>
  <c r="S1500" i="2"/>
  <c r="S1626" i="2"/>
  <c r="S295" i="2"/>
  <c r="S618" i="2"/>
  <c r="S310" i="2"/>
  <c r="S1162" i="2"/>
  <c r="S416" i="2"/>
  <c r="S873" i="2"/>
  <c r="S1219" i="2"/>
  <c r="S1948" i="2"/>
  <c r="S338" i="2"/>
  <c r="S529" i="2"/>
  <c r="S1464" i="2"/>
  <c r="S501" i="2"/>
  <c r="S799" i="2"/>
  <c r="S1934" i="2"/>
  <c r="S1566" i="2"/>
  <c r="S1881" i="2"/>
  <c r="S446" i="2"/>
  <c r="S104" i="2"/>
  <c r="S1757" i="2"/>
  <c r="S97" i="2"/>
  <c r="S771" i="2"/>
  <c r="S750" i="2"/>
  <c r="S274" i="2"/>
  <c r="S1571" i="2"/>
  <c r="S1784" i="2"/>
  <c r="S138" i="2"/>
  <c r="S1475" i="2"/>
  <c r="S256" i="2"/>
  <c r="S241" i="2"/>
  <c r="S1772" i="2"/>
  <c r="S487" i="2"/>
  <c r="S782" i="2"/>
  <c r="S711" i="2"/>
  <c r="S350" i="2"/>
  <c r="S837" i="2"/>
  <c r="S1871" i="2"/>
  <c r="S1372" i="2"/>
  <c r="S165" i="2"/>
  <c r="S606" i="2"/>
  <c r="S210" i="2"/>
  <c r="S1990" i="2"/>
  <c r="S768" i="2"/>
  <c r="S1735" i="2"/>
  <c r="S1923" i="2"/>
  <c r="S1780" i="2"/>
  <c r="S21" i="2"/>
  <c r="S1203" i="2"/>
  <c r="S929" i="2"/>
  <c r="S1471" i="2"/>
  <c r="S899" i="2"/>
  <c r="S359" i="2"/>
  <c r="S1328" i="2"/>
  <c r="S902" i="2"/>
  <c r="S1074" i="2"/>
  <c r="S230" i="2"/>
  <c r="S253" i="2"/>
  <c r="S767" i="2"/>
  <c r="S1164" i="2"/>
  <c r="S1796" i="2"/>
  <c r="S1515" i="2"/>
  <c r="S145" i="2"/>
  <c r="S598" i="2"/>
  <c r="S1594" i="2"/>
  <c r="S1831" i="2"/>
  <c r="S1865" i="2"/>
  <c r="S1809" i="2"/>
  <c r="S1373" i="2"/>
  <c r="S1857" i="2"/>
  <c r="S299" i="2"/>
  <c r="S1591" i="2"/>
  <c r="S1548" i="2"/>
  <c r="S1768" i="2"/>
  <c r="S883" i="2"/>
  <c r="S383" i="2"/>
  <c r="S1425" i="2"/>
  <c r="S1814" i="2"/>
  <c r="S565" i="2"/>
  <c r="S1351" i="2"/>
  <c r="S246" i="2"/>
  <c r="S1227" i="2"/>
  <c r="S867" i="2"/>
  <c r="S1641" i="2"/>
  <c r="S1806" i="2"/>
  <c r="S84" i="2"/>
  <c r="S262" i="2"/>
  <c r="S1239" i="2"/>
  <c r="S764" i="2"/>
  <c r="S58" i="2"/>
  <c r="S1914" i="2"/>
  <c r="S611" i="2"/>
  <c r="S100" i="2"/>
  <c r="S536" i="2"/>
  <c r="S1460" i="2"/>
  <c r="S451" i="2"/>
  <c r="S958" i="2"/>
  <c r="S60" i="2"/>
  <c r="S439" i="2"/>
  <c r="S1544" i="2"/>
  <c r="S647" i="2"/>
  <c r="S900" i="2"/>
  <c r="S754" i="2"/>
  <c r="S1205" i="2"/>
  <c r="S1413" i="2"/>
  <c r="S727" i="2"/>
  <c r="S1511" i="2"/>
  <c r="S1128" i="2"/>
  <c r="S1904" i="2"/>
  <c r="S1510" i="2"/>
  <c r="S1167" i="2"/>
  <c r="S1856" i="2"/>
  <c r="S182" i="2"/>
  <c r="S1696" i="2"/>
  <c r="S656" i="2"/>
  <c r="S1987" i="2"/>
  <c r="S1560" i="2"/>
  <c r="S1946" i="2"/>
  <c r="S1711" i="2"/>
  <c r="S1196" i="2"/>
  <c r="S23" i="2"/>
  <c r="S192" i="2"/>
  <c r="S1926" i="2"/>
  <c r="S96" i="2"/>
  <c r="S1428" i="2"/>
  <c r="S460" i="2"/>
  <c r="S1398" i="2"/>
  <c r="S119" i="2"/>
  <c r="S530" i="2"/>
  <c r="S1429" i="2"/>
  <c r="S805" i="2"/>
  <c r="S219" i="2"/>
  <c r="S709" i="2"/>
  <c r="S355" i="2"/>
  <c r="S375" i="2"/>
  <c r="S1850" i="2"/>
  <c r="S817" i="2"/>
  <c r="S1395" i="2"/>
  <c r="S133" i="2"/>
  <c r="S593" i="2"/>
  <c r="S1731" i="2"/>
  <c r="S576" i="2"/>
  <c r="S426" i="2"/>
  <c r="S396" i="2"/>
  <c r="S572" i="2"/>
  <c r="S1370" i="2"/>
  <c r="S1756" i="2"/>
  <c r="S360" i="2"/>
  <c r="S184" i="2"/>
  <c r="S1200" i="2"/>
  <c r="S228" i="2"/>
  <c r="S1858" i="2"/>
  <c r="S517" i="2"/>
  <c r="S1443" i="2"/>
  <c r="S1649" i="2"/>
  <c r="S1629" i="2"/>
  <c r="S1605" i="2"/>
  <c r="S775" i="2"/>
  <c r="S588" i="2"/>
  <c r="S573" i="2"/>
  <c r="S763" i="2"/>
  <c r="S1666" i="2"/>
  <c r="S511" i="2"/>
  <c r="S1163" i="2"/>
  <c r="S1181" i="2"/>
  <c r="S1327" i="2"/>
  <c r="S968" i="2"/>
  <c r="S1609" i="2"/>
  <c r="S1273" i="2"/>
  <c r="S1581" i="2"/>
  <c r="S303" i="2"/>
  <c r="S425" i="2"/>
  <c r="S945" i="2"/>
  <c r="S913" i="2"/>
  <c r="S419" i="2"/>
  <c r="S690" i="2"/>
  <c r="S429" i="2"/>
  <c r="S141" i="2"/>
  <c r="S1793" i="2"/>
  <c r="S546" i="2"/>
  <c r="S151" i="2"/>
  <c r="S332" i="2"/>
  <c r="S982" i="2"/>
  <c r="S331" i="2"/>
  <c r="S265" i="2"/>
  <c r="S542" i="2"/>
  <c r="S255" i="2"/>
  <c r="S1684" i="2"/>
  <c r="S1589" i="2"/>
  <c r="S879" i="2"/>
  <c r="S478" i="2"/>
  <c r="S116" i="2"/>
  <c r="S1198" i="2"/>
  <c r="S408" i="2"/>
  <c r="S1486" i="2"/>
  <c r="S1764" i="2"/>
  <c r="S1170" i="2"/>
  <c r="S384" i="2"/>
  <c r="S285" i="2"/>
  <c r="S1126" i="2"/>
  <c r="S1866" i="2"/>
  <c r="S326" i="2"/>
  <c r="S893" i="2"/>
  <c r="S956" i="2"/>
  <c r="S1207" i="2"/>
  <c r="S468" i="2"/>
  <c r="S723" i="2"/>
  <c r="S808" i="2"/>
  <c r="S1633" i="2"/>
  <c r="S1096" i="2"/>
  <c r="S715" i="2"/>
  <c r="S1570" i="2"/>
  <c r="S347" i="2"/>
  <c r="S1573" i="2"/>
  <c r="S342" i="2"/>
  <c r="S961" i="2"/>
  <c r="S839" i="2"/>
  <c r="S388" i="2"/>
  <c r="S1346" i="2"/>
  <c r="S1975" i="2"/>
  <c r="S1925" i="2"/>
  <c r="S1176" i="2"/>
  <c r="S1110" i="2"/>
  <c r="S1223" i="2"/>
  <c r="S17" i="2"/>
  <c r="S798" i="2"/>
  <c r="S1795" i="2"/>
  <c r="S694" i="2"/>
  <c r="S1151" i="2"/>
  <c r="S102" i="2"/>
  <c r="S619" i="2"/>
  <c r="S816" i="2"/>
  <c r="S801" i="2"/>
  <c r="S1535" i="2"/>
  <c r="S53" i="2"/>
  <c r="S1575" i="2"/>
  <c r="S445" i="2"/>
  <c r="S1374" i="2"/>
  <c r="S1541" i="2"/>
  <c r="S933" i="2"/>
  <c r="S1599" i="2"/>
  <c r="S1275" i="2"/>
  <c r="S444" i="2"/>
  <c r="S757" i="2"/>
  <c r="S231" i="2"/>
  <c r="S1143" i="2"/>
  <c r="S27" i="2"/>
  <c r="S120" i="2"/>
  <c r="S616" i="2"/>
  <c r="S1088" i="2"/>
  <c r="S513" i="2"/>
  <c r="S506" i="2"/>
  <c r="S1569" i="2"/>
  <c r="S853" i="2"/>
  <c r="S1307" i="2"/>
  <c r="S942" i="2"/>
  <c r="S1077" i="2"/>
  <c r="S1411" i="2"/>
  <c r="S1060" i="2"/>
  <c r="S3" i="2"/>
  <c r="S1911" i="2"/>
  <c r="S990" i="2"/>
  <c r="S14" i="2"/>
  <c r="S1907" i="2"/>
  <c r="S156" i="2"/>
  <c r="S880" i="2"/>
  <c r="S939" i="2"/>
  <c r="S81" i="2"/>
  <c r="S1621" i="2"/>
  <c r="S1439" i="2"/>
  <c r="S568" i="2"/>
  <c r="S1296" i="2"/>
  <c r="S1687" i="2"/>
  <c r="S1048" i="2"/>
  <c r="S1404" i="2"/>
  <c r="S250" i="2"/>
  <c r="S1356" i="2"/>
  <c r="S774" i="2"/>
  <c r="S1778" i="2"/>
  <c r="S1201" i="2"/>
  <c r="S238" i="2"/>
  <c r="S1983" i="2"/>
  <c r="S1256" i="2"/>
  <c r="S433" i="2"/>
  <c r="S236" i="2"/>
  <c r="S405" i="2"/>
  <c r="S601" i="2"/>
  <c r="S1259" i="2"/>
  <c r="S1706" i="2"/>
  <c r="S1265" i="2"/>
  <c r="S437" i="2"/>
  <c r="S1139" i="2"/>
  <c r="S682" i="2"/>
  <c r="S1869" i="2"/>
  <c r="S666" i="2"/>
  <c r="S124" i="2"/>
  <c r="S1276" i="2"/>
  <c r="S1419" i="2"/>
  <c r="S1564" i="2"/>
  <c r="S520" i="2"/>
  <c r="S1348" i="2"/>
  <c r="S639" i="2"/>
  <c r="S321" i="2"/>
  <c r="S292" i="2"/>
  <c r="S1331" i="2"/>
  <c r="S1191" i="2"/>
  <c r="S1217" i="2"/>
  <c r="S1071" i="2"/>
  <c r="S1141" i="2"/>
  <c r="S865" i="2"/>
  <c r="S1815" i="2"/>
  <c r="S1854" i="2"/>
  <c r="S1747" i="2"/>
  <c r="S267" i="2"/>
  <c r="S1991" i="2"/>
  <c r="S1690" i="2"/>
  <c r="S1099" i="2"/>
  <c r="S1009" i="2"/>
  <c r="S1698" i="2"/>
  <c r="S1720" i="2"/>
  <c r="S1672" i="2"/>
  <c r="S54" i="2"/>
  <c r="S696" i="2"/>
  <c r="S1184" i="2"/>
  <c r="S32" i="2"/>
  <c r="S50" i="2"/>
  <c r="S453" i="2"/>
  <c r="S1610" i="2"/>
  <c r="S941" i="2"/>
  <c r="S1406" i="2"/>
  <c r="S1766" i="2"/>
  <c r="S641" i="2"/>
  <c r="S1999" i="2"/>
  <c r="S599" i="2"/>
  <c r="S1886" i="2"/>
  <c r="S1785" i="2"/>
  <c r="S1947" i="2"/>
  <c r="S1133" i="2"/>
  <c r="S1183" i="2"/>
  <c r="S993" i="2"/>
  <c r="S392" i="2"/>
  <c r="S432" i="2"/>
  <c r="S114" i="2"/>
  <c r="S152" i="2"/>
  <c r="S306" i="2"/>
  <c r="S997" i="2"/>
  <c r="S440" i="2"/>
  <c r="S884" i="2"/>
  <c r="S196" i="2"/>
  <c r="S1550" i="2"/>
  <c r="S1659" i="2"/>
  <c r="S1875" i="2"/>
  <c r="S1375" i="2"/>
  <c r="S594" i="2"/>
  <c r="S848" i="2"/>
  <c r="S1826" i="2"/>
  <c r="S1109" i="2"/>
  <c r="S1430" i="2"/>
  <c r="S323" i="2"/>
  <c r="S135" i="2"/>
  <c r="S1710" i="2"/>
  <c r="S1628" i="2"/>
  <c r="S1963" i="2"/>
  <c r="S1318" i="2"/>
  <c r="S1154" i="2"/>
  <c r="S1291" i="2"/>
  <c r="S1093" i="2"/>
  <c r="S762" i="2"/>
  <c r="S1748" i="2"/>
  <c r="S822" i="2"/>
  <c r="S1692" i="2"/>
  <c r="S240" i="2"/>
  <c r="S864" i="2"/>
  <c r="S875" i="2"/>
  <c r="S333" i="2"/>
  <c r="S638" i="2"/>
  <c r="S1055" i="2"/>
  <c r="S369" i="2"/>
  <c r="S1754" i="2"/>
  <c r="S1213" i="2"/>
  <c r="S336" i="2"/>
  <c r="S725" i="2"/>
  <c r="S852" i="2"/>
  <c r="S1427" i="2"/>
  <c r="S1637" i="2"/>
  <c r="S1025" i="2"/>
  <c r="S1859" i="2"/>
  <c r="S1786" i="2"/>
  <c r="S938" i="2"/>
  <c r="S1393" i="2"/>
  <c r="S954" i="2"/>
  <c r="S1909" i="2"/>
  <c r="S1676" i="2"/>
  <c r="S831" i="2"/>
  <c r="S1781" i="2"/>
  <c r="S395" i="2"/>
  <c r="S1332" i="2"/>
  <c r="S48" i="2"/>
  <c r="S382" i="2"/>
  <c r="S1072" i="2"/>
  <c r="S721" i="2"/>
  <c r="S225" i="2"/>
  <c r="S1385" i="2"/>
  <c r="S1502" i="2"/>
  <c r="S1953" i="2"/>
  <c r="S1155" i="2"/>
  <c r="S173" i="2"/>
  <c r="S1005" i="2"/>
  <c r="S844" i="2"/>
  <c r="S946" i="2"/>
  <c r="S836" i="2"/>
  <c r="S486" i="2"/>
  <c r="S1614" i="2"/>
  <c r="S1872" i="2"/>
  <c r="S833" i="2"/>
  <c r="S394" i="2"/>
  <c r="S1075" i="2"/>
  <c r="S9" i="2"/>
  <c r="S1534" i="2"/>
  <c r="S1595" i="2"/>
  <c r="S465" i="2"/>
  <c r="S1231" i="2"/>
  <c r="S1193" i="2"/>
  <c r="S724" i="2"/>
  <c r="S496" i="2"/>
  <c r="S201" i="2"/>
  <c r="S190" i="2"/>
  <c r="S1019" i="2"/>
  <c r="S1725" i="2"/>
  <c r="S992" i="2"/>
  <c r="S1744" i="2"/>
  <c r="S1357" i="2"/>
  <c r="S697" i="2"/>
  <c r="S83" i="2"/>
  <c r="S311" i="2"/>
  <c r="S1037" i="2"/>
  <c r="S1177" i="2"/>
  <c r="S1791" i="2"/>
  <c r="S1281" i="2"/>
  <c r="S1389" i="2"/>
  <c r="S1892" i="2"/>
  <c r="S1064" i="2"/>
  <c r="S1094" i="2"/>
  <c r="S693" i="2"/>
  <c r="S967" i="2"/>
  <c r="S1470" i="2"/>
  <c r="S2001" i="2"/>
  <c r="S1870" i="2"/>
  <c r="S1509" i="2"/>
  <c r="S1930" i="2"/>
  <c r="S1924" i="2"/>
  <c r="S363" i="2"/>
  <c r="S1069" i="2"/>
  <c r="S1493" i="2"/>
  <c r="S1523" i="2"/>
  <c r="S94" i="2"/>
  <c r="S1555" i="2"/>
  <c r="S301" i="2"/>
  <c r="S1770" i="2"/>
  <c r="S251" i="2"/>
  <c r="S1739" i="2"/>
  <c r="S987" i="2"/>
  <c r="S227" i="2"/>
  <c r="S1365" i="2"/>
  <c r="S896" i="2"/>
  <c r="S1448" i="2"/>
  <c r="S277" i="2"/>
  <c r="S753" i="2"/>
  <c r="S720" i="2"/>
  <c r="S372" i="2"/>
  <c r="S143" i="2"/>
  <c r="S1135" i="2"/>
  <c r="S343" i="2"/>
  <c r="S1297" i="2"/>
  <c r="S1836" i="2"/>
  <c r="S284" i="2"/>
  <c r="S824" i="2"/>
  <c r="S1846" i="2"/>
  <c r="S1237" i="2"/>
  <c r="S819" i="2"/>
  <c r="S1574" i="2"/>
  <c r="S80" i="2"/>
  <c r="S855" i="2"/>
  <c r="S1252" i="2"/>
  <c r="S497" i="2"/>
  <c r="S1098" i="2"/>
  <c r="S1568" i="2"/>
  <c r="S1576" i="2"/>
  <c r="S1387" i="2"/>
  <c r="S1601" i="2"/>
  <c r="S1741" i="2"/>
  <c r="S579" i="2"/>
  <c r="S1867" i="2"/>
  <c r="S787" i="2"/>
  <c r="S281" i="2"/>
  <c r="S1685" i="2"/>
  <c r="S957" i="2"/>
  <c r="S91" i="2"/>
  <c r="S1899" i="2"/>
  <c r="S778" i="2"/>
  <c r="S1767" i="2"/>
  <c r="S657" i="2"/>
  <c r="S528" i="2"/>
  <c r="S1117" i="2"/>
  <c r="S1420" i="2"/>
  <c r="S1980" i="2"/>
  <c r="S1308" i="2"/>
  <c r="S484" i="2"/>
  <c r="S1883" i="2"/>
  <c r="S1215" i="2"/>
  <c r="S1194" i="2"/>
  <c r="S1817" i="2"/>
  <c r="S959" i="2"/>
  <c r="S1414" i="2"/>
  <c r="S1669" i="2"/>
  <c r="S280" i="2"/>
  <c r="S258" i="2"/>
  <c r="S1931" i="2"/>
  <c r="S547" i="2"/>
  <c r="S464" i="2"/>
  <c r="S1596" i="2"/>
  <c r="S1722" i="2"/>
  <c r="S36" i="2"/>
  <c r="S1928" i="2"/>
  <c r="S1773" i="2"/>
  <c r="S365" i="2"/>
  <c r="S735" i="2"/>
  <c r="S1180" i="2"/>
  <c r="S549" i="2"/>
  <c r="S107" i="2"/>
  <c r="S505" i="2"/>
  <c r="S662" i="2"/>
  <c r="S1716" i="2"/>
  <c r="S813" i="2"/>
  <c r="S1257" i="2"/>
  <c r="S1400" i="2"/>
  <c r="S11" i="2"/>
  <c r="S1562" i="2"/>
  <c r="S1412" i="2"/>
  <c r="S1662" i="2"/>
  <c r="S1985" i="2"/>
  <c r="S1081" i="2"/>
  <c r="S40" i="2"/>
  <c r="S1638" i="2"/>
  <c r="S1058" i="2"/>
  <c r="S461" i="2"/>
  <c r="S1490" i="2"/>
  <c r="S142" i="2"/>
  <c r="S1044" i="2"/>
  <c r="S810" i="2"/>
  <c r="S1115" i="2"/>
  <c r="S1384" i="2"/>
  <c r="S178" i="2"/>
  <c r="S854" i="2"/>
  <c r="S923" i="2"/>
  <c r="S914" i="2"/>
  <c r="S276" i="2"/>
  <c r="S30" i="2"/>
  <c r="S1287" i="2"/>
  <c r="S399" i="2"/>
  <c r="S985" i="2"/>
  <c r="S66" i="2"/>
  <c r="S548" i="2"/>
  <c r="S826" i="2"/>
  <c r="S962" i="2"/>
  <c r="S937" i="2"/>
  <c r="S1277" i="2"/>
  <c r="S1158" i="2"/>
  <c r="S1168" i="2"/>
  <c r="S1438" i="2"/>
  <c r="S1572" i="2"/>
  <c r="S1484" i="2"/>
  <c r="S541" i="2"/>
  <c r="S52" i="2"/>
  <c r="S1263" i="2"/>
  <c r="S702" i="2"/>
  <c r="S1549" i="2"/>
  <c r="S361" i="2"/>
  <c r="S856" i="2"/>
  <c r="S1997" i="2"/>
  <c r="S953" i="2"/>
  <c r="S684" i="2"/>
  <c r="S1085" i="2"/>
  <c r="S373" i="2"/>
  <c r="S459" i="2"/>
  <c r="S248" i="2"/>
  <c r="S401" i="2"/>
  <c r="S935" i="2"/>
  <c r="S504" i="2"/>
  <c r="S1208" i="2"/>
  <c r="S514" i="2"/>
  <c r="S137" i="2"/>
  <c r="S59" i="2"/>
  <c r="S226" i="2"/>
  <c r="S809" i="2"/>
  <c r="S1895" i="2"/>
  <c r="S1363" i="2"/>
  <c r="S623" i="2"/>
  <c r="S679" i="2"/>
  <c r="S1100" i="2"/>
  <c r="S846" i="2"/>
  <c r="S890" i="2"/>
  <c r="S466" i="2"/>
  <c r="S820" i="2"/>
  <c r="S1889" i="2"/>
  <c r="S5" i="2"/>
  <c r="S742" i="2"/>
  <c r="S1278" i="2"/>
  <c r="S1852" i="2"/>
  <c r="S1339" i="2"/>
  <c r="S1002" i="2"/>
  <c r="S1937" i="2"/>
  <c r="S1007" i="2"/>
  <c r="S1559" i="2"/>
  <c r="S796" i="2"/>
  <c r="S39" i="2"/>
  <c r="S1462" i="2"/>
  <c r="S1557" i="2"/>
  <c r="S1632" i="2"/>
  <c r="S966" i="2"/>
  <c r="S1819" i="2"/>
  <c r="S678" i="2"/>
  <c r="S1812" i="2"/>
  <c r="S1689" i="2"/>
  <c r="S617" i="2"/>
  <c r="S269" i="2"/>
  <c r="S1366" i="2"/>
  <c r="S233" i="2"/>
  <c r="S172" i="2"/>
  <c r="S1388" i="2"/>
  <c r="S791" i="2"/>
  <c r="S1989" i="2"/>
  <c r="S986" i="2"/>
  <c r="S944" i="2"/>
  <c r="S1834" i="2"/>
  <c r="S35" i="2"/>
  <c r="S1003" i="2"/>
  <c r="S994" i="2"/>
  <c r="S362" i="2"/>
  <c r="S729" i="2"/>
  <c r="S1441" i="2"/>
  <c r="S1622" i="2"/>
  <c r="S603" i="2"/>
  <c r="S483" i="2"/>
  <c r="S43" i="2"/>
  <c r="S732" i="2"/>
  <c r="S651" i="2"/>
  <c r="S1264" i="2"/>
  <c r="S390" i="2"/>
  <c r="S1623" i="2"/>
  <c r="S713" i="2"/>
  <c r="S1107" i="2"/>
  <c r="S134" i="2"/>
  <c r="S1261" i="2"/>
  <c r="S78" i="2"/>
  <c r="S761" i="2"/>
  <c r="S1166" i="2"/>
  <c r="S289" i="2"/>
  <c r="S1967" i="2"/>
  <c r="S6" i="2"/>
  <c r="S1940" i="2"/>
  <c r="S1751" i="2"/>
  <c r="S449" i="2"/>
  <c r="S1580" i="2"/>
  <c r="S1906" i="2"/>
  <c r="S1969" i="2"/>
  <c r="S779" i="2"/>
  <c r="S654" i="2"/>
  <c r="S352" i="2"/>
  <c r="S1841" i="2"/>
  <c r="S1487" i="2"/>
  <c r="S1600" i="2"/>
  <c r="S1832" i="2"/>
  <c r="S747" i="2"/>
  <c r="S1342" i="2"/>
  <c r="S1417" i="2"/>
  <c r="S825" i="2"/>
  <c r="S921" i="2"/>
  <c r="S379" i="2"/>
  <c r="S533" i="2"/>
  <c r="S1314" i="2"/>
  <c r="S1679" i="2"/>
  <c r="S1844" i="2"/>
  <c r="S1503" i="2"/>
  <c r="S1519" i="2"/>
  <c r="S354" i="2"/>
  <c r="S952" i="2"/>
  <c r="S1341" i="2"/>
  <c r="S1090" i="2"/>
  <c r="S308" i="2"/>
  <c r="S655" i="2"/>
  <c r="S1968" i="2"/>
  <c r="S387" i="2"/>
  <c r="S472" i="2"/>
  <c r="S829" i="2"/>
  <c r="S500" i="2"/>
  <c r="S1973" i="2"/>
  <c r="S1893" i="2"/>
  <c r="S312" i="2"/>
  <c r="S1317" i="2"/>
  <c r="S1961" i="2"/>
  <c r="S1727" i="2"/>
  <c r="S1504" i="2"/>
  <c r="S159" i="2"/>
  <c r="S1353" i="2"/>
  <c r="S1808" i="2"/>
  <c r="S1255" i="2"/>
  <c r="S1862" i="2"/>
  <c r="S1225" i="2"/>
  <c r="S160" i="2"/>
  <c r="S766" i="2"/>
  <c r="S206" i="2"/>
  <c r="S163" i="2"/>
  <c r="S1627" i="2"/>
  <c r="S1300" i="2"/>
  <c r="S316" i="2"/>
  <c r="S294" i="2"/>
  <c r="S1598" i="2"/>
  <c r="S498" i="2"/>
  <c r="S223" i="2"/>
  <c r="S1021" i="2"/>
  <c r="S1253" i="2"/>
  <c r="S1350" i="2"/>
  <c r="S1839" i="2"/>
  <c r="S1845" i="2"/>
  <c r="S1518" i="2"/>
  <c r="S1681" i="2"/>
  <c r="S717" i="2"/>
  <c r="S559" i="2"/>
  <c r="S1106" i="2"/>
  <c r="S1879" i="2"/>
  <c r="S1270" i="2"/>
  <c r="S1303" i="2"/>
  <c r="S823" i="2"/>
  <c r="S1497" i="2"/>
  <c r="S1435" i="2"/>
  <c r="S596" i="2"/>
  <c r="S892" i="2"/>
  <c r="S1957" i="2"/>
  <c r="S1187" i="2"/>
  <c r="S1457" i="2"/>
  <c r="S1813" i="2"/>
  <c r="S1646" i="2"/>
  <c r="S889" i="2"/>
  <c r="S795" i="2"/>
  <c r="S772" i="2"/>
  <c r="S1917" i="2"/>
  <c r="S366" i="2"/>
  <c r="S455" i="2"/>
  <c r="S150" i="2"/>
  <c r="S749" i="2"/>
  <c r="S1137" i="2"/>
  <c r="S1517" i="2"/>
  <c r="S1951" i="2"/>
  <c r="S1984" i="2"/>
  <c r="S271" i="2"/>
  <c r="S975" i="2"/>
  <c r="S1590" i="2"/>
  <c r="S1954" i="2"/>
  <c r="S193" i="2"/>
  <c r="S213" i="2"/>
  <c r="S65" i="2"/>
  <c r="S1729" i="2"/>
  <c r="S1988" i="2"/>
  <c r="S475" i="2"/>
  <c r="S642" i="2"/>
  <c r="S1209" i="2"/>
  <c r="S566" i="2"/>
  <c r="S221" i="2"/>
  <c r="S1160" i="2"/>
  <c r="S1087" i="2"/>
  <c r="S1945" i="2"/>
  <c r="S1247" i="2"/>
  <c r="S917" i="2"/>
  <c r="S1929" i="2"/>
  <c r="S534" i="2"/>
  <c r="S1670" i="2"/>
  <c r="S1157" i="2"/>
  <c r="S1863" i="2"/>
  <c r="S403" i="2"/>
  <c r="S1630" i="2"/>
  <c r="S1653" i="2"/>
  <c r="S1876" i="2"/>
  <c r="S1206" i="2"/>
  <c r="S1437" i="2"/>
  <c r="S266" i="2"/>
  <c r="S1527" i="2"/>
  <c r="S1233" i="2"/>
  <c r="S1426" i="2"/>
  <c r="S1380" i="2"/>
  <c r="S357" i="2"/>
  <c r="S1000" i="2"/>
  <c r="S1537" i="2"/>
  <c r="S792" i="2"/>
  <c r="S1993" i="2"/>
  <c r="S212" i="2"/>
  <c r="S1036" i="2"/>
  <c r="S2" i="2"/>
  <c r="S1998" i="2"/>
  <c r="S785" i="2"/>
  <c r="S1528" i="2"/>
  <c r="S1688" i="2"/>
  <c r="S33" i="2"/>
  <c r="S1352" i="2"/>
  <c r="S869" i="2"/>
  <c r="S608" i="2"/>
  <c r="S1888" i="2"/>
  <c r="S393" i="2"/>
  <c r="S1816" i="2"/>
  <c r="S1522" i="2"/>
  <c r="S70" i="2"/>
  <c r="S79" i="2"/>
  <c r="S188" i="2"/>
  <c r="S64" i="2"/>
  <c r="S1319" i="2"/>
  <c r="S270" i="2"/>
  <c r="S1800" i="2"/>
  <c r="S1547" i="2"/>
  <c r="S555" i="2"/>
  <c r="S1132" i="2"/>
  <c r="S1602" i="2"/>
  <c r="S1266" i="2"/>
  <c r="S1038" i="2"/>
  <c r="S376" i="2"/>
  <c r="S264" i="2"/>
  <c r="S1533" i="2"/>
  <c r="S1612" i="2"/>
  <c r="S931" i="2"/>
  <c r="S282" i="2"/>
  <c r="S584" i="2"/>
  <c r="S106" i="2"/>
  <c r="S1367" i="2"/>
  <c r="S861" i="2"/>
  <c r="S480" i="2"/>
  <c r="S707" i="2"/>
  <c r="S1392" i="2"/>
  <c r="S1792" i="2"/>
  <c r="S1682" i="2"/>
  <c r="S918" i="2"/>
  <c r="S1130" i="2"/>
  <c r="S1702" i="2"/>
  <c r="S752" i="2"/>
  <c r="S925" i="2"/>
  <c r="S378" i="2"/>
  <c r="S191" i="2"/>
  <c r="S263" i="2"/>
  <c r="S1212" i="2"/>
  <c r="S254" i="2"/>
  <c r="S981" i="2"/>
  <c r="S1606" i="2"/>
  <c r="S1011" i="2"/>
  <c r="S117" i="2"/>
  <c r="S1305" i="2"/>
  <c r="S1977" i="2"/>
  <c r="S712" i="2"/>
  <c r="S695" i="2"/>
  <c r="S1028" i="2"/>
  <c r="S304" i="2"/>
  <c r="S16" i="2"/>
  <c r="S222" i="2"/>
  <c r="S607" i="2"/>
  <c r="S597" i="2"/>
  <c r="S456" i="2"/>
  <c r="S1695" i="2"/>
  <c r="S677" i="2"/>
  <c r="S207" i="2"/>
  <c r="S77" i="2"/>
  <c r="S521" i="2"/>
  <c r="S731" i="2"/>
  <c r="S1076" i="2"/>
  <c r="S1820" i="2"/>
  <c r="S1526" i="2"/>
  <c r="S1045" i="2"/>
  <c r="S874" i="2"/>
  <c r="S907" i="2"/>
  <c r="S955" i="2"/>
  <c r="S463" i="2"/>
  <c r="S436" i="2"/>
  <c r="S113" i="2"/>
  <c r="S1481" i="2"/>
  <c r="S870" i="2"/>
  <c r="S1042" i="2"/>
  <c r="S351" i="2"/>
  <c r="S1910" i="2"/>
  <c r="S1114" i="2"/>
  <c r="S1483" i="2"/>
  <c r="S358" i="2"/>
  <c r="S1024" i="2"/>
  <c r="S1723" i="2"/>
  <c r="S22" i="2"/>
  <c r="S751" i="2"/>
  <c r="S540" i="2"/>
  <c r="S47" i="2"/>
  <c r="S728" i="2"/>
  <c r="S319" i="2"/>
  <c r="S450" i="2"/>
  <c r="S681" i="2"/>
  <c r="S1174" i="2"/>
  <c r="S1631" i="2"/>
  <c r="S1849" i="2"/>
  <c r="S924" i="2"/>
  <c r="S1769" i="2"/>
  <c r="S1004" i="2"/>
  <c r="S115" i="2"/>
  <c r="S1709" i="2"/>
  <c r="S644" i="2"/>
  <c r="S1173" i="2"/>
  <c r="S443" i="2"/>
  <c r="S1422" i="2"/>
  <c r="S1693" i="2"/>
  <c r="S849" i="2"/>
  <c r="S788" i="2"/>
  <c r="S613" i="2"/>
  <c r="S758" i="2"/>
  <c r="S885" i="2"/>
  <c r="S574" i="2"/>
  <c r="S947" i="2"/>
  <c r="S710" i="2"/>
  <c r="S448" i="2"/>
  <c r="S920" i="2"/>
  <c r="S41" i="2"/>
  <c r="S170" i="2"/>
  <c r="S317" i="2"/>
  <c r="S1371" i="2"/>
  <c r="S1978" i="2"/>
  <c r="S551" i="2"/>
  <c r="S780" i="2"/>
  <c r="S257" i="2"/>
  <c r="S1169" i="2"/>
  <c r="S112" i="2"/>
  <c r="S18" i="2"/>
  <c r="S424" i="2"/>
  <c r="S526" i="2"/>
  <c r="S288" i="2"/>
  <c r="S1083" i="2"/>
  <c r="S1625" i="2"/>
  <c r="S1073" i="2"/>
  <c r="S847" i="2"/>
  <c r="S904" i="2"/>
  <c r="S1408" i="2"/>
  <c r="S95" i="2"/>
  <c r="S1017" i="2"/>
  <c r="S1774" i="2"/>
  <c r="S1855" i="2"/>
  <c r="S1776" i="2"/>
  <c r="S1379" i="2"/>
  <c r="S649" i="2"/>
  <c r="S1650" i="2"/>
  <c r="S144" i="2"/>
  <c r="S627" i="2"/>
  <c r="S1015" i="2"/>
  <c r="S1890" i="2"/>
  <c r="S1586" i="2"/>
  <c r="S442" i="2"/>
  <c r="S374" i="2"/>
  <c r="S532" i="2"/>
  <c r="S704" i="2"/>
  <c r="S1665" i="2"/>
  <c r="S835" i="2"/>
  <c r="S934" i="2"/>
  <c r="S493" i="2"/>
  <c r="S224" i="2"/>
  <c r="S1068" i="2"/>
  <c r="S13" i="2"/>
  <c r="S887" i="2"/>
  <c r="S1120" i="2"/>
  <c r="S155" i="2"/>
  <c r="S1655" i="2"/>
  <c r="S905" i="2"/>
  <c r="S1835" i="2"/>
  <c r="S830" i="2"/>
  <c r="S1063" i="2"/>
  <c r="S664" i="2"/>
  <c r="S1495" i="2"/>
  <c r="S1617" i="2"/>
  <c r="S1226" i="2"/>
  <c r="S1334" i="2"/>
  <c r="S200" i="2"/>
  <c r="S1407" i="2"/>
  <c r="S1197" i="2"/>
  <c r="S1724" i="2"/>
  <c r="S1089" i="2"/>
  <c r="S272" i="2"/>
  <c r="S760" i="2"/>
  <c r="S121" i="2"/>
  <c r="S554" i="2"/>
  <c r="S872" i="2"/>
  <c r="S667" i="2"/>
  <c r="S857" i="2"/>
  <c r="S247" i="2"/>
  <c r="S412" i="2"/>
  <c r="S1531" i="2"/>
  <c r="S1175" i="2"/>
  <c r="S1939" i="2"/>
  <c r="S683" i="2"/>
  <c r="S1080" i="2"/>
  <c r="S1211" i="2"/>
  <c r="S561" i="2"/>
  <c r="S216" i="2"/>
  <c r="S26" i="2"/>
  <c r="S1153" i="2"/>
  <c r="S629" i="2"/>
  <c r="S558" i="2"/>
  <c r="S252" i="2"/>
  <c r="S1309" i="2"/>
  <c r="S1251" i="2"/>
  <c r="S525" i="2"/>
  <c r="S776" i="2"/>
  <c r="S1718" i="2"/>
  <c r="S784" i="2"/>
  <c r="S1524" i="2"/>
  <c r="S1712" i="2"/>
  <c r="S1105" i="2"/>
  <c r="S670" i="2"/>
  <c r="S1779" i="2"/>
  <c r="S570" i="2"/>
  <c r="S473" i="2"/>
  <c r="S714" i="2"/>
  <c r="S1082" i="2"/>
  <c r="S1159" i="2"/>
  <c r="S348" i="2"/>
  <c r="S402" i="2"/>
  <c r="S44" i="2"/>
  <c r="S563" i="2"/>
  <c r="S1790" i="2"/>
  <c r="S706" i="2"/>
  <c r="S128" i="2"/>
  <c r="S1123" i="2"/>
  <c r="S1491" i="2"/>
  <c r="S93" i="2"/>
  <c r="S1103" i="2"/>
  <c r="S1538" i="2"/>
  <c r="S490" i="2"/>
  <c r="S389" i="2"/>
  <c r="S995" i="2"/>
  <c r="S1358" i="2"/>
  <c r="S680" i="2"/>
  <c r="S949" i="2"/>
  <c r="S624" i="2"/>
  <c r="S1171" i="2"/>
  <c r="S1382" i="2"/>
  <c r="S1643" i="2"/>
  <c r="S75" i="2"/>
  <c r="S1829" i="2"/>
  <c r="S689" i="2"/>
  <c r="S1750" i="2"/>
  <c r="S28" i="2"/>
  <c r="S1312" i="2"/>
  <c r="S859" i="2"/>
  <c r="S661" i="2"/>
  <c r="S1667" i="2"/>
  <c r="S980" i="2"/>
  <c r="S381" i="2"/>
  <c r="S1258" i="2"/>
  <c r="S397" i="2"/>
  <c r="S640" i="2"/>
  <c r="S804" i="2"/>
  <c r="S1608" i="2"/>
  <c r="S1324" i="2"/>
  <c r="S1031" i="2"/>
  <c r="S215" i="2"/>
  <c r="S1648" i="2"/>
  <c r="S398" i="2"/>
  <c r="S1121" i="2"/>
  <c r="S300" i="2"/>
  <c r="S1034" i="2"/>
  <c r="S1306" i="2"/>
  <c r="S260" i="2"/>
  <c r="S268" i="2"/>
  <c r="S1592" i="2"/>
  <c r="S1657" i="2"/>
  <c r="S430" i="2"/>
  <c r="S367" i="2"/>
  <c r="S318" i="2"/>
  <c r="S1051" i="2"/>
  <c r="S688" i="2"/>
  <c r="S605" i="2"/>
  <c r="S1440" i="2"/>
  <c r="S811" i="2"/>
  <c r="S1316" i="2"/>
  <c r="S494" i="2"/>
  <c r="S86" i="2"/>
  <c r="S1513" i="2"/>
  <c r="S1092" i="2"/>
  <c r="S850" i="2"/>
  <c r="S434" i="2"/>
  <c r="S1943" i="2"/>
  <c r="S1140" i="2"/>
  <c r="S1455" i="2"/>
  <c r="S1466" i="2"/>
  <c r="S592" i="2"/>
  <c r="S85" i="2"/>
  <c r="S385" i="2"/>
  <c r="S1959" i="2"/>
  <c r="S571" i="2"/>
  <c r="S1142" i="2"/>
  <c r="S964" i="2"/>
  <c r="S198" i="2"/>
  <c r="S1674" i="2"/>
  <c r="S518" i="2"/>
  <c r="S685" i="2"/>
  <c r="S1026" i="2"/>
  <c r="S668" i="2"/>
  <c r="S632" i="2"/>
  <c r="S421" i="2"/>
  <c r="S515" i="2"/>
  <c r="S965" i="2"/>
  <c r="S167" i="2"/>
  <c r="S1271" i="2"/>
  <c r="S675" i="2"/>
  <c r="S1354" i="2"/>
  <c r="S1615" i="2"/>
  <c r="S1293" i="2"/>
  <c r="S1805" i="2"/>
  <c r="S916" i="2"/>
  <c r="S183" i="2"/>
  <c r="S948" i="2"/>
  <c r="S344" i="2"/>
  <c r="S1708" i="2"/>
  <c r="S1804" i="2"/>
  <c r="S703" i="2"/>
  <c r="S1964" i="2"/>
  <c r="S1059" i="2"/>
  <c r="S1416" i="2"/>
  <c r="S1268" i="2"/>
  <c r="S1830" i="2"/>
  <c r="S996" i="2"/>
  <c r="S90" i="2"/>
  <c r="S886" i="2"/>
  <c r="S368" i="2"/>
  <c r="S1329" i="2"/>
  <c r="S187" i="2"/>
  <c r="S1147" i="2"/>
  <c r="S411" i="2"/>
  <c r="S76" i="2"/>
  <c r="S736" i="2"/>
  <c r="S645" i="2"/>
  <c r="S320" i="2"/>
  <c r="S218" i="2"/>
  <c r="S1204" i="2"/>
  <c r="S1583" i="2"/>
  <c r="S1432" i="2"/>
  <c r="S1421" i="2"/>
  <c r="S984" i="2"/>
  <c r="S560" i="2"/>
  <c r="S1585" i="2"/>
  <c r="S197" i="2"/>
  <c r="S915" i="2"/>
  <c r="S108" i="2"/>
  <c r="S1302" i="2"/>
  <c r="S1091" i="2"/>
  <c r="S204" i="2"/>
  <c r="S1745" i="2"/>
  <c r="S1474" i="2"/>
  <c r="S1919" i="2"/>
  <c r="S1403" i="2"/>
  <c r="S1386" i="2"/>
  <c r="S1322" i="2"/>
  <c r="S658" i="2"/>
  <c r="S275" i="2"/>
  <c r="S25" i="2"/>
  <c r="S158" i="2"/>
  <c r="S1807" i="2"/>
  <c r="S322" i="2"/>
  <c r="S164" i="2"/>
  <c r="S406" i="2"/>
  <c r="S127" i="2"/>
  <c r="S1885" i="2"/>
  <c r="S1391" i="2"/>
  <c r="S1333" i="2"/>
  <c r="S737" i="2"/>
  <c r="S1579" i="2"/>
  <c r="S773" i="2"/>
  <c r="S988" i="2"/>
  <c r="S1798" i="2"/>
  <c r="S205" i="2"/>
  <c r="S1782" i="2"/>
  <c r="S339" i="2"/>
  <c r="S1673" i="2"/>
  <c r="S1582" i="2"/>
  <c r="S89" i="2"/>
  <c r="S790" i="2"/>
  <c r="S595" i="2"/>
  <c r="S692" i="2"/>
  <c r="S315" i="2"/>
  <c r="S634" i="2"/>
  <c r="S49" i="2"/>
  <c r="S604" i="2"/>
  <c r="S1697" i="2"/>
  <c r="S169" i="2"/>
  <c r="S1409" i="2"/>
  <c r="S1377" i="2"/>
  <c r="S10" i="2"/>
  <c r="S1962" i="2"/>
  <c r="S38" i="2"/>
  <c r="S1012" i="2"/>
  <c r="S1918" i="2"/>
  <c r="S1565" i="2"/>
  <c r="S1195" i="2"/>
  <c r="S1755" i="2"/>
  <c r="S669" i="2"/>
  <c r="S495" i="2"/>
  <c r="S1742" i="2"/>
  <c r="S1224" i="2"/>
  <c r="S175" i="2"/>
  <c r="S552" i="2"/>
  <c r="S1008" i="2"/>
  <c r="S1040" i="2"/>
  <c r="S1057" i="2"/>
  <c r="S815" i="2"/>
  <c r="S637" i="2"/>
  <c r="S1338" i="2"/>
  <c r="S970" i="2"/>
  <c r="S901" i="2"/>
  <c r="S1677" i="2"/>
  <c r="S877" i="2"/>
  <c r="S82" i="2"/>
  <c r="S1453" i="2"/>
  <c r="S1530" i="2"/>
  <c r="S1644" i="2"/>
  <c r="S364" i="2"/>
  <c r="S309" i="2"/>
  <c r="S1765" i="2"/>
  <c r="S578" i="2"/>
  <c r="S1994" i="2"/>
  <c r="S1763" i="2"/>
  <c r="S195" i="2"/>
  <c r="S1479" i="2"/>
  <c r="S1894" i="2"/>
  <c r="S602" i="2"/>
  <c r="S1010" i="2"/>
  <c r="S1178" i="2"/>
  <c r="S1678" i="2"/>
  <c r="S1320" i="2"/>
  <c r="S1726" i="2"/>
  <c r="S1218" i="2"/>
  <c r="S1956" i="2"/>
  <c r="S132" i="2"/>
  <c r="S738" i="2"/>
  <c r="S101" i="2"/>
  <c r="S1950" i="2"/>
  <c r="S491" i="2"/>
  <c r="S1286" i="2"/>
  <c r="S427" i="2"/>
  <c r="S999" i="2"/>
  <c r="S296" i="2"/>
  <c r="S1743" i="2"/>
  <c r="S590" i="2"/>
  <c r="S1214" i="2"/>
  <c r="S1186" i="2"/>
  <c r="S417" i="2"/>
  <c r="S1788" i="2"/>
  <c r="S370" i="2"/>
  <c r="S589" i="2"/>
  <c r="S1652" i="2"/>
  <c r="S171" i="2"/>
  <c r="S828" i="2"/>
  <c r="S1958" i="2"/>
  <c r="S1360" i="2"/>
  <c r="S789" i="2"/>
  <c r="S1056" i="2"/>
  <c r="S759" i="2"/>
  <c r="S293" i="2"/>
  <c r="S577" i="2"/>
  <c r="S1540" i="2"/>
  <c r="S1220" i="2"/>
  <c r="S1345" i="2"/>
  <c r="S1478" i="2"/>
  <c r="S1101" i="2"/>
  <c r="S146" i="2"/>
  <c r="S1680" i="2"/>
  <c r="S1851" i="2"/>
  <c r="S479" i="2"/>
  <c r="S1396" i="2"/>
  <c r="S818" i="2"/>
  <c r="S878" i="2"/>
  <c r="S1701" i="2"/>
  <c r="S1054" i="2"/>
  <c r="S68" i="2"/>
  <c r="S524" i="2"/>
  <c r="S1112" i="2"/>
  <c r="S1289" i="2"/>
  <c r="S1148" i="2"/>
  <c r="S1368" i="2"/>
  <c r="S977" i="2"/>
  <c r="S1492" i="2"/>
  <c r="S1013" i="2"/>
  <c r="S615" i="2"/>
  <c r="S1446" i="2"/>
  <c r="S1868" i="2"/>
  <c r="S1552" i="2"/>
  <c r="S1001" i="2"/>
  <c r="S418" i="2"/>
  <c r="S1714" i="2"/>
  <c r="S42" i="2"/>
  <c r="S1111" i="2"/>
  <c r="S794" i="2"/>
  <c r="S609" i="2"/>
  <c r="S162" i="2"/>
  <c r="S1753" i="2"/>
  <c r="S1347" i="2"/>
  <c r="S951" i="2"/>
  <c r="S1922" i="2"/>
  <c r="S583" i="2"/>
  <c r="S105" i="2"/>
  <c r="S168" i="2"/>
  <c r="S1477" i="2"/>
  <c r="S287" i="2"/>
  <c r="S371" i="2"/>
  <c r="S69" i="2"/>
  <c r="S261" i="2"/>
  <c r="S516" i="2"/>
  <c r="S1066" i="2"/>
  <c r="S841" i="2"/>
  <c r="S1053" i="2"/>
  <c r="S1362" i="2"/>
  <c r="S324" i="2"/>
  <c r="S1292" i="2"/>
  <c r="S37" i="2"/>
  <c r="S126" i="2"/>
  <c r="S1912" i="2"/>
  <c r="S1661" i="2"/>
  <c r="S1932" i="2"/>
  <c r="S906" i="2"/>
  <c r="S2000" i="2"/>
  <c r="S963" i="2"/>
  <c r="S1746" i="2"/>
  <c r="S1378" i="2"/>
  <c r="S1789" i="2"/>
  <c r="S585" i="2"/>
  <c r="S544" i="2"/>
  <c r="S842" i="2"/>
  <c r="S1905" i="2"/>
  <c r="S420" i="2"/>
  <c r="S1838" i="2"/>
  <c r="S843" i="2"/>
  <c r="S1311" i="2"/>
  <c r="S377" i="2"/>
  <c r="S1418" i="2"/>
  <c r="S781" i="2"/>
  <c r="S863" i="2"/>
  <c r="S1647" i="2"/>
  <c r="S523" i="2"/>
  <c r="S503" i="2"/>
  <c r="S1295" i="2"/>
  <c r="S181" i="2"/>
  <c r="S1588" i="2"/>
  <c r="S943" i="2"/>
  <c r="S345" i="2"/>
  <c r="S423" i="2"/>
  <c r="S1979" i="2"/>
  <c r="S971" i="2"/>
  <c r="S1489" i="2"/>
  <c r="S1525" i="2"/>
  <c r="S866" i="2"/>
  <c r="S55" i="2"/>
  <c r="S328" i="2"/>
  <c r="S177" i="2"/>
  <c r="S1047" i="2"/>
  <c r="S110" i="2"/>
  <c r="S481" i="2"/>
  <c r="S467" i="2"/>
  <c r="S1938" i="2"/>
  <c r="S770" i="2"/>
  <c r="S1936" i="2"/>
  <c r="S1454" i="2"/>
  <c r="S1597" i="2"/>
  <c r="S1734" i="2"/>
  <c r="S1952" i="2"/>
  <c r="S1061" i="2"/>
  <c r="S936" i="2"/>
  <c r="S1539" i="2"/>
  <c r="S194" i="2"/>
  <c r="S1310" i="2"/>
  <c r="S1472" i="2"/>
  <c r="S454" i="2"/>
  <c r="S1799" i="2"/>
  <c r="S1216" i="2"/>
  <c r="S61" i="2"/>
  <c r="S1558" i="2"/>
  <c r="S1465" i="2"/>
  <c r="S1671" i="2"/>
  <c r="S31" i="2"/>
  <c r="S1728" i="2"/>
  <c r="S1611" i="2"/>
  <c r="S335" i="2"/>
  <c r="S149" i="2"/>
  <c r="S214" i="2"/>
  <c r="S1434" i="2"/>
  <c r="S1758" i="2"/>
  <c r="S166" i="2"/>
  <c r="S1078" i="2"/>
  <c r="S1639" i="2"/>
  <c r="S636" i="2"/>
  <c r="S234" i="2"/>
  <c r="S633" i="2"/>
  <c r="S550" i="2"/>
  <c r="S701" i="2"/>
  <c r="S628" i="2"/>
  <c r="S748" i="2"/>
  <c r="S535" i="2"/>
  <c r="S765" i="2"/>
  <c r="S259" i="2"/>
  <c r="S1970" i="2"/>
  <c r="S1461" i="2"/>
  <c r="S1966" i="2"/>
  <c r="S131" i="2"/>
  <c r="S625" i="2"/>
  <c r="S157" i="2"/>
  <c r="S46" i="2"/>
  <c r="S1908" i="2"/>
  <c r="S147" i="2"/>
  <c r="S87" i="2"/>
  <c r="S1349" i="2"/>
  <c r="S1260" i="2"/>
  <c r="S1244" i="2"/>
  <c r="S1992" i="2"/>
  <c r="S1620" i="2"/>
  <c r="S569" i="2"/>
  <c r="S1507" i="2"/>
  <c r="S1833" i="2"/>
  <c r="S1280" i="2"/>
  <c r="S329" i="2"/>
  <c r="S1018" i="2"/>
  <c r="S1124" i="2"/>
  <c r="S719" i="2"/>
  <c r="S1104" i="2"/>
  <c r="S881" i="2"/>
  <c r="S1898" i="2"/>
  <c r="S674" i="2"/>
  <c r="S56" i="2"/>
  <c r="S898" i="2"/>
  <c r="S740" i="2"/>
  <c r="S858" i="2"/>
  <c r="S1399" i="2"/>
  <c r="S705" i="2"/>
  <c r="S1604" i="2"/>
  <c r="S1842" i="2"/>
  <c r="S991" i="2"/>
  <c r="S1294" i="2"/>
  <c r="S1039" i="2"/>
  <c r="S1326" i="2"/>
  <c r="S940" i="2"/>
  <c r="S950" i="2"/>
  <c r="S746" i="2"/>
  <c r="S1401" i="2"/>
  <c r="S1150" i="2"/>
  <c r="S1340" i="2"/>
  <c r="S974" i="2"/>
  <c r="S508" i="2"/>
  <c r="S1874" i="2"/>
  <c r="S876" i="2"/>
  <c r="S24" i="2"/>
  <c r="S1861" i="2"/>
  <c r="S1131" i="2"/>
  <c r="S340" i="2"/>
  <c r="S672" i="2"/>
  <c r="S840" i="2"/>
  <c r="S1369" i="2"/>
  <c r="S8" i="2"/>
  <c r="S730" i="2"/>
  <c r="S1452" i="2"/>
  <c r="S29" i="2"/>
  <c r="S1699" i="2"/>
  <c r="S581" i="2"/>
  <c r="S1593" i="2"/>
  <c r="S1146" i="2"/>
  <c r="S1736" i="2"/>
  <c r="S1668" i="2"/>
  <c r="S1383" i="2"/>
  <c r="S1250" i="2"/>
  <c r="S851" i="2"/>
  <c r="S614" i="2"/>
  <c r="S1254" i="2"/>
  <c r="S1645" i="2"/>
  <c r="S1049" i="2"/>
  <c r="S1738" i="2"/>
  <c r="S1642" i="2"/>
  <c r="S1424" i="2"/>
  <c r="S1084" i="2"/>
  <c r="S1760" i="2"/>
  <c r="S1240" i="2"/>
  <c r="S1821" i="2"/>
  <c r="S671" i="2"/>
  <c r="S1506" i="2"/>
  <c r="S99" i="2"/>
  <c r="S1686" i="2"/>
  <c r="S278" i="2"/>
  <c r="S435" i="2"/>
  <c r="S1543" i="2"/>
  <c r="S1095" i="2"/>
  <c r="S699" i="2"/>
  <c r="S51" i="2"/>
  <c r="S1775" i="2"/>
  <c r="S582" i="2"/>
  <c r="S653" i="2"/>
  <c r="S1359" i="2"/>
  <c r="S1567" i="2"/>
  <c r="S1127" i="2"/>
  <c r="S1161" i="2"/>
  <c r="S307" i="2"/>
  <c r="S1234" i="2"/>
  <c r="S1272" i="2"/>
  <c r="S580" i="2"/>
  <c r="S1801" i="2"/>
  <c r="S1803" i="2"/>
  <c r="S67" i="2"/>
  <c r="S1046" i="2"/>
  <c r="S211" i="2"/>
  <c r="S741" i="2"/>
  <c r="S972" i="2"/>
  <c r="S979" i="2"/>
  <c r="S1242" i="2"/>
  <c r="S1381" i="2"/>
  <c r="S1848" i="2"/>
  <c r="S474" i="2"/>
  <c r="S1827" i="2"/>
  <c r="S1577" i="2"/>
  <c r="S676" i="2"/>
  <c r="S298" i="2"/>
  <c r="S1405" i="2"/>
  <c r="S1444" i="2"/>
  <c r="S485" i="2"/>
  <c r="S237" i="2"/>
  <c r="S1624" i="2"/>
  <c r="S1336" i="2"/>
  <c r="S139" i="2"/>
  <c r="S1634" i="2"/>
  <c r="S1165" i="2"/>
  <c r="S1022" i="2"/>
  <c r="S543" i="2"/>
  <c r="S1102" i="2"/>
  <c r="S802" i="2"/>
  <c r="S243" i="2"/>
  <c r="S1664" i="2"/>
  <c r="S208" i="2"/>
  <c r="S1900" i="2"/>
  <c r="S1269" i="2"/>
  <c r="S232" i="2"/>
  <c r="S1903" i="2"/>
  <c r="S1719" i="2"/>
  <c r="S1995" i="2"/>
  <c r="S932" i="2"/>
  <c r="S557" i="2"/>
  <c r="S1683" i="2"/>
  <c r="S793" i="2"/>
  <c r="S1451" i="2"/>
  <c r="S1313" i="2"/>
  <c r="S1243" i="2"/>
  <c r="S499" i="2"/>
  <c r="S755" i="2"/>
  <c r="S698" i="2"/>
  <c r="S1050" i="2"/>
  <c r="S1450" i="2"/>
  <c r="S718" i="2"/>
  <c r="S92" i="2"/>
  <c r="S477" i="2"/>
  <c r="S1933" i="2"/>
  <c r="S976" i="2"/>
  <c r="S125" i="2"/>
  <c r="S1248" i="2"/>
  <c r="S1965" i="2"/>
  <c r="S1245" i="2"/>
  <c r="S663" i="2"/>
  <c r="S1321" i="2"/>
  <c r="S1837" i="2"/>
  <c r="S797" i="2"/>
  <c r="S539" i="2"/>
  <c r="S620" i="2"/>
  <c r="S1463" i="2"/>
  <c r="S1545" i="2"/>
  <c r="S1118" i="2"/>
  <c r="S1913" i="2"/>
  <c r="S1423" i="2"/>
  <c r="S1394" i="2"/>
  <c r="S1390" i="2"/>
  <c r="S973" i="2"/>
  <c r="S235" i="2"/>
  <c r="S74" i="2"/>
  <c r="S832" i="2"/>
  <c r="S330" i="2"/>
  <c r="S1304" i="2"/>
  <c r="S926" i="2"/>
  <c r="S1740" i="2"/>
  <c r="S1864" i="2"/>
  <c r="S1897" i="2"/>
  <c r="S1554" i="2"/>
  <c r="S660" i="2"/>
  <c r="S1397" i="2"/>
  <c r="S305" i="2"/>
  <c r="S777" i="2"/>
  <c r="S1721" i="2"/>
  <c r="S522" i="2"/>
  <c r="S502" i="2"/>
  <c r="S391" i="2"/>
  <c r="S1656" i="2"/>
  <c r="S1752" i="2"/>
  <c r="S1238" i="2"/>
  <c r="S1283" i="2"/>
  <c r="S1749" i="2"/>
  <c r="S244" i="2"/>
  <c r="S1282" i="2"/>
  <c r="S1364" i="2"/>
  <c r="S610" i="2"/>
  <c r="S286" i="2"/>
  <c r="S410" i="2"/>
  <c r="S148" i="2"/>
  <c r="S1467" i="2"/>
  <c r="S646" i="2"/>
  <c r="S45" i="2"/>
  <c r="S1134" i="2"/>
  <c r="S1556" i="2"/>
  <c r="S470" i="2"/>
  <c r="S1179" i="2"/>
  <c r="S186" i="2"/>
  <c r="S136" i="2"/>
  <c r="S4" i="2"/>
  <c r="S34" i="2"/>
  <c r="S838" i="2"/>
  <c r="S462" i="2"/>
  <c r="S1014" i="2"/>
  <c r="S1335" i="2"/>
  <c r="S1016" i="2"/>
  <c r="S507" i="2"/>
  <c r="R1707" i="2"/>
  <c r="R687" i="2"/>
  <c r="R756" i="2"/>
  <c r="R1410" i="2"/>
  <c r="R1097" i="2"/>
  <c r="R1972" i="2"/>
  <c r="R1935" i="2"/>
  <c r="R1136" i="2"/>
  <c r="R1190" i="2"/>
  <c r="R290" i="2"/>
  <c r="R903" i="2"/>
  <c r="R447" i="2"/>
  <c r="R413" i="2"/>
  <c r="R1822" i="2"/>
  <c r="R62" i="2"/>
  <c r="R1920" i="2"/>
  <c r="R1941" i="2"/>
  <c r="R769" i="2"/>
  <c r="R1415" i="2"/>
  <c r="R217" i="2"/>
  <c r="R356" i="2"/>
  <c r="R1459" i="2"/>
  <c r="R1485" i="2"/>
  <c r="R7" i="2"/>
  <c r="R180" i="2"/>
  <c r="R888" i="2"/>
  <c r="R1246" i="2"/>
  <c r="R1717" i="2"/>
  <c r="R1971" i="2"/>
  <c r="R122" i="2"/>
  <c r="R1787" i="2"/>
  <c r="R1512" i="2"/>
  <c r="R1301" i="2"/>
  <c r="R441" i="2"/>
  <c r="R1986" i="2"/>
  <c r="R1020" i="2"/>
  <c r="R1330" i="2"/>
  <c r="R1825" i="2"/>
  <c r="R726" i="2"/>
  <c r="R1618" i="2"/>
  <c r="R1052" i="2"/>
  <c r="R140" i="2"/>
  <c r="R1402" i="2"/>
  <c r="R587" i="2"/>
  <c r="R1262" i="2"/>
  <c r="R575" i="2"/>
  <c r="R1480" i="2"/>
  <c r="R1860" i="2"/>
  <c r="R834" i="2"/>
  <c r="R1927" i="2"/>
  <c r="R1578" i="2"/>
  <c r="R909" i="2"/>
  <c r="R1916" i="2"/>
  <c r="R313" i="2"/>
  <c r="R1516" i="2"/>
  <c r="R1122" i="2"/>
  <c r="R1299" i="2"/>
  <c r="R1818" i="2"/>
  <c r="R1182" i="2"/>
  <c r="R1974" i="2"/>
  <c r="R1691" i="2"/>
  <c r="R123" i="2"/>
  <c r="R349" i="2"/>
  <c r="R1447" i="2"/>
  <c r="R1344" i="2"/>
  <c r="R586" i="2"/>
  <c r="R1431" i="2"/>
  <c r="R1235" i="2"/>
  <c r="R482" i="2"/>
  <c r="R1202" i="2"/>
  <c r="R185" i="2"/>
  <c r="R1027" i="2"/>
  <c r="R1587" i="2"/>
  <c r="R897" i="2"/>
  <c r="R245" i="2"/>
  <c r="R567" i="2"/>
  <c r="R1241" i="2"/>
  <c r="R1229" i="2"/>
  <c r="R1125" i="2"/>
  <c r="R1777" i="2"/>
  <c r="R1230" i="2"/>
  <c r="R63" i="2"/>
  <c r="R1488" i="2"/>
  <c r="R1086" i="2"/>
  <c r="R1192" i="2"/>
  <c r="R1542" i="2"/>
  <c r="R1436" i="2"/>
  <c r="R346" i="2"/>
  <c r="R249" i="2"/>
  <c r="R1228" i="2"/>
  <c r="R1449" i="2"/>
  <c r="R488" i="2"/>
  <c r="R283" i="2"/>
  <c r="R1445" i="2"/>
  <c r="R1267" i="2"/>
  <c r="R325" i="2"/>
  <c r="R806" i="2"/>
  <c r="R380" i="2"/>
  <c r="R882" i="2"/>
  <c r="R176" i="2"/>
  <c r="R297" i="2"/>
  <c r="R1323" i="2"/>
  <c r="R1762" i="2"/>
  <c r="R1041" i="2"/>
  <c r="R1285" i="2"/>
  <c r="R1249" i="2"/>
  <c r="R734" i="2"/>
  <c r="R489" i="2"/>
  <c r="R1065" i="2"/>
  <c r="R291" i="2"/>
  <c r="R1505" i="2"/>
  <c r="R1325" i="2"/>
  <c r="R415" i="2"/>
  <c r="R1129" i="2"/>
  <c r="R1499" i="2"/>
  <c r="R1551" i="2"/>
  <c r="R202" i="2"/>
  <c r="R203" i="2"/>
  <c r="R1476" i="2"/>
  <c r="R302" i="2"/>
  <c r="R1508" i="2"/>
  <c r="R1029" i="2"/>
  <c r="R1882" i="2"/>
  <c r="R626" i="2"/>
  <c r="R327" i="2"/>
  <c r="R1607" i="2"/>
  <c r="R334" i="2"/>
  <c r="R1521" i="2"/>
  <c r="R622" i="2"/>
  <c r="R492" i="2"/>
  <c r="R930" i="2"/>
  <c r="R1737" i="2"/>
  <c r="R845" i="2"/>
  <c r="R1730" i="2"/>
  <c r="R919" i="2"/>
  <c r="R910" i="2"/>
  <c r="R783" i="2"/>
  <c r="R179" i="2"/>
  <c r="R174" i="2"/>
  <c r="R239" i="2"/>
  <c r="R564" i="2"/>
  <c r="R512" i="2"/>
  <c r="R1520" i="2"/>
  <c r="R803" i="2"/>
  <c r="R1315" i="2"/>
  <c r="R1288" i="2"/>
  <c r="R1733" i="2"/>
  <c r="R438" i="2"/>
  <c r="R1654" i="2"/>
  <c r="R989" i="2"/>
  <c r="R1284" i="2"/>
  <c r="R556" i="2"/>
  <c r="R457" i="2"/>
  <c r="R1232" i="2"/>
  <c r="R553" i="2"/>
  <c r="R1810" i="2"/>
  <c r="R545" i="2"/>
  <c r="R652" i="2"/>
  <c r="R1949" i="2"/>
  <c r="R743" i="2"/>
  <c r="R744" i="2"/>
  <c r="R103" i="2"/>
  <c r="R1023" i="2"/>
  <c r="R700" i="2"/>
  <c r="R621" i="2"/>
  <c r="R1873" i="2"/>
  <c r="R1981" i="2"/>
  <c r="R1663" i="2"/>
  <c r="R1138" i="2"/>
  <c r="R1498" i="2"/>
  <c r="R862" i="2"/>
  <c r="R1942" i="2"/>
  <c r="R88" i="2"/>
  <c r="R1279" i="2"/>
  <c r="R1996" i="2"/>
  <c r="R1828" i="2"/>
  <c r="R1635" i="2"/>
  <c r="R600" i="2"/>
  <c r="R1902" i="2"/>
  <c r="R1043" i="2"/>
  <c r="R153" i="2"/>
  <c r="R1896" i="2"/>
  <c r="R1853" i="2"/>
  <c r="R911" i="2"/>
  <c r="R1144" i="2"/>
  <c r="R1210" i="2"/>
  <c r="R1033" i="2"/>
  <c r="R509" i="2"/>
  <c r="R807" i="2"/>
  <c r="R635" i="2"/>
  <c r="R1145" i="2"/>
  <c r="R1878" i="2"/>
  <c r="R1536" i="2"/>
  <c r="R337" i="2"/>
  <c r="R20" i="2"/>
  <c r="R1553" i="2"/>
  <c r="R1079" i="2"/>
  <c r="R279" i="2"/>
  <c r="R1433" i="2"/>
  <c r="R927" i="2"/>
  <c r="R1884" i="2"/>
  <c r="R665" i="2"/>
  <c r="R673" i="2"/>
  <c r="R631" i="2"/>
  <c r="R1062" i="2"/>
  <c r="R1700" i="2"/>
  <c r="R1840" i="2"/>
  <c r="R353" i="2"/>
  <c r="R1298" i="2"/>
  <c r="R612" i="2"/>
  <c r="R821" i="2"/>
  <c r="R643" i="2"/>
  <c r="R1960" i="2"/>
  <c r="R1108" i="2"/>
  <c r="R273" i="2"/>
  <c r="R1843" i="2"/>
  <c r="R72" i="2"/>
  <c r="R1361" i="2"/>
  <c r="R686" i="2"/>
  <c r="R1704" i="2"/>
  <c r="R739" i="2"/>
  <c r="R400" i="2"/>
  <c r="R1613" i="2"/>
  <c r="R1032" i="2"/>
  <c r="R1921" i="2"/>
  <c r="R998" i="2"/>
  <c r="R922" i="2"/>
  <c r="R1185" i="2"/>
  <c r="R1915" i="2"/>
  <c r="R130" i="2"/>
  <c r="R109" i="2"/>
  <c r="R786" i="2"/>
  <c r="R1496" i="2"/>
  <c r="R414" i="2"/>
  <c r="R15" i="2"/>
  <c r="R1563" i="2"/>
  <c r="R1149" i="2"/>
  <c r="R983" i="2"/>
  <c r="R1189" i="2"/>
  <c r="R1442" i="2"/>
  <c r="R314" i="2"/>
  <c r="R722" i="2"/>
  <c r="R1119" i="2"/>
  <c r="R1199" i="2"/>
  <c r="R1759" i="2"/>
  <c r="R1675" i="2"/>
  <c r="R1494" i="2"/>
  <c r="R1222" i="2"/>
  <c r="R814" i="2"/>
  <c r="R1532" i="2"/>
  <c r="R1811" i="2"/>
  <c r="R71" i="2"/>
  <c r="R827" i="2"/>
  <c r="R1944" i="2"/>
  <c r="R1694" i="2"/>
  <c r="R1658" i="2"/>
  <c r="R1501" i="2"/>
  <c r="R161" i="2"/>
  <c r="R1802" i="2"/>
  <c r="R242" i="2"/>
  <c r="R1172" i="2"/>
  <c r="R229" i="2"/>
  <c r="R691" i="2"/>
  <c r="R894" i="2"/>
  <c r="R812" i="2"/>
  <c r="R1221" i="2"/>
  <c r="R1797" i="2"/>
  <c r="R458" i="2"/>
  <c r="R199" i="2"/>
  <c r="R1619" i="2"/>
  <c r="R928" i="2"/>
  <c r="R1152" i="2"/>
  <c r="R1636" i="2"/>
  <c r="R891" i="2"/>
  <c r="R404" i="2"/>
  <c r="R452" i="2"/>
  <c r="R648" i="2"/>
  <c r="R1713" i="2"/>
  <c r="R1651" i="2"/>
  <c r="R1529" i="2"/>
  <c r="R591" i="2"/>
  <c r="R537" i="2"/>
  <c r="R1337" i="2"/>
  <c r="R650" i="2"/>
  <c r="R630" i="2"/>
  <c r="R19" i="2"/>
  <c r="R476" i="2"/>
  <c r="R659" i="2"/>
  <c r="R1715" i="2"/>
  <c r="R745" i="2"/>
  <c r="R1703" i="2"/>
  <c r="R129" i="2"/>
  <c r="R118" i="2"/>
  <c r="R860" i="2"/>
  <c r="R733" i="2"/>
  <c r="R1847" i="2"/>
  <c r="R57" i="2"/>
  <c r="R154" i="2"/>
  <c r="R341" i="2"/>
  <c r="R73" i="2"/>
  <c r="R708" i="2"/>
  <c r="R868" i="2"/>
  <c r="R1887" i="2"/>
  <c r="R1771" i="2"/>
  <c r="R12" i="2"/>
  <c r="R538" i="2"/>
  <c r="R1660" i="2"/>
  <c r="R1469" i="2"/>
  <c r="R1514" i="2"/>
  <c r="R895" i="2"/>
  <c r="R510" i="2"/>
  <c r="R431" i="2"/>
  <c r="R1482" i="2"/>
  <c r="R1546" i="2"/>
  <c r="R969" i="2"/>
  <c r="R386" i="2"/>
  <c r="R1067" i="2"/>
  <c r="R1156" i="2"/>
  <c r="R960" i="2"/>
  <c r="R1603" i="2"/>
  <c r="R1035" i="2"/>
  <c r="R1783" i="2"/>
  <c r="R1794" i="2"/>
  <c r="R1116" i="2"/>
  <c r="R1006" i="2"/>
  <c r="R1473" i="2"/>
  <c r="R527" i="2"/>
  <c r="R1458" i="2"/>
  <c r="R1584" i="2"/>
  <c r="R469" i="2"/>
  <c r="R716" i="2"/>
  <c r="R531" i="2"/>
  <c r="R519" i="2"/>
  <c r="R912" i="2"/>
  <c r="R1982" i="2"/>
  <c r="R1376" i="2"/>
  <c r="R800" i="2"/>
  <c r="R1274" i="2"/>
  <c r="R1880" i="2"/>
  <c r="R1456" i="2"/>
  <c r="R562" i="2"/>
  <c r="R1561" i="2"/>
  <c r="R428" i="2"/>
  <c r="R98" i="2"/>
  <c r="R1955" i="2"/>
  <c r="R1891" i="2"/>
  <c r="R1030" i="2"/>
  <c r="R189" i="2"/>
  <c r="R1705" i="2"/>
  <c r="R1976" i="2"/>
  <c r="R422" i="2"/>
  <c r="R1877" i="2"/>
  <c r="R1290" i="2"/>
  <c r="R1761" i="2"/>
  <c r="R1468" i="2"/>
  <c r="R1616" i="2"/>
  <c r="R1640" i="2"/>
  <c r="R871" i="2"/>
  <c r="R409" i="2"/>
  <c r="R1732" i="2"/>
  <c r="R1070" i="2"/>
  <c r="R1901" i="2"/>
  <c r="R471" i="2"/>
  <c r="R111" i="2"/>
  <c r="R1823" i="2"/>
  <c r="R1236" i="2"/>
  <c r="R1824" i="2"/>
  <c r="R1188" i="2"/>
  <c r="R407" i="2"/>
  <c r="R978" i="2"/>
  <c r="R1113" i="2"/>
  <c r="R1343" i="2"/>
  <c r="R220" i="2"/>
  <c r="R209" i="2"/>
  <c r="R908" i="2"/>
  <c r="R1355" i="2"/>
  <c r="R1500" i="2"/>
  <c r="R1626" i="2"/>
  <c r="R295" i="2"/>
  <c r="R618" i="2"/>
  <c r="R310" i="2"/>
  <c r="R1162" i="2"/>
  <c r="R416" i="2"/>
  <c r="R873" i="2"/>
  <c r="R1219" i="2"/>
  <c r="R1948" i="2"/>
  <c r="R338" i="2"/>
  <c r="R529" i="2"/>
  <c r="R1464" i="2"/>
  <c r="R501" i="2"/>
  <c r="R799" i="2"/>
  <c r="R1934" i="2"/>
  <c r="R1566" i="2"/>
  <c r="R1881" i="2"/>
  <c r="R446" i="2"/>
  <c r="R104" i="2"/>
  <c r="R1757" i="2"/>
  <c r="R97" i="2"/>
  <c r="R771" i="2"/>
  <c r="R750" i="2"/>
  <c r="R274" i="2"/>
  <c r="R1571" i="2"/>
  <c r="R1784" i="2"/>
  <c r="R138" i="2"/>
  <c r="R1475" i="2"/>
  <c r="R256" i="2"/>
  <c r="R241" i="2"/>
  <c r="R1772" i="2"/>
  <c r="R487" i="2"/>
  <c r="R782" i="2"/>
  <c r="R711" i="2"/>
  <c r="R350" i="2"/>
  <c r="R837" i="2"/>
  <c r="R1871" i="2"/>
  <c r="R1372" i="2"/>
  <c r="R165" i="2"/>
  <c r="R606" i="2"/>
  <c r="R210" i="2"/>
  <c r="R1990" i="2"/>
  <c r="R768" i="2"/>
  <c r="R1735" i="2"/>
  <c r="R1923" i="2"/>
  <c r="R1780" i="2"/>
  <c r="R21" i="2"/>
  <c r="R1203" i="2"/>
  <c r="R929" i="2"/>
  <c r="R1471" i="2"/>
  <c r="R899" i="2"/>
  <c r="R359" i="2"/>
  <c r="R1328" i="2"/>
  <c r="R902" i="2"/>
  <c r="R1074" i="2"/>
  <c r="R230" i="2"/>
  <c r="R253" i="2"/>
  <c r="R767" i="2"/>
  <c r="R1164" i="2"/>
  <c r="R1796" i="2"/>
  <c r="R1515" i="2"/>
  <c r="R145" i="2"/>
  <c r="R598" i="2"/>
  <c r="R1594" i="2"/>
  <c r="R1831" i="2"/>
  <c r="R1865" i="2"/>
  <c r="R1809" i="2"/>
  <c r="R1373" i="2"/>
  <c r="R1857" i="2"/>
  <c r="R299" i="2"/>
  <c r="R1591" i="2"/>
  <c r="R1548" i="2"/>
  <c r="R1768" i="2"/>
  <c r="R883" i="2"/>
  <c r="R383" i="2"/>
  <c r="R1425" i="2"/>
  <c r="R1814" i="2"/>
  <c r="R565" i="2"/>
  <c r="R1351" i="2"/>
  <c r="R246" i="2"/>
  <c r="R1227" i="2"/>
  <c r="R867" i="2"/>
  <c r="R1641" i="2"/>
  <c r="R1806" i="2"/>
  <c r="R84" i="2"/>
  <c r="R262" i="2"/>
  <c r="R1239" i="2"/>
  <c r="R764" i="2"/>
  <c r="R58" i="2"/>
  <c r="R1914" i="2"/>
  <c r="R611" i="2"/>
  <c r="R100" i="2"/>
  <c r="R536" i="2"/>
  <c r="R1460" i="2"/>
  <c r="R451" i="2"/>
  <c r="R958" i="2"/>
  <c r="R60" i="2"/>
  <c r="R439" i="2"/>
  <c r="R1544" i="2"/>
  <c r="R647" i="2"/>
  <c r="R900" i="2"/>
  <c r="R754" i="2"/>
  <c r="R1205" i="2"/>
  <c r="R1413" i="2"/>
  <c r="R727" i="2"/>
  <c r="R1511" i="2"/>
  <c r="R1128" i="2"/>
  <c r="R1904" i="2"/>
  <c r="R1510" i="2"/>
  <c r="R1167" i="2"/>
  <c r="R1856" i="2"/>
  <c r="R182" i="2"/>
  <c r="R1696" i="2"/>
  <c r="R656" i="2"/>
  <c r="R1987" i="2"/>
  <c r="R1560" i="2"/>
  <c r="R1946" i="2"/>
  <c r="R1711" i="2"/>
  <c r="R1196" i="2"/>
  <c r="R23" i="2"/>
  <c r="R192" i="2"/>
  <c r="R1926" i="2"/>
  <c r="R96" i="2"/>
  <c r="R1428" i="2"/>
  <c r="R460" i="2"/>
  <c r="R1398" i="2"/>
  <c r="R119" i="2"/>
  <c r="R530" i="2"/>
  <c r="R1429" i="2"/>
  <c r="R805" i="2"/>
  <c r="R219" i="2"/>
  <c r="R709" i="2"/>
  <c r="R355" i="2"/>
  <c r="R375" i="2"/>
  <c r="R1850" i="2"/>
  <c r="R817" i="2"/>
  <c r="R1395" i="2"/>
  <c r="R133" i="2"/>
  <c r="R593" i="2"/>
  <c r="R1731" i="2"/>
  <c r="R576" i="2"/>
  <c r="R426" i="2"/>
  <c r="R396" i="2"/>
  <c r="R572" i="2"/>
  <c r="R1370" i="2"/>
  <c r="R1756" i="2"/>
  <c r="R360" i="2"/>
  <c r="R184" i="2"/>
  <c r="R1200" i="2"/>
  <c r="R228" i="2"/>
  <c r="R1858" i="2"/>
  <c r="R517" i="2"/>
  <c r="R1443" i="2"/>
  <c r="R1649" i="2"/>
  <c r="R1629" i="2"/>
  <c r="R1605" i="2"/>
  <c r="R775" i="2"/>
  <c r="R588" i="2"/>
  <c r="R573" i="2"/>
  <c r="R763" i="2"/>
  <c r="R1666" i="2"/>
  <c r="R511" i="2"/>
  <c r="R1163" i="2"/>
  <c r="R1181" i="2"/>
  <c r="R1327" i="2"/>
  <c r="R968" i="2"/>
  <c r="R1609" i="2"/>
  <c r="R1273" i="2"/>
  <c r="R1581" i="2"/>
  <c r="R303" i="2"/>
  <c r="R425" i="2"/>
  <c r="R945" i="2"/>
  <c r="R913" i="2"/>
  <c r="R419" i="2"/>
  <c r="R690" i="2"/>
  <c r="R429" i="2"/>
  <c r="R141" i="2"/>
  <c r="R1793" i="2"/>
  <c r="R546" i="2"/>
  <c r="R151" i="2"/>
  <c r="R332" i="2"/>
  <c r="R982" i="2"/>
  <c r="R331" i="2"/>
  <c r="R265" i="2"/>
  <c r="R542" i="2"/>
  <c r="R255" i="2"/>
  <c r="R1684" i="2"/>
  <c r="R1589" i="2"/>
  <c r="R879" i="2"/>
  <c r="R478" i="2"/>
  <c r="R116" i="2"/>
  <c r="R1198" i="2"/>
  <c r="R408" i="2"/>
  <c r="R1486" i="2"/>
  <c r="R1764" i="2"/>
  <c r="R1170" i="2"/>
  <c r="R384" i="2"/>
  <c r="R285" i="2"/>
  <c r="R1126" i="2"/>
  <c r="R1866" i="2"/>
  <c r="R326" i="2"/>
  <c r="R893" i="2"/>
  <c r="R956" i="2"/>
  <c r="R1207" i="2"/>
  <c r="R468" i="2"/>
  <c r="R723" i="2"/>
  <c r="R808" i="2"/>
  <c r="R1633" i="2"/>
  <c r="R1096" i="2"/>
  <c r="R715" i="2"/>
  <c r="R1570" i="2"/>
  <c r="R347" i="2"/>
  <c r="R1573" i="2"/>
  <c r="R342" i="2"/>
  <c r="R961" i="2"/>
  <c r="R839" i="2"/>
  <c r="R388" i="2"/>
  <c r="R1346" i="2"/>
  <c r="R1975" i="2"/>
  <c r="R1925" i="2"/>
  <c r="R1176" i="2"/>
  <c r="R1110" i="2"/>
  <c r="R1223" i="2"/>
  <c r="R17" i="2"/>
  <c r="R798" i="2"/>
  <c r="R1795" i="2"/>
  <c r="R694" i="2"/>
  <c r="R1151" i="2"/>
  <c r="R102" i="2"/>
  <c r="R619" i="2"/>
  <c r="R816" i="2"/>
  <c r="R801" i="2"/>
  <c r="R1535" i="2"/>
  <c r="R53" i="2"/>
  <c r="R1575" i="2"/>
  <c r="R445" i="2"/>
  <c r="R1374" i="2"/>
  <c r="R1541" i="2"/>
  <c r="R933" i="2"/>
  <c r="R1599" i="2"/>
  <c r="R1275" i="2"/>
  <c r="R444" i="2"/>
  <c r="R757" i="2"/>
  <c r="R231" i="2"/>
  <c r="R1143" i="2"/>
  <c r="R27" i="2"/>
  <c r="R120" i="2"/>
  <c r="R616" i="2"/>
  <c r="R1088" i="2"/>
  <c r="R513" i="2"/>
  <c r="R506" i="2"/>
  <c r="R1569" i="2"/>
  <c r="R853" i="2"/>
  <c r="R1307" i="2"/>
  <c r="R942" i="2"/>
  <c r="R1077" i="2"/>
  <c r="R1411" i="2"/>
  <c r="R1060" i="2"/>
  <c r="R3" i="2"/>
  <c r="R1911" i="2"/>
  <c r="R990" i="2"/>
  <c r="R14" i="2"/>
  <c r="R1907" i="2"/>
  <c r="R156" i="2"/>
  <c r="R880" i="2"/>
  <c r="R939" i="2"/>
  <c r="R81" i="2"/>
  <c r="R1621" i="2"/>
  <c r="R1439" i="2"/>
  <c r="R568" i="2"/>
  <c r="R1296" i="2"/>
  <c r="R1687" i="2"/>
  <c r="R1048" i="2"/>
  <c r="R1404" i="2"/>
  <c r="R250" i="2"/>
  <c r="R1356" i="2"/>
  <c r="R774" i="2"/>
  <c r="R1778" i="2"/>
  <c r="R1201" i="2"/>
  <c r="R238" i="2"/>
  <c r="R1983" i="2"/>
  <c r="R1256" i="2"/>
  <c r="R433" i="2"/>
  <c r="R236" i="2"/>
  <c r="R405" i="2"/>
  <c r="R601" i="2"/>
  <c r="R1259" i="2"/>
  <c r="R1706" i="2"/>
  <c r="R1265" i="2"/>
  <c r="R437" i="2"/>
  <c r="R1139" i="2"/>
  <c r="R682" i="2"/>
  <c r="R1869" i="2"/>
  <c r="R666" i="2"/>
  <c r="R124" i="2"/>
  <c r="R1276" i="2"/>
  <c r="R1419" i="2"/>
  <c r="R1564" i="2"/>
  <c r="R520" i="2"/>
  <c r="R1348" i="2"/>
  <c r="R639" i="2"/>
  <c r="R321" i="2"/>
  <c r="R292" i="2"/>
  <c r="R1331" i="2"/>
  <c r="R1191" i="2"/>
  <c r="R1217" i="2"/>
  <c r="R1071" i="2"/>
  <c r="R1141" i="2"/>
  <c r="R865" i="2"/>
  <c r="R1815" i="2"/>
  <c r="R1854" i="2"/>
  <c r="R1747" i="2"/>
  <c r="R267" i="2"/>
  <c r="R1991" i="2"/>
  <c r="R1690" i="2"/>
  <c r="R1099" i="2"/>
  <c r="R1009" i="2"/>
  <c r="R1698" i="2"/>
  <c r="R1720" i="2"/>
  <c r="R1672" i="2"/>
  <c r="R54" i="2"/>
  <c r="R696" i="2"/>
  <c r="R1184" i="2"/>
  <c r="R32" i="2"/>
  <c r="R50" i="2"/>
  <c r="R453" i="2"/>
  <c r="R1610" i="2"/>
  <c r="R941" i="2"/>
  <c r="R1406" i="2"/>
  <c r="R1766" i="2"/>
  <c r="R641" i="2"/>
  <c r="R1999" i="2"/>
  <c r="R599" i="2"/>
  <c r="R1886" i="2"/>
  <c r="R1785" i="2"/>
  <c r="R1947" i="2"/>
  <c r="R1133" i="2"/>
  <c r="R1183" i="2"/>
  <c r="R993" i="2"/>
  <c r="R392" i="2"/>
  <c r="R432" i="2"/>
  <c r="R114" i="2"/>
  <c r="R152" i="2"/>
  <c r="R306" i="2"/>
  <c r="R997" i="2"/>
  <c r="R440" i="2"/>
  <c r="R884" i="2"/>
  <c r="R196" i="2"/>
  <c r="R1550" i="2"/>
  <c r="R1659" i="2"/>
  <c r="R1875" i="2"/>
  <c r="R1375" i="2"/>
  <c r="R594" i="2"/>
  <c r="R848" i="2"/>
  <c r="R1826" i="2"/>
  <c r="R1109" i="2"/>
  <c r="R1430" i="2"/>
  <c r="R323" i="2"/>
  <c r="R135" i="2"/>
  <c r="R1710" i="2"/>
  <c r="R1628" i="2"/>
  <c r="R1963" i="2"/>
  <c r="R1318" i="2"/>
  <c r="R1154" i="2"/>
  <c r="R1291" i="2"/>
  <c r="R1093" i="2"/>
  <c r="R762" i="2"/>
  <c r="R1748" i="2"/>
  <c r="R822" i="2"/>
  <c r="R1692" i="2"/>
  <c r="R240" i="2"/>
  <c r="R864" i="2"/>
  <c r="R875" i="2"/>
  <c r="R333" i="2"/>
  <c r="R638" i="2"/>
  <c r="R1055" i="2"/>
  <c r="R369" i="2"/>
  <c r="R1754" i="2"/>
  <c r="R1213" i="2"/>
  <c r="R336" i="2"/>
  <c r="R725" i="2"/>
  <c r="R852" i="2"/>
  <c r="R1427" i="2"/>
  <c r="R1637" i="2"/>
  <c r="R1025" i="2"/>
  <c r="R1859" i="2"/>
  <c r="R1786" i="2"/>
  <c r="R938" i="2"/>
  <c r="R1393" i="2"/>
  <c r="R954" i="2"/>
  <c r="R1909" i="2"/>
  <c r="R1676" i="2"/>
  <c r="R831" i="2"/>
  <c r="R1781" i="2"/>
  <c r="R395" i="2"/>
  <c r="R1332" i="2"/>
  <c r="R48" i="2"/>
  <c r="R382" i="2"/>
  <c r="R1072" i="2"/>
  <c r="R721" i="2"/>
  <c r="R225" i="2"/>
  <c r="R1385" i="2"/>
  <c r="R1502" i="2"/>
  <c r="R1953" i="2"/>
  <c r="R1155" i="2"/>
  <c r="R173" i="2"/>
  <c r="R1005" i="2"/>
  <c r="R844" i="2"/>
  <c r="R946" i="2"/>
  <c r="R836" i="2"/>
  <c r="R486" i="2"/>
  <c r="R1614" i="2"/>
  <c r="R1872" i="2"/>
  <c r="R833" i="2"/>
  <c r="R394" i="2"/>
  <c r="R1075" i="2"/>
  <c r="R9" i="2"/>
  <c r="R1534" i="2"/>
  <c r="R1595" i="2"/>
  <c r="R465" i="2"/>
  <c r="R1231" i="2"/>
  <c r="R1193" i="2"/>
  <c r="R724" i="2"/>
  <c r="R496" i="2"/>
  <c r="R201" i="2"/>
  <c r="R190" i="2"/>
  <c r="R1019" i="2"/>
  <c r="R1725" i="2"/>
  <c r="R992" i="2"/>
  <c r="R1744" i="2"/>
  <c r="R1357" i="2"/>
  <c r="R697" i="2"/>
  <c r="R83" i="2"/>
  <c r="R311" i="2"/>
  <c r="R1037" i="2"/>
  <c r="R1177" i="2"/>
  <c r="R1791" i="2"/>
  <c r="R1281" i="2"/>
  <c r="R1389" i="2"/>
  <c r="R1892" i="2"/>
  <c r="R1064" i="2"/>
  <c r="R1094" i="2"/>
  <c r="R693" i="2"/>
  <c r="R967" i="2"/>
  <c r="R1470" i="2"/>
  <c r="R2001" i="2"/>
  <c r="R1870" i="2"/>
  <c r="R1509" i="2"/>
  <c r="R1930" i="2"/>
  <c r="R1924" i="2"/>
  <c r="R363" i="2"/>
  <c r="R1069" i="2"/>
  <c r="R1493" i="2"/>
  <c r="R1523" i="2"/>
  <c r="R94" i="2"/>
  <c r="R1555" i="2"/>
  <c r="R301" i="2"/>
  <c r="R1770" i="2"/>
  <c r="R251" i="2"/>
  <c r="R1739" i="2"/>
  <c r="R987" i="2"/>
  <c r="R227" i="2"/>
  <c r="R1365" i="2"/>
  <c r="R896" i="2"/>
  <c r="R1448" i="2"/>
  <c r="R277" i="2"/>
  <c r="R753" i="2"/>
  <c r="R720" i="2"/>
  <c r="R372" i="2"/>
  <c r="R143" i="2"/>
  <c r="R1135" i="2"/>
  <c r="R343" i="2"/>
  <c r="R1297" i="2"/>
  <c r="R1836" i="2"/>
  <c r="R284" i="2"/>
  <c r="R824" i="2"/>
  <c r="R1846" i="2"/>
  <c r="R1237" i="2"/>
  <c r="R819" i="2"/>
  <c r="R1574" i="2"/>
  <c r="R80" i="2"/>
  <c r="R855" i="2"/>
  <c r="R1252" i="2"/>
  <c r="R497" i="2"/>
  <c r="R1098" i="2"/>
  <c r="R1568" i="2"/>
  <c r="R1576" i="2"/>
  <c r="R1387" i="2"/>
  <c r="R1601" i="2"/>
  <c r="R1741" i="2"/>
  <c r="R579" i="2"/>
  <c r="R1867" i="2"/>
  <c r="R787" i="2"/>
  <c r="R281" i="2"/>
  <c r="R1685" i="2"/>
  <c r="R957" i="2"/>
  <c r="R91" i="2"/>
  <c r="R1899" i="2"/>
  <c r="R778" i="2"/>
  <c r="R1767" i="2"/>
  <c r="R657" i="2"/>
  <c r="R528" i="2"/>
  <c r="R1117" i="2"/>
  <c r="R1420" i="2"/>
  <c r="R1980" i="2"/>
  <c r="R1308" i="2"/>
  <c r="R484" i="2"/>
  <c r="R1883" i="2"/>
  <c r="R1215" i="2"/>
  <c r="R1194" i="2"/>
  <c r="R1817" i="2"/>
  <c r="R959" i="2"/>
  <c r="R1414" i="2"/>
  <c r="R1669" i="2"/>
  <c r="R280" i="2"/>
  <c r="R258" i="2"/>
  <c r="R1931" i="2"/>
  <c r="R547" i="2"/>
  <c r="R464" i="2"/>
  <c r="R1596" i="2"/>
  <c r="R1722" i="2"/>
  <c r="R36" i="2"/>
  <c r="R1928" i="2"/>
  <c r="R1773" i="2"/>
  <c r="R365" i="2"/>
  <c r="R735" i="2"/>
  <c r="R1180" i="2"/>
  <c r="R549" i="2"/>
  <c r="R107" i="2"/>
  <c r="R505" i="2"/>
  <c r="R662" i="2"/>
  <c r="R1716" i="2"/>
  <c r="R813" i="2"/>
  <c r="R1257" i="2"/>
  <c r="R1400" i="2"/>
  <c r="R11" i="2"/>
  <c r="R1562" i="2"/>
  <c r="R1412" i="2"/>
  <c r="R1662" i="2"/>
  <c r="R1985" i="2"/>
  <c r="R1081" i="2"/>
  <c r="R40" i="2"/>
  <c r="R1638" i="2"/>
  <c r="R1058" i="2"/>
  <c r="R461" i="2"/>
  <c r="R1490" i="2"/>
  <c r="R142" i="2"/>
  <c r="R1044" i="2"/>
  <c r="R810" i="2"/>
  <c r="R1115" i="2"/>
  <c r="R1384" i="2"/>
  <c r="R178" i="2"/>
  <c r="R854" i="2"/>
  <c r="R923" i="2"/>
  <c r="R914" i="2"/>
  <c r="R276" i="2"/>
  <c r="R30" i="2"/>
  <c r="R1287" i="2"/>
  <c r="R399" i="2"/>
  <c r="R985" i="2"/>
  <c r="R66" i="2"/>
  <c r="R548" i="2"/>
  <c r="R826" i="2"/>
  <c r="R962" i="2"/>
  <c r="R937" i="2"/>
  <c r="R1277" i="2"/>
  <c r="R1158" i="2"/>
  <c r="R1168" i="2"/>
  <c r="R1438" i="2"/>
  <c r="R1572" i="2"/>
  <c r="R1484" i="2"/>
  <c r="R541" i="2"/>
  <c r="R52" i="2"/>
  <c r="R1263" i="2"/>
  <c r="R702" i="2"/>
  <c r="R1549" i="2"/>
  <c r="R361" i="2"/>
  <c r="R856" i="2"/>
  <c r="R1997" i="2"/>
  <c r="R953" i="2"/>
  <c r="R684" i="2"/>
  <c r="R1085" i="2"/>
  <c r="R373" i="2"/>
  <c r="R459" i="2"/>
  <c r="R248" i="2"/>
  <c r="R401" i="2"/>
  <c r="R935" i="2"/>
  <c r="R504" i="2"/>
  <c r="R1208" i="2"/>
  <c r="R514" i="2"/>
  <c r="R137" i="2"/>
  <c r="R59" i="2"/>
  <c r="R226" i="2"/>
  <c r="R809" i="2"/>
  <c r="R1895" i="2"/>
  <c r="R1363" i="2"/>
  <c r="R623" i="2"/>
  <c r="R679" i="2"/>
  <c r="R1100" i="2"/>
  <c r="R846" i="2"/>
  <c r="R890" i="2"/>
  <c r="R466" i="2"/>
  <c r="R820" i="2"/>
  <c r="R1889" i="2"/>
  <c r="R5" i="2"/>
  <c r="R742" i="2"/>
  <c r="R1278" i="2"/>
  <c r="R1852" i="2"/>
  <c r="R1339" i="2"/>
  <c r="R1002" i="2"/>
  <c r="R1937" i="2"/>
  <c r="R1007" i="2"/>
  <c r="R1559" i="2"/>
  <c r="R796" i="2"/>
  <c r="R39" i="2"/>
  <c r="R1462" i="2"/>
  <c r="R1557" i="2"/>
  <c r="R1632" i="2"/>
  <c r="R966" i="2"/>
  <c r="R1819" i="2"/>
  <c r="R678" i="2"/>
  <c r="R1812" i="2"/>
  <c r="R1689" i="2"/>
  <c r="R617" i="2"/>
  <c r="R269" i="2"/>
  <c r="R1366" i="2"/>
  <c r="R233" i="2"/>
  <c r="R172" i="2"/>
  <c r="R1388" i="2"/>
  <c r="R791" i="2"/>
  <c r="R1989" i="2"/>
  <c r="R986" i="2"/>
  <c r="R944" i="2"/>
  <c r="R1834" i="2"/>
  <c r="R35" i="2"/>
  <c r="R1003" i="2"/>
  <c r="R994" i="2"/>
  <c r="R362" i="2"/>
  <c r="R729" i="2"/>
  <c r="R1441" i="2"/>
  <c r="R1622" i="2"/>
  <c r="R603" i="2"/>
  <c r="R483" i="2"/>
  <c r="R43" i="2"/>
  <c r="R732" i="2"/>
  <c r="R651" i="2"/>
  <c r="R1264" i="2"/>
  <c r="R390" i="2"/>
  <c r="R1623" i="2"/>
  <c r="R713" i="2"/>
  <c r="R1107" i="2"/>
  <c r="R134" i="2"/>
  <c r="R1261" i="2"/>
  <c r="R78" i="2"/>
  <c r="R761" i="2"/>
  <c r="R1166" i="2"/>
  <c r="R289" i="2"/>
  <c r="R1967" i="2"/>
  <c r="R6" i="2"/>
  <c r="R1940" i="2"/>
  <c r="R1751" i="2"/>
  <c r="R449" i="2"/>
  <c r="R1580" i="2"/>
  <c r="R1906" i="2"/>
  <c r="R1969" i="2"/>
  <c r="R779" i="2"/>
  <c r="R654" i="2"/>
  <c r="R352" i="2"/>
  <c r="R1841" i="2"/>
  <c r="R1487" i="2"/>
  <c r="R1600" i="2"/>
  <c r="R1832" i="2"/>
  <c r="R747" i="2"/>
  <c r="R1342" i="2"/>
  <c r="R1417" i="2"/>
  <c r="R825" i="2"/>
  <c r="R921" i="2"/>
  <c r="R379" i="2"/>
  <c r="R533" i="2"/>
  <c r="R1314" i="2"/>
  <c r="R1679" i="2"/>
  <c r="R1844" i="2"/>
  <c r="R1503" i="2"/>
  <c r="R1519" i="2"/>
  <c r="R354" i="2"/>
  <c r="R952" i="2"/>
  <c r="R1341" i="2"/>
  <c r="R1090" i="2"/>
  <c r="R308" i="2"/>
  <c r="R655" i="2"/>
  <c r="R1968" i="2"/>
  <c r="R387" i="2"/>
  <c r="R472" i="2"/>
  <c r="R829" i="2"/>
  <c r="R500" i="2"/>
  <c r="R1973" i="2"/>
  <c r="R1893" i="2"/>
  <c r="R312" i="2"/>
  <c r="R1317" i="2"/>
  <c r="R1961" i="2"/>
  <c r="R1727" i="2"/>
  <c r="R1504" i="2"/>
  <c r="R159" i="2"/>
  <c r="R1353" i="2"/>
  <c r="R1808" i="2"/>
  <c r="R1255" i="2"/>
  <c r="R1862" i="2"/>
  <c r="R1225" i="2"/>
  <c r="R160" i="2"/>
  <c r="R766" i="2"/>
  <c r="R206" i="2"/>
  <c r="R163" i="2"/>
  <c r="R1627" i="2"/>
  <c r="R1300" i="2"/>
  <c r="R316" i="2"/>
  <c r="R294" i="2"/>
  <c r="R1598" i="2"/>
  <c r="R498" i="2"/>
  <c r="R223" i="2"/>
  <c r="R1021" i="2"/>
  <c r="R1253" i="2"/>
  <c r="R1350" i="2"/>
  <c r="R1839" i="2"/>
  <c r="R1845" i="2"/>
  <c r="R1518" i="2"/>
  <c r="R1681" i="2"/>
  <c r="R717" i="2"/>
  <c r="R559" i="2"/>
  <c r="R1106" i="2"/>
  <c r="R1879" i="2"/>
  <c r="R1270" i="2"/>
  <c r="R1303" i="2"/>
  <c r="R823" i="2"/>
  <c r="R1497" i="2"/>
  <c r="R1435" i="2"/>
  <c r="R596" i="2"/>
  <c r="R892" i="2"/>
  <c r="R1957" i="2"/>
  <c r="R1187" i="2"/>
  <c r="R1457" i="2"/>
  <c r="R1813" i="2"/>
  <c r="R1646" i="2"/>
  <c r="R889" i="2"/>
  <c r="R795" i="2"/>
  <c r="R772" i="2"/>
  <c r="R1917" i="2"/>
  <c r="R366" i="2"/>
  <c r="R455" i="2"/>
  <c r="R150" i="2"/>
  <c r="R749" i="2"/>
  <c r="R1137" i="2"/>
  <c r="R1517" i="2"/>
  <c r="R1951" i="2"/>
  <c r="R1984" i="2"/>
  <c r="R271" i="2"/>
  <c r="R975" i="2"/>
  <c r="R1590" i="2"/>
  <c r="R1954" i="2"/>
  <c r="R193" i="2"/>
  <c r="R213" i="2"/>
  <c r="R65" i="2"/>
  <c r="R1729" i="2"/>
  <c r="R1988" i="2"/>
  <c r="R475" i="2"/>
  <c r="R642" i="2"/>
  <c r="R1209" i="2"/>
  <c r="R566" i="2"/>
  <c r="R221" i="2"/>
  <c r="R1160" i="2"/>
  <c r="R1087" i="2"/>
  <c r="R1945" i="2"/>
  <c r="R1247" i="2"/>
  <c r="R917" i="2"/>
  <c r="R1929" i="2"/>
  <c r="R534" i="2"/>
  <c r="R1670" i="2"/>
  <c r="R1157" i="2"/>
  <c r="R1863" i="2"/>
  <c r="R403" i="2"/>
  <c r="R1630" i="2"/>
  <c r="R1653" i="2"/>
  <c r="R1876" i="2"/>
  <c r="R1206" i="2"/>
  <c r="R1437" i="2"/>
  <c r="R266" i="2"/>
  <c r="R1527" i="2"/>
  <c r="R1233" i="2"/>
  <c r="R1426" i="2"/>
  <c r="R1380" i="2"/>
  <c r="R357" i="2"/>
  <c r="R1000" i="2"/>
  <c r="R1537" i="2"/>
  <c r="R792" i="2"/>
  <c r="R1993" i="2"/>
  <c r="R212" i="2"/>
  <c r="R1036" i="2"/>
  <c r="R2" i="2"/>
  <c r="R1998" i="2"/>
  <c r="R785" i="2"/>
  <c r="R1528" i="2"/>
  <c r="R1688" i="2"/>
  <c r="R33" i="2"/>
  <c r="R1352" i="2"/>
  <c r="R869" i="2"/>
  <c r="R608" i="2"/>
  <c r="R1888" i="2"/>
  <c r="R393" i="2"/>
  <c r="R1816" i="2"/>
  <c r="R1522" i="2"/>
  <c r="R70" i="2"/>
  <c r="R79" i="2"/>
  <c r="R188" i="2"/>
  <c r="R64" i="2"/>
  <c r="R1319" i="2"/>
  <c r="R270" i="2"/>
  <c r="R1800" i="2"/>
  <c r="R1547" i="2"/>
  <c r="R555" i="2"/>
  <c r="R1132" i="2"/>
  <c r="R1602" i="2"/>
  <c r="R1266" i="2"/>
  <c r="R1038" i="2"/>
  <c r="R376" i="2"/>
  <c r="R264" i="2"/>
  <c r="R1533" i="2"/>
  <c r="R1612" i="2"/>
  <c r="R931" i="2"/>
  <c r="R282" i="2"/>
  <c r="R584" i="2"/>
  <c r="R106" i="2"/>
  <c r="R1367" i="2"/>
  <c r="R861" i="2"/>
  <c r="R480" i="2"/>
  <c r="R707" i="2"/>
  <c r="R1392" i="2"/>
  <c r="R1792" i="2"/>
  <c r="R1682" i="2"/>
  <c r="R918" i="2"/>
  <c r="R1130" i="2"/>
  <c r="R1702" i="2"/>
  <c r="R752" i="2"/>
  <c r="R925" i="2"/>
  <c r="R378" i="2"/>
  <c r="R191" i="2"/>
  <c r="R263" i="2"/>
  <c r="R1212" i="2"/>
  <c r="R254" i="2"/>
  <c r="R981" i="2"/>
  <c r="R1606" i="2"/>
  <c r="R1011" i="2"/>
  <c r="R117" i="2"/>
  <c r="R1305" i="2"/>
  <c r="R1977" i="2"/>
  <c r="R712" i="2"/>
  <c r="R695" i="2"/>
  <c r="R1028" i="2"/>
  <c r="R304" i="2"/>
  <c r="R16" i="2"/>
  <c r="R222" i="2"/>
  <c r="R607" i="2"/>
  <c r="R597" i="2"/>
  <c r="R456" i="2"/>
  <c r="R1695" i="2"/>
  <c r="R677" i="2"/>
  <c r="R207" i="2"/>
  <c r="R77" i="2"/>
  <c r="R521" i="2"/>
  <c r="R731" i="2"/>
  <c r="R1076" i="2"/>
  <c r="R1820" i="2"/>
  <c r="R1526" i="2"/>
  <c r="R1045" i="2"/>
  <c r="R874" i="2"/>
  <c r="R907" i="2"/>
  <c r="R955" i="2"/>
  <c r="R463" i="2"/>
  <c r="R436" i="2"/>
  <c r="R113" i="2"/>
  <c r="R1481" i="2"/>
  <c r="R870" i="2"/>
  <c r="R1042" i="2"/>
  <c r="R351" i="2"/>
  <c r="R1910" i="2"/>
  <c r="R1114" i="2"/>
  <c r="R1483" i="2"/>
  <c r="R358" i="2"/>
  <c r="R1024" i="2"/>
  <c r="R1723" i="2"/>
  <c r="R22" i="2"/>
  <c r="R751" i="2"/>
  <c r="R540" i="2"/>
  <c r="R47" i="2"/>
  <c r="R728" i="2"/>
  <c r="R319" i="2"/>
  <c r="R450" i="2"/>
  <c r="R681" i="2"/>
  <c r="R1174" i="2"/>
  <c r="R1631" i="2"/>
  <c r="R1849" i="2"/>
  <c r="R924" i="2"/>
  <c r="R1769" i="2"/>
  <c r="R1004" i="2"/>
  <c r="R115" i="2"/>
  <c r="R1709" i="2"/>
  <c r="R644" i="2"/>
  <c r="R1173" i="2"/>
  <c r="R443" i="2"/>
  <c r="R1422" i="2"/>
  <c r="R1693" i="2"/>
  <c r="R849" i="2"/>
  <c r="R788" i="2"/>
  <c r="R613" i="2"/>
  <c r="R758" i="2"/>
  <c r="R885" i="2"/>
  <c r="R574" i="2"/>
  <c r="R947" i="2"/>
  <c r="R710" i="2"/>
  <c r="R448" i="2"/>
  <c r="R920" i="2"/>
  <c r="R41" i="2"/>
  <c r="R170" i="2"/>
  <c r="R317" i="2"/>
  <c r="R1371" i="2"/>
  <c r="R1978" i="2"/>
  <c r="R551" i="2"/>
  <c r="R780" i="2"/>
  <c r="R257" i="2"/>
  <c r="R1169" i="2"/>
  <c r="R112" i="2"/>
  <c r="R18" i="2"/>
  <c r="R424" i="2"/>
  <c r="R526" i="2"/>
  <c r="R288" i="2"/>
  <c r="R1083" i="2"/>
  <c r="R1625" i="2"/>
  <c r="R1073" i="2"/>
  <c r="R847" i="2"/>
  <c r="R904" i="2"/>
  <c r="R1408" i="2"/>
  <c r="R95" i="2"/>
  <c r="R1017" i="2"/>
  <c r="R1774" i="2"/>
  <c r="R1855" i="2"/>
  <c r="R1776" i="2"/>
  <c r="R1379" i="2"/>
  <c r="R649" i="2"/>
  <c r="R1650" i="2"/>
  <c r="R144" i="2"/>
  <c r="R627" i="2"/>
  <c r="R1015" i="2"/>
  <c r="R1890" i="2"/>
  <c r="R1586" i="2"/>
  <c r="R442" i="2"/>
  <c r="R374" i="2"/>
  <c r="R532" i="2"/>
  <c r="R704" i="2"/>
  <c r="R1665" i="2"/>
  <c r="R835" i="2"/>
  <c r="R934" i="2"/>
  <c r="R493" i="2"/>
  <c r="R224" i="2"/>
  <c r="R1068" i="2"/>
  <c r="R13" i="2"/>
  <c r="R887" i="2"/>
  <c r="R1120" i="2"/>
  <c r="R155" i="2"/>
  <c r="R1655" i="2"/>
  <c r="R905" i="2"/>
  <c r="R1835" i="2"/>
  <c r="R830" i="2"/>
  <c r="R1063" i="2"/>
  <c r="R664" i="2"/>
  <c r="R1495" i="2"/>
  <c r="R1617" i="2"/>
  <c r="R1226" i="2"/>
  <c r="R1334" i="2"/>
  <c r="R200" i="2"/>
  <c r="R1407" i="2"/>
  <c r="R1197" i="2"/>
  <c r="R1724" i="2"/>
  <c r="R1089" i="2"/>
  <c r="R272" i="2"/>
  <c r="R760" i="2"/>
  <c r="R121" i="2"/>
  <c r="R554" i="2"/>
  <c r="R872" i="2"/>
  <c r="R667" i="2"/>
  <c r="R857" i="2"/>
  <c r="R247" i="2"/>
  <c r="R412" i="2"/>
  <c r="R1531" i="2"/>
  <c r="R1175" i="2"/>
  <c r="R1939" i="2"/>
  <c r="R683" i="2"/>
  <c r="R1080" i="2"/>
  <c r="R1211" i="2"/>
  <c r="R561" i="2"/>
  <c r="R216" i="2"/>
  <c r="R26" i="2"/>
  <c r="R1153" i="2"/>
  <c r="R629" i="2"/>
  <c r="R558" i="2"/>
  <c r="R252" i="2"/>
  <c r="R1309" i="2"/>
  <c r="R1251" i="2"/>
  <c r="R525" i="2"/>
  <c r="R776" i="2"/>
  <c r="R1718" i="2"/>
  <c r="R784" i="2"/>
  <c r="R1524" i="2"/>
  <c r="R1712" i="2"/>
  <c r="R1105" i="2"/>
  <c r="R670" i="2"/>
  <c r="R1779" i="2"/>
  <c r="R570" i="2"/>
  <c r="R473" i="2"/>
  <c r="R714" i="2"/>
  <c r="R1082" i="2"/>
  <c r="R1159" i="2"/>
  <c r="R348" i="2"/>
  <c r="R402" i="2"/>
  <c r="R44" i="2"/>
  <c r="R563" i="2"/>
  <c r="R1790" i="2"/>
  <c r="R706" i="2"/>
  <c r="R128" i="2"/>
  <c r="R1123" i="2"/>
  <c r="R1491" i="2"/>
  <c r="R93" i="2"/>
  <c r="R1103" i="2"/>
  <c r="R1538" i="2"/>
  <c r="R490" i="2"/>
  <c r="R389" i="2"/>
  <c r="R995" i="2"/>
  <c r="R1358" i="2"/>
  <c r="R680" i="2"/>
  <c r="R949" i="2"/>
  <c r="R624" i="2"/>
  <c r="R1171" i="2"/>
  <c r="R1382" i="2"/>
  <c r="R1643" i="2"/>
  <c r="R75" i="2"/>
  <c r="R1829" i="2"/>
  <c r="R689" i="2"/>
  <c r="R1750" i="2"/>
  <c r="R28" i="2"/>
  <c r="R1312" i="2"/>
  <c r="R859" i="2"/>
  <c r="R661" i="2"/>
  <c r="R1667" i="2"/>
  <c r="R980" i="2"/>
  <c r="R381" i="2"/>
  <c r="R1258" i="2"/>
  <c r="R397" i="2"/>
  <c r="R640" i="2"/>
  <c r="R804" i="2"/>
  <c r="R1608" i="2"/>
  <c r="R1324" i="2"/>
  <c r="R1031" i="2"/>
  <c r="R215" i="2"/>
  <c r="R1648" i="2"/>
  <c r="R398" i="2"/>
  <c r="R1121" i="2"/>
  <c r="R300" i="2"/>
  <c r="R1034" i="2"/>
  <c r="R1306" i="2"/>
  <c r="R260" i="2"/>
  <c r="R268" i="2"/>
  <c r="R1592" i="2"/>
  <c r="R1657" i="2"/>
  <c r="R430" i="2"/>
  <c r="R367" i="2"/>
  <c r="R318" i="2"/>
  <c r="R1051" i="2"/>
  <c r="R688" i="2"/>
  <c r="R605" i="2"/>
  <c r="R1440" i="2"/>
  <c r="R811" i="2"/>
  <c r="R1316" i="2"/>
  <c r="R494" i="2"/>
  <c r="R86" i="2"/>
  <c r="R1513" i="2"/>
  <c r="R1092" i="2"/>
  <c r="R850" i="2"/>
  <c r="R434" i="2"/>
  <c r="R1943" i="2"/>
  <c r="R1140" i="2"/>
  <c r="R1455" i="2"/>
  <c r="R1466" i="2"/>
  <c r="R592" i="2"/>
  <c r="R85" i="2"/>
  <c r="R385" i="2"/>
  <c r="R1959" i="2"/>
  <c r="R571" i="2"/>
  <c r="R1142" i="2"/>
  <c r="R964" i="2"/>
  <c r="R198" i="2"/>
  <c r="R1674" i="2"/>
  <c r="R518" i="2"/>
  <c r="R685" i="2"/>
  <c r="R1026" i="2"/>
  <c r="R668" i="2"/>
  <c r="R632" i="2"/>
  <c r="R421" i="2"/>
  <c r="R515" i="2"/>
  <c r="R965" i="2"/>
  <c r="R167" i="2"/>
  <c r="R1271" i="2"/>
  <c r="R675" i="2"/>
  <c r="R1354" i="2"/>
  <c r="R1615" i="2"/>
  <c r="R1293" i="2"/>
  <c r="R1805" i="2"/>
  <c r="R916" i="2"/>
  <c r="R183" i="2"/>
  <c r="R948" i="2"/>
  <c r="R344" i="2"/>
  <c r="R1708" i="2"/>
  <c r="R1804" i="2"/>
  <c r="R703" i="2"/>
  <c r="R1964" i="2"/>
  <c r="R1059" i="2"/>
  <c r="R1416" i="2"/>
  <c r="R1268" i="2"/>
  <c r="R1830" i="2"/>
  <c r="R996" i="2"/>
  <c r="R90" i="2"/>
  <c r="R886" i="2"/>
  <c r="R368" i="2"/>
  <c r="R1329" i="2"/>
  <c r="R187" i="2"/>
  <c r="R1147" i="2"/>
  <c r="R411" i="2"/>
  <c r="R76" i="2"/>
  <c r="R736" i="2"/>
  <c r="R645" i="2"/>
  <c r="R320" i="2"/>
  <c r="R218" i="2"/>
  <c r="R1204" i="2"/>
  <c r="R1583" i="2"/>
  <c r="R1432" i="2"/>
  <c r="R1421" i="2"/>
  <c r="R984" i="2"/>
  <c r="R560" i="2"/>
  <c r="R1585" i="2"/>
  <c r="R197" i="2"/>
  <c r="R915" i="2"/>
  <c r="R108" i="2"/>
  <c r="R1302" i="2"/>
  <c r="R1091" i="2"/>
  <c r="R204" i="2"/>
  <c r="R1745" i="2"/>
  <c r="R1474" i="2"/>
  <c r="R1919" i="2"/>
  <c r="R1403" i="2"/>
  <c r="R1386" i="2"/>
  <c r="R1322" i="2"/>
  <c r="R658" i="2"/>
  <c r="R275" i="2"/>
  <c r="R25" i="2"/>
  <c r="R158" i="2"/>
  <c r="R1807" i="2"/>
  <c r="R322" i="2"/>
  <c r="R164" i="2"/>
  <c r="R406" i="2"/>
  <c r="R127" i="2"/>
  <c r="R1885" i="2"/>
  <c r="R1391" i="2"/>
  <c r="R1333" i="2"/>
  <c r="R737" i="2"/>
  <c r="R1579" i="2"/>
  <c r="R773" i="2"/>
  <c r="R988" i="2"/>
  <c r="R1798" i="2"/>
  <c r="R205" i="2"/>
  <c r="R1782" i="2"/>
  <c r="R339" i="2"/>
  <c r="R1673" i="2"/>
  <c r="R1582" i="2"/>
  <c r="R89" i="2"/>
  <c r="R790" i="2"/>
  <c r="R595" i="2"/>
  <c r="R692" i="2"/>
  <c r="R315" i="2"/>
  <c r="R634" i="2"/>
  <c r="R49" i="2"/>
  <c r="R604" i="2"/>
  <c r="R1697" i="2"/>
  <c r="R169" i="2"/>
  <c r="R1409" i="2"/>
  <c r="R1377" i="2"/>
  <c r="R10" i="2"/>
  <c r="R1962" i="2"/>
  <c r="R38" i="2"/>
  <c r="R1012" i="2"/>
  <c r="R1918" i="2"/>
  <c r="R1565" i="2"/>
  <c r="R1195" i="2"/>
  <c r="R1755" i="2"/>
  <c r="R669" i="2"/>
  <c r="R495" i="2"/>
  <c r="R1742" i="2"/>
  <c r="R1224" i="2"/>
  <c r="R175" i="2"/>
  <c r="R552" i="2"/>
  <c r="R1008" i="2"/>
  <c r="R1040" i="2"/>
  <c r="R1057" i="2"/>
  <c r="R815" i="2"/>
  <c r="R637" i="2"/>
  <c r="R1338" i="2"/>
  <c r="R970" i="2"/>
  <c r="R901" i="2"/>
  <c r="R1677" i="2"/>
  <c r="R877" i="2"/>
  <c r="R82" i="2"/>
  <c r="R1453" i="2"/>
  <c r="R1530" i="2"/>
  <c r="R1644" i="2"/>
  <c r="R364" i="2"/>
  <c r="R309" i="2"/>
  <c r="R1765" i="2"/>
  <c r="R578" i="2"/>
  <c r="R1994" i="2"/>
  <c r="R1763" i="2"/>
  <c r="R195" i="2"/>
  <c r="R1479" i="2"/>
  <c r="R1894" i="2"/>
  <c r="R602" i="2"/>
  <c r="R1010" i="2"/>
  <c r="R1178" i="2"/>
  <c r="R1678" i="2"/>
  <c r="R1320" i="2"/>
  <c r="R1726" i="2"/>
  <c r="R1218" i="2"/>
  <c r="R1956" i="2"/>
  <c r="R132" i="2"/>
  <c r="R738" i="2"/>
  <c r="R101" i="2"/>
  <c r="R1950" i="2"/>
  <c r="R491" i="2"/>
  <c r="R1286" i="2"/>
  <c r="R427" i="2"/>
  <c r="R999" i="2"/>
  <c r="R296" i="2"/>
  <c r="R1743" i="2"/>
  <c r="R590" i="2"/>
  <c r="R1214" i="2"/>
  <c r="R1186" i="2"/>
  <c r="R417" i="2"/>
  <c r="R1788" i="2"/>
  <c r="R370" i="2"/>
  <c r="R589" i="2"/>
  <c r="R1652" i="2"/>
  <c r="R171" i="2"/>
  <c r="R828" i="2"/>
  <c r="R1958" i="2"/>
  <c r="R1360" i="2"/>
  <c r="R789" i="2"/>
  <c r="R1056" i="2"/>
  <c r="R759" i="2"/>
  <c r="R293" i="2"/>
  <c r="R577" i="2"/>
  <c r="R1540" i="2"/>
  <c r="R1220" i="2"/>
  <c r="R1345" i="2"/>
  <c r="R1478" i="2"/>
  <c r="R1101" i="2"/>
  <c r="R146" i="2"/>
  <c r="R1680" i="2"/>
  <c r="R1851" i="2"/>
  <c r="R479" i="2"/>
  <c r="R1396" i="2"/>
  <c r="R818" i="2"/>
  <c r="R878" i="2"/>
  <c r="R1701" i="2"/>
  <c r="R1054" i="2"/>
  <c r="R68" i="2"/>
  <c r="R524" i="2"/>
  <c r="R1112" i="2"/>
  <c r="R1289" i="2"/>
  <c r="R1148" i="2"/>
  <c r="R1368" i="2"/>
  <c r="R977" i="2"/>
  <c r="R1492" i="2"/>
  <c r="R1013" i="2"/>
  <c r="R615" i="2"/>
  <c r="R1446" i="2"/>
  <c r="R1868" i="2"/>
  <c r="R1552" i="2"/>
  <c r="R1001" i="2"/>
  <c r="R418" i="2"/>
  <c r="R1714" i="2"/>
  <c r="R42" i="2"/>
  <c r="R1111" i="2"/>
  <c r="R794" i="2"/>
  <c r="R609" i="2"/>
  <c r="R162" i="2"/>
  <c r="R1753" i="2"/>
  <c r="R1347" i="2"/>
  <c r="R951" i="2"/>
  <c r="R1922" i="2"/>
  <c r="R583" i="2"/>
  <c r="R105" i="2"/>
  <c r="R168" i="2"/>
  <c r="R1477" i="2"/>
  <c r="R287" i="2"/>
  <c r="R371" i="2"/>
  <c r="R69" i="2"/>
  <c r="R261" i="2"/>
  <c r="R516" i="2"/>
  <c r="R1066" i="2"/>
  <c r="R841" i="2"/>
  <c r="R1053" i="2"/>
  <c r="R1362" i="2"/>
  <c r="R324" i="2"/>
  <c r="R1292" i="2"/>
  <c r="R37" i="2"/>
  <c r="R126" i="2"/>
  <c r="R1912" i="2"/>
  <c r="R1661" i="2"/>
  <c r="R1932" i="2"/>
  <c r="R906" i="2"/>
  <c r="R2000" i="2"/>
  <c r="R963" i="2"/>
  <c r="R1746" i="2"/>
  <c r="R1378" i="2"/>
  <c r="R1789" i="2"/>
  <c r="R585" i="2"/>
  <c r="R544" i="2"/>
  <c r="R842" i="2"/>
  <c r="R1905" i="2"/>
  <c r="R420" i="2"/>
  <c r="R1838" i="2"/>
  <c r="R843" i="2"/>
  <c r="R1311" i="2"/>
  <c r="R377" i="2"/>
  <c r="R1418" i="2"/>
  <c r="R781" i="2"/>
  <c r="R863" i="2"/>
  <c r="R1647" i="2"/>
  <c r="R523" i="2"/>
  <c r="R503" i="2"/>
  <c r="R1295" i="2"/>
  <c r="R181" i="2"/>
  <c r="R1588" i="2"/>
  <c r="R943" i="2"/>
  <c r="R345" i="2"/>
  <c r="R423" i="2"/>
  <c r="R1979" i="2"/>
  <c r="R971" i="2"/>
  <c r="R1489" i="2"/>
  <c r="R1525" i="2"/>
  <c r="R866" i="2"/>
  <c r="R55" i="2"/>
  <c r="R328" i="2"/>
  <c r="R177" i="2"/>
  <c r="R1047" i="2"/>
  <c r="R110" i="2"/>
  <c r="R481" i="2"/>
  <c r="R467" i="2"/>
  <c r="R1938" i="2"/>
  <c r="R770" i="2"/>
  <c r="R1936" i="2"/>
  <c r="R1454" i="2"/>
  <c r="R1597" i="2"/>
  <c r="R1734" i="2"/>
  <c r="R1952" i="2"/>
  <c r="R1061" i="2"/>
  <c r="R936" i="2"/>
  <c r="R1539" i="2"/>
  <c r="R194" i="2"/>
  <c r="R1310" i="2"/>
  <c r="R1472" i="2"/>
  <c r="R454" i="2"/>
  <c r="R1799" i="2"/>
  <c r="R1216" i="2"/>
  <c r="R61" i="2"/>
  <c r="R1558" i="2"/>
  <c r="R1465" i="2"/>
  <c r="R1671" i="2"/>
  <c r="R31" i="2"/>
  <c r="R1728" i="2"/>
  <c r="R1611" i="2"/>
  <c r="R335" i="2"/>
  <c r="R149" i="2"/>
  <c r="R214" i="2"/>
  <c r="R1434" i="2"/>
  <c r="R1758" i="2"/>
  <c r="R166" i="2"/>
  <c r="R1078" i="2"/>
  <c r="R1639" i="2"/>
  <c r="R636" i="2"/>
  <c r="R234" i="2"/>
  <c r="R633" i="2"/>
  <c r="R550" i="2"/>
  <c r="R701" i="2"/>
  <c r="R628" i="2"/>
  <c r="R748" i="2"/>
  <c r="R535" i="2"/>
  <c r="R765" i="2"/>
  <c r="R259" i="2"/>
  <c r="R1970" i="2"/>
  <c r="R1461" i="2"/>
  <c r="R1966" i="2"/>
  <c r="R131" i="2"/>
  <c r="R625" i="2"/>
  <c r="R157" i="2"/>
  <c r="R46" i="2"/>
  <c r="R1908" i="2"/>
  <c r="R147" i="2"/>
  <c r="R87" i="2"/>
  <c r="R1349" i="2"/>
  <c r="R1260" i="2"/>
  <c r="R1244" i="2"/>
  <c r="R1992" i="2"/>
  <c r="R1620" i="2"/>
  <c r="R569" i="2"/>
  <c r="R1507" i="2"/>
  <c r="R1833" i="2"/>
  <c r="R1280" i="2"/>
  <c r="R329" i="2"/>
  <c r="R1018" i="2"/>
  <c r="R1124" i="2"/>
  <c r="R719" i="2"/>
  <c r="R1104" i="2"/>
  <c r="R881" i="2"/>
  <c r="R1898" i="2"/>
  <c r="R674" i="2"/>
  <c r="R56" i="2"/>
  <c r="R898" i="2"/>
  <c r="R740" i="2"/>
  <c r="R858" i="2"/>
  <c r="R1399" i="2"/>
  <c r="R705" i="2"/>
  <c r="R1604" i="2"/>
  <c r="R1842" i="2"/>
  <c r="R991" i="2"/>
  <c r="R1294" i="2"/>
  <c r="R1039" i="2"/>
  <c r="R1326" i="2"/>
  <c r="R940" i="2"/>
  <c r="R950" i="2"/>
  <c r="R746" i="2"/>
  <c r="R1401" i="2"/>
  <c r="R1150" i="2"/>
  <c r="R1340" i="2"/>
  <c r="R974" i="2"/>
  <c r="R508" i="2"/>
  <c r="R1874" i="2"/>
  <c r="R876" i="2"/>
  <c r="R24" i="2"/>
  <c r="R1861" i="2"/>
  <c r="R1131" i="2"/>
  <c r="R340" i="2"/>
  <c r="R672" i="2"/>
  <c r="R840" i="2"/>
  <c r="R1369" i="2"/>
  <c r="R8" i="2"/>
  <c r="R730" i="2"/>
  <c r="R1452" i="2"/>
  <c r="R29" i="2"/>
  <c r="R1699" i="2"/>
  <c r="R581" i="2"/>
  <c r="R1593" i="2"/>
  <c r="R1146" i="2"/>
  <c r="R1736" i="2"/>
  <c r="R1668" i="2"/>
  <c r="R1383" i="2"/>
  <c r="R1250" i="2"/>
  <c r="R851" i="2"/>
  <c r="R614" i="2"/>
  <c r="R1254" i="2"/>
  <c r="R1645" i="2"/>
  <c r="R1049" i="2"/>
  <c r="R1738" i="2"/>
  <c r="R1642" i="2"/>
  <c r="R1424" i="2"/>
  <c r="R1084" i="2"/>
  <c r="R1760" i="2"/>
  <c r="R1240" i="2"/>
  <c r="R1821" i="2"/>
  <c r="R671" i="2"/>
  <c r="R1506" i="2"/>
  <c r="R99" i="2"/>
  <c r="R1686" i="2"/>
  <c r="R278" i="2"/>
  <c r="R435" i="2"/>
  <c r="R1543" i="2"/>
  <c r="R1095" i="2"/>
  <c r="R699" i="2"/>
  <c r="R51" i="2"/>
  <c r="R1775" i="2"/>
  <c r="R582" i="2"/>
  <c r="R653" i="2"/>
  <c r="R1359" i="2"/>
  <c r="R1567" i="2"/>
  <c r="R1127" i="2"/>
  <c r="R1161" i="2"/>
  <c r="R307" i="2"/>
  <c r="R1234" i="2"/>
  <c r="R1272" i="2"/>
  <c r="R580" i="2"/>
  <c r="R1801" i="2"/>
  <c r="R1803" i="2"/>
  <c r="R67" i="2"/>
  <c r="R1046" i="2"/>
  <c r="R211" i="2"/>
  <c r="R741" i="2"/>
  <c r="R972" i="2"/>
  <c r="R979" i="2"/>
  <c r="R1242" i="2"/>
  <c r="R1381" i="2"/>
  <c r="R1848" i="2"/>
  <c r="R474" i="2"/>
  <c r="R1827" i="2"/>
  <c r="R1577" i="2"/>
  <c r="R676" i="2"/>
  <c r="R298" i="2"/>
  <c r="R1405" i="2"/>
  <c r="R1444" i="2"/>
  <c r="R485" i="2"/>
  <c r="R237" i="2"/>
  <c r="R1624" i="2"/>
  <c r="R1336" i="2"/>
  <c r="R139" i="2"/>
  <c r="R1634" i="2"/>
  <c r="R1165" i="2"/>
  <c r="R1022" i="2"/>
  <c r="R543" i="2"/>
  <c r="R1102" i="2"/>
  <c r="R802" i="2"/>
  <c r="R243" i="2"/>
  <c r="R1664" i="2"/>
  <c r="R208" i="2"/>
  <c r="R1900" i="2"/>
  <c r="R1269" i="2"/>
  <c r="R232" i="2"/>
  <c r="R1903" i="2"/>
  <c r="R1719" i="2"/>
  <c r="R1995" i="2"/>
  <c r="R932" i="2"/>
  <c r="R557" i="2"/>
  <c r="R1683" i="2"/>
  <c r="R793" i="2"/>
  <c r="R1451" i="2"/>
  <c r="R1313" i="2"/>
  <c r="R1243" i="2"/>
  <c r="R499" i="2"/>
  <c r="R755" i="2"/>
  <c r="R698" i="2"/>
  <c r="R1050" i="2"/>
  <c r="R1450" i="2"/>
  <c r="R718" i="2"/>
  <c r="R92" i="2"/>
  <c r="R477" i="2"/>
  <c r="R1933" i="2"/>
  <c r="R976" i="2"/>
  <c r="R125" i="2"/>
  <c r="R1248" i="2"/>
  <c r="R1965" i="2"/>
  <c r="R1245" i="2"/>
  <c r="R663" i="2"/>
  <c r="R1321" i="2"/>
  <c r="R1837" i="2"/>
  <c r="R797" i="2"/>
  <c r="R539" i="2"/>
  <c r="R620" i="2"/>
  <c r="R1463" i="2"/>
  <c r="R1545" i="2"/>
  <c r="R1118" i="2"/>
  <c r="R1913" i="2"/>
  <c r="R1423" i="2"/>
  <c r="R1394" i="2"/>
  <c r="R1390" i="2"/>
  <c r="R973" i="2"/>
  <c r="R235" i="2"/>
  <c r="R74" i="2"/>
  <c r="R832" i="2"/>
  <c r="R330" i="2"/>
  <c r="R1304" i="2"/>
  <c r="R926" i="2"/>
  <c r="R1740" i="2"/>
  <c r="R1864" i="2"/>
  <c r="R1897" i="2"/>
  <c r="R1554" i="2"/>
  <c r="R660" i="2"/>
  <c r="R1397" i="2"/>
  <c r="R305" i="2"/>
  <c r="R777" i="2"/>
  <c r="R1721" i="2"/>
  <c r="R522" i="2"/>
  <c r="R502" i="2"/>
  <c r="R391" i="2"/>
  <c r="R1656" i="2"/>
  <c r="R1752" i="2"/>
  <c r="R1238" i="2"/>
  <c r="R1283" i="2"/>
  <c r="R1749" i="2"/>
  <c r="R244" i="2"/>
  <c r="R1282" i="2"/>
  <c r="R1364" i="2"/>
  <c r="R610" i="2"/>
  <c r="R286" i="2"/>
  <c r="R410" i="2"/>
  <c r="R148" i="2"/>
  <c r="R1467" i="2"/>
  <c r="R646" i="2"/>
  <c r="R45" i="2"/>
  <c r="R1134" i="2"/>
  <c r="R1556" i="2"/>
  <c r="R470" i="2"/>
  <c r="R1179" i="2"/>
  <c r="R186" i="2"/>
  <c r="R136" i="2"/>
  <c r="R4" i="2"/>
  <c r="R34" i="2"/>
  <c r="R838" i="2"/>
  <c r="R462" i="2"/>
  <c r="R1014" i="2"/>
  <c r="R1335" i="2"/>
  <c r="R1016" i="2"/>
  <c r="R5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6AB4A-EF6E-408E-BAE1-4A1F714C74AB}" keepAlive="1" name="Query - ai_job_impact" description="Connection to the 'ai_job_impact' query in the workbook." type="5" refreshedVersion="8" background="1" saveData="1">
    <dbPr connection="Provider=Microsoft.Mashup.OleDb.1;Data Source=$Workbook$;Location=ai_job_impact;Extended Properties=&quot;&quot;" command="SELECT * FROM [ai_job_impact]"/>
  </connection>
</connections>
</file>

<file path=xl/sharedStrings.xml><?xml version="1.0" encoding="utf-8"?>
<sst xmlns="http://schemas.openxmlformats.org/spreadsheetml/2006/main" count="20057" uniqueCount="2070">
  <si>
    <t>Employee_ID</t>
  </si>
  <si>
    <t>Age</t>
  </si>
  <si>
    <t>Gender</t>
  </si>
  <si>
    <t>Education_Level</t>
  </si>
  <si>
    <t>Industry</t>
  </si>
  <si>
    <t>Job_Role</t>
  </si>
  <si>
    <t>Years_Experience</t>
  </si>
  <si>
    <t>AI_Adoption_Level</t>
  </si>
  <si>
    <t>Automation_Risk</t>
  </si>
  <si>
    <t>Upskilling_Required</t>
  </si>
  <si>
    <t>Salary_Before_AI</t>
  </si>
  <si>
    <t>Salary_After_AI</t>
  </si>
  <si>
    <t>Job_Status</t>
  </si>
  <si>
    <t>Work_Hours_Per_Week</t>
  </si>
  <si>
    <t>Remote_Work</t>
  </si>
  <si>
    <t>Job_Satisfaction</t>
  </si>
  <si>
    <t>Productivity_Change_%</t>
  </si>
  <si>
    <t>E0001</t>
  </si>
  <si>
    <t>Female</t>
  </si>
  <si>
    <t>Bachelor</t>
  </si>
  <si>
    <t>Marketing</t>
  </si>
  <si>
    <t>Content Creator</t>
  </si>
  <si>
    <t>High</t>
  </si>
  <si>
    <t>Yes</t>
  </si>
  <si>
    <t>Replaced</t>
  </si>
  <si>
    <t>No</t>
  </si>
  <si>
    <t>E0002</t>
  </si>
  <si>
    <t>Male</t>
  </si>
  <si>
    <t>High School</t>
  </si>
  <si>
    <t>Manufacturing</t>
  </si>
  <si>
    <t>Quality Inspector</t>
  </si>
  <si>
    <t>Low</t>
  </si>
  <si>
    <t>Unchanged</t>
  </si>
  <si>
    <t>E0003</t>
  </si>
  <si>
    <t>Master</t>
  </si>
  <si>
    <t>IT</t>
  </si>
  <si>
    <t>DevOps Engineer</t>
  </si>
  <si>
    <t>Medium</t>
  </si>
  <si>
    <t>Modified</t>
  </si>
  <si>
    <t>E0004</t>
  </si>
  <si>
    <t>PhD</t>
  </si>
  <si>
    <t>Education</t>
  </si>
  <si>
    <t>Teacher</t>
  </si>
  <si>
    <t>E0005</t>
  </si>
  <si>
    <t>Healthcare</t>
  </si>
  <si>
    <t>Doctor</t>
  </si>
  <si>
    <t>E0006</t>
  </si>
  <si>
    <t>Technician</t>
  </si>
  <si>
    <t>E0007</t>
  </si>
  <si>
    <t>Administrator</t>
  </si>
  <si>
    <t>E0008</t>
  </si>
  <si>
    <t>Finance</t>
  </si>
  <si>
    <t>Auditor</t>
  </si>
  <si>
    <t>E0009</t>
  </si>
  <si>
    <t>Other</t>
  </si>
  <si>
    <t>Professor</t>
  </si>
  <si>
    <t>E0010</t>
  </si>
  <si>
    <t>Nurse</t>
  </si>
  <si>
    <t>E0011</t>
  </si>
  <si>
    <t>Retail</t>
  </si>
  <si>
    <t>Store Manager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</si>
  <si>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</si>
  <si>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</si>
  <si>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</si>
  <si>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</si>
  <si>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</si>
  <si>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</si>
  <si>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</si>
  <si>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</si>
  <si>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</si>
  <si>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</si>
  <si>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</si>
  <si>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</si>
  <si>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</si>
  <si>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</si>
  <si>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Accountant</t>
  </si>
  <si>
    <t>E0026</t>
  </si>
  <si>
    <t>Sales Associate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</si>
  <si>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</si>
  <si>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</si>
  <si>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</si>
  <si>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</si>
  <si>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</si>
  <si>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</si>
  <si>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</si>
  <si>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</si>
  <si>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</si>
  <si>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</si>
  <si>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Digital Marketer</t>
  </si>
  <si>
    <t>E0037</t>
  </si>
  <si>
    <t>E0038</t>
  </si>
  <si>
    <t>E0039</t>
  </si>
  <si>
    <t>E0040</t>
  </si>
  <si>
    <t>Cashier</t>
  </si>
  <si>
    <t>E0041</t>
  </si>
  <si>
    <t>E0042</t>
  </si>
  <si>
    <t>E0043</t>
  </si>
  <si>
    <t>E0044</t>
  </si>
  <si>
    <t>Data Analyst</t>
  </si>
  <si>
    <t>E0045</t>
  </si>
  <si>
    <t>E0046</t>
  </si>
  <si>
    <t>E0047</t>
  </si>
  <si>
    <t>Supervisor</t>
  </si>
  <si>
    <t>E0048</t>
  </si>
  <si>
    <t>Machine Operator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</si>
  <si>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</si>
  <si>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</si>
  <si>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</si>
  <si>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</si>
  <si>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</si>
  <si>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</si>
  <si>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</si>
  <si>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</si>
  <si>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</si>
  <si>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</si>
  <si>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</si>
  <si>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</si>
  <si>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</si>
  <si>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SEO Specialist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</si>
  <si>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</si>
  <si>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</si>
  <si>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</si>
  <si>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</si>
  <si>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</si>
  <si>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</si>
  <si>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</si>
  <si>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</si>
  <si>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</si>
  <si>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</si>
  <si>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</si>
  <si>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Investment Analyst</t>
  </si>
  <si>
    <t>E0073</t>
  </si>
  <si>
    <t>Software Engineer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</si>
  <si>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</si>
  <si>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</si>
  <si>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</si>
  <si>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</si>
  <si>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</si>
  <si>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</si>
  <si>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</si>
  <si>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</si>
  <si>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</si>
  <si>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</si>
  <si>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</si>
  <si>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</si>
  <si>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</si>
  <si>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</si>
  <si>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</si>
  <si>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</si>
  <si>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</si>
  <si>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</si>
  <si>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</si>
  <si>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</si>
  <si>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</si>
  <si>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</si>
  <si>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</si>
  <si>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</si>
  <si>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</si>
  <si>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</si>
  <si>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</si>
  <si>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</si>
  <si>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</si>
  <si>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</si>
  <si>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</si>
  <si>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</si>
  <si>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</si>
  <si>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</si>
  <si>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</si>
  <si>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</si>
  <si>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</si>
  <si>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</si>
  <si>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</si>
  <si>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</si>
  <si>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</si>
  <si>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</si>
  <si>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</si>
  <si>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</si>
  <si>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</si>
  <si>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</si>
  <si>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</si>
  <si>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</si>
  <si>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</si>
  <si>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</si>
  <si>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</si>
  <si>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</si>
  <si>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</si>
  <si>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</si>
  <si>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</si>
  <si>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</si>
  <si>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</si>
  <si>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</si>
  <si>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</si>
  <si>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</si>
  <si>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</si>
  <si>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</si>
  <si>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</si>
  <si>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</si>
  <si>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</si>
  <si>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</si>
  <si>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</si>
  <si>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</si>
  <si>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</si>
  <si>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</si>
  <si>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</si>
  <si>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</si>
  <si>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</si>
  <si>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</si>
  <si>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</si>
  <si>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</si>
  <si>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</si>
  <si>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</si>
  <si>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</si>
  <si>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</si>
  <si>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</si>
  <si>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</si>
  <si>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</si>
  <si>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</si>
  <si>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</si>
  <si>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</si>
  <si>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</si>
  <si>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</si>
  <si>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</si>
  <si>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</si>
  <si>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</si>
  <si>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</si>
  <si>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</si>
  <si>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</si>
  <si>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</si>
  <si>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</si>
  <si>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</si>
  <si>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</si>
  <si>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</si>
  <si>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</si>
  <si>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</si>
  <si>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</si>
  <si>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</si>
  <si>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</si>
  <si>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</si>
  <si>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</si>
  <si>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</si>
  <si>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</si>
  <si>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</si>
  <si>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</si>
  <si>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</si>
  <si>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</si>
  <si>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</si>
  <si>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</si>
  <si>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</si>
  <si>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</si>
  <si>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</si>
  <si>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</si>
  <si>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</si>
  <si>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</si>
  <si>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</si>
  <si>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</si>
  <si>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</si>
  <si>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</si>
  <si>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</si>
  <si>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</si>
  <si>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</si>
  <si>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</si>
  <si>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</si>
  <si>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</si>
  <si>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</si>
  <si>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</si>
  <si>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</si>
  <si>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</si>
  <si>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</si>
  <si>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</si>
  <si>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</si>
  <si>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</si>
  <si>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</si>
  <si>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</si>
  <si>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</si>
  <si>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</si>
  <si>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</si>
  <si>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</si>
  <si>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</si>
  <si>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</si>
  <si>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</si>
  <si>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</si>
  <si>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</si>
  <si>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</si>
  <si>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</si>
  <si>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</si>
  <si>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</si>
  <si>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</si>
  <si>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</si>
  <si>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</si>
  <si>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</si>
  <si>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</si>
  <si>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</si>
  <si>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</si>
  <si>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</si>
  <si>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</si>
  <si>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</si>
  <si>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</si>
  <si>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</si>
  <si>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</si>
  <si>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</si>
  <si>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</si>
  <si>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</si>
  <si>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</si>
  <si>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</si>
  <si>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</si>
  <si>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</si>
  <si>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</si>
  <si>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</si>
  <si>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</si>
  <si>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</si>
  <si>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</si>
  <si>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</si>
  <si>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</si>
  <si>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</si>
  <si>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</si>
  <si>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</si>
  <si>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</si>
  <si>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</si>
  <si>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</si>
  <si>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</si>
  <si>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</si>
  <si>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</si>
  <si>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</si>
  <si>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</si>
  <si>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</si>
  <si>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</si>
  <si>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</si>
  <si>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</si>
  <si>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</si>
  <si>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</si>
  <si>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</si>
  <si>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</si>
  <si>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</si>
  <si>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</si>
  <si>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</si>
  <si>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</si>
  <si>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</si>
  <si>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</si>
  <si>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</si>
  <si>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</si>
  <si>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</si>
  <si>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</si>
  <si>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</si>
  <si>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</si>
  <si>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</si>
  <si>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</si>
  <si>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</si>
  <si>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</si>
  <si>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</si>
  <si>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</si>
  <si>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</si>
  <si>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</si>
  <si>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</si>
  <si>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</si>
  <si>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</si>
  <si>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</si>
  <si>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</si>
  <si>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</si>
  <si>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</si>
  <si>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</si>
  <si>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</si>
  <si>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</si>
  <si>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</si>
  <si>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</si>
  <si>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</si>
  <si>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</si>
  <si>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</si>
  <si>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</si>
  <si>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</si>
  <si>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</si>
  <si>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</si>
  <si>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</si>
  <si>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</si>
  <si>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</si>
  <si>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</si>
  <si>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</si>
  <si>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</si>
  <si>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</si>
  <si>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</si>
  <si>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</si>
  <si>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</si>
  <si>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</si>
  <si>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</si>
  <si>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</si>
  <si>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</si>
  <si>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</si>
  <si>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</si>
  <si>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</si>
  <si>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</si>
  <si>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</si>
  <si>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</si>
  <si>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</si>
  <si>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</si>
  <si>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</si>
  <si>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</si>
  <si>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</si>
  <si>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</si>
  <si>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</si>
  <si>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</si>
  <si>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</si>
  <si>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</si>
  <si>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</si>
  <si>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</si>
  <si>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</si>
  <si>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</si>
  <si>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</si>
  <si>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</si>
  <si>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</si>
  <si>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</si>
  <si>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</si>
  <si>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</si>
  <si>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</si>
  <si>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</si>
  <si>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</si>
  <si>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</si>
  <si>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</si>
  <si>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</si>
  <si>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</si>
  <si>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</si>
  <si>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</si>
  <si>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</si>
  <si>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</si>
  <si>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</si>
  <si>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</si>
  <si>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</si>
  <si>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</si>
  <si>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</si>
  <si>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</si>
  <si>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</si>
  <si>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</si>
  <si>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</si>
  <si>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</si>
  <si>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</si>
  <si>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</si>
  <si>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</si>
  <si>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</si>
  <si>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</si>
  <si>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</si>
  <si>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</si>
  <si>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</si>
  <si>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</si>
  <si>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</si>
  <si>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</si>
  <si>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</si>
  <si>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</si>
  <si>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</si>
  <si>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</si>
  <si>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</si>
  <si>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</si>
  <si>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</si>
  <si>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</si>
  <si>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</si>
  <si>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</si>
  <si>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</si>
  <si>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</si>
  <si>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</si>
  <si>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</si>
  <si>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</si>
  <si>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</si>
  <si>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</si>
  <si>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</si>
  <si>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</si>
  <si>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</si>
  <si>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</si>
  <si>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</si>
  <si>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</si>
  <si>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</si>
  <si>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</si>
  <si>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</si>
  <si>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</si>
  <si>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</si>
  <si>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</si>
  <si>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</si>
  <si>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</si>
  <si>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</si>
  <si>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</si>
  <si>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</si>
  <si>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</si>
  <si>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</si>
  <si>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</si>
  <si>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</si>
  <si>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</si>
  <si>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</si>
  <si>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</si>
  <si>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</si>
  <si>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</si>
  <si>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</si>
  <si>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</si>
  <si>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</si>
  <si>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</si>
  <si>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</si>
  <si>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</si>
  <si>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</si>
  <si>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</si>
  <si>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</si>
  <si>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</si>
  <si>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</si>
  <si>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</si>
  <si>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</si>
  <si>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</si>
  <si>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</si>
  <si>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</si>
  <si>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</si>
  <si>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</si>
  <si>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</si>
  <si>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</si>
  <si>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</si>
  <si>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</si>
  <si>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</si>
  <si>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</si>
  <si>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</si>
  <si>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</si>
  <si>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</si>
  <si>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</si>
  <si>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</si>
  <si>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</si>
  <si>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</si>
  <si>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</si>
  <si>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</si>
  <si>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</si>
  <si>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</si>
  <si>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</si>
  <si>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</si>
  <si>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</si>
  <si>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</si>
  <si>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</si>
  <si>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</si>
  <si>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</si>
  <si>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</si>
  <si>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</si>
  <si>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</si>
  <si>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</si>
  <si>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</si>
  <si>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</si>
  <si>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</si>
  <si>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</si>
  <si>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</si>
  <si>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</si>
  <si>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</si>
  <si>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</si>
  <si>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</si>
  <si>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</si>
  <si>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</si>
  <si>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</si>
  <si>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</si>
  <si>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</si>
  <si>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</si>
  <si>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</si>
  <si>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</si>
  <si>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</si>
  <si>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</si>
  <si>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</si>
  <si>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</si>
  <si>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</si>
  <si>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</si>
  <si>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</si>
  <si>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</si>
  <si>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</si>
  <si>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</si>
  <si>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</si>
  <si>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</si>
  <si>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</si>
  <si>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</si>
  <si>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</si>
  <si>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</si>
  <si>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</si>
  <si>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</si>
  <si>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</si>
  <si>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</si>
  <si>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</si>
  <si>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</si>
  <si>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</si>
  <si>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</si>
  <si>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</si>
  <si>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</si>
  <si>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</si>
  <si>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</si>
  <si>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</si>
  <si>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</si>
  <si>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</si>
  <si>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</si>
  <si>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</si>
  <si>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</si>
  <si>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</si>
  <si>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</si>
  <si>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</si>
  <si>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</si>
  <si>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</si>
  <si>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</si>
  <si>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</si>
  <si>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</si>
  <si>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</si>
  <si>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</si>
  <si>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</si>
  <si>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</si>
  <si>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</si>
  <si>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</si>
  <si>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</si>
  <si>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</si>
  <si>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</si>
  <si>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</si>
  <si>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</si>
  <si>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</si>
  <si>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</si>
  <si>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</si>
  <si>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</si>
  <si>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</si>
  <si>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</si>
  <si>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</si>
  <si>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</si>
  <si>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</si>
  <si>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</si>
  <si>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</si>
  <si>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</si>
  <si>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</si>
  <si>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</si>
  <si>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</si>
  <si>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</si>
  <si>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</si>
  <si>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</si>
  <si>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</si>
  <si>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</si>
  <si>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</si>
  <si>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</si>
  <si>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</si>
  <si>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</si>
  <si>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</si>
  <si>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</si>
  <si>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</si>
  <si>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</si>
  <si>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</si>
  <si>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</si>
  <si>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</si>
  <si>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</si>
  <si>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</si>
  <si>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</si>
  <si>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</si>
  <si>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</si>
  <si>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</si>
  <si>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</si>
  <si>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</si>
  <si>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</si>
  <si>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</si>
  <si>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</si>
  <si>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</si>
  <si>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</si>
  <si>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</si>
  <si>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</si>
  <si>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</si>
  <si>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</si>
  <si>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</si>
  <si>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</si>
  <si>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</si>
  <si>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</si>
  <si>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</si>
  <si>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</si>
  <si>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</si>
  <si>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</si>
  <si>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</si>
  <si>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</si>
  <si>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</si>
  <si>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</si>
  <si>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</si>
  <si>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</si>
  <si>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</si>
  <si>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</si>
  <si>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</si>
  <si>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</si>
  <si>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</si>
  <si>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</si>
  <si>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</si>
  <si>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</si>
  <si>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</si>
  <si>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</si>
  <si>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</si>
  <si>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</si>
  <si>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</si>
  <si>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</si>
  <si>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</si>
  <si>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</si>
  <si>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</si>
  <si>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</si>
  <si>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</si>
  <si>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</si>
  <si>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</si>
  <si>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</si>
  <si>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</si>
  <si>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</si>
  <si>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</si>
  <si>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</si>
  <si>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</si>
  <si>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</si>
  <si>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</si>
  <si>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</si>
  <si>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</si>
  <si>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</si>
  <si>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</si>
  <si>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</si>
  <si>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</si>
  <si>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</si>
  <si>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</si>
  <si>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</si>
  <si>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</si>
  <si>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</si>
  <si>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</si>
  <si>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</si>
  <si>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</si>
  <si>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</si>
  <si>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</si>
  <si>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</si>
  <si>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</si>
  <si>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</si>
  <si>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</si>
  <si>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</si>
  <si>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</si>
  <si>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</si>
  <si>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</si>
  <si>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</si>
  <si>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</si>
  <si>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</si>
  <si>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</si>
  <si>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</si>
  <si>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</si>
  <si>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</si>
  <si>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</si>
  <si>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</si>
  <si>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</si>
  <si>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</si>
  <si>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</si>
  <si>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</si>
  <si>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</si>
  <si>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</si>
  <si>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</si>
  <si>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</si>
  <si>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</si>
  <si>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</si>
  <si>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</si>
  <si>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</si>
  <si>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</si>
  <si>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</si>
  <si>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</si>
  <si>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</si>
  <si>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</si>
  <si>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</si>
  <si>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</si>
  <si>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</si>
  <si>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</si>
  <si>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</si>
  <si>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</si>
  <si>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</si>
  <si>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</si>
  <si>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</si>
  <si>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</si>
  <si>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</si>
  <si>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</si>
  <si>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</si>
  <si>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</si>
  <si>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</si>
  <si>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</si>
  <si>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</si>
  <si>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</si>
  <si>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</si>
  <si>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</si>
  <si>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</si>
  <si>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</si>
  <si>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</si>
  <si>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</si>
  <si>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</si>
  <si>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</si>
  <si>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</si>
  <si>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</si>
  <si>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</si>
  <si>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</si>
  <si>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</si>
  <si>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</si>
  <si>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</si>
  <si>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</si>
  <si>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</si>
  <si>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</si>
  <si>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</si>
  <si>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</si>
  <si>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</si>
  <si>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</si>
  <si>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</si>
  <si>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</si>
  <si>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</si>
  <si>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</si>
  <si>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</si>
  <si>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</si>
  <si>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</si>
  <si>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</si>
  <si>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</si>
  <si>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</si>
  <si>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</si>
  <si>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</si>
  <si>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</si>
  <si>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</si>
  <si>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</si>
  <si>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</si>
  <si>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</si>
  <si>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</si>
  <si>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</si>
  <si>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</si>
  <si>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</si>
  <si>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</si>
  <si>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</si>
  <si>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</si>
  <si>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</si>
  <si>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</si>
  <si>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</si>
  <si>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</si>
  <si>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</si>
  <si>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</si>
  <si>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</si>
  <si>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</si>
  <si>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</si>
  <si>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</si>
  <si>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</si>
  <si>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</si>
  <si>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</si>
  <si>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</si>
  <si>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</si>
  <si>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</si>
  <si>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</si>
  <si>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</si>
  <si>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</si>
  <si>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</si>
  <si>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</si>
  <si>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</si>
  <si>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</si>
  <si>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</si>
  <si>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</si>
  <si>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</si>
  <si>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</si>
  <si>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</si>
  <si>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</si>
  <si>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</si>
  <si>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</si>
  <si>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</si>
  <si>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</si>
  <si>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</si>
  <si>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</si>
  <si>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</si>
  <si>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</si>
  <si>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</si>
  <si>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</si>
  <si>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</si>
  <si>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</si>
  <si>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</si>
  <si>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</si>
  <si>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</si>
  <si>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</si>
  <si>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</si>
  <si>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</si>
  <si>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</si>
  <si>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</si>
  <si>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</si>
  <si>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</si>
  <si>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</si>
  <si>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</si>
  <si>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</si>
  <si>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</si>
  <si>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</si>
  <si>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</si>
  <si>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</si>
  <si>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</si>
  <si>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</si>
  <si>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</si>
  <si>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</si>
  <si>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</si>
  <si>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</si>
  <si>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</si>
  <si>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</si>
  <si>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</si>
  <si>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</si>
  <si>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</si>
  <si>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</si>
  <si>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</si>
  <si>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</si>
  <si>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</si>
  <si>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</si>
  <si>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</si>
  <si>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</si>
  <si>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</si>
  <si>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</si>
  <si>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</si>
  <si>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</si>
  <si>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</si>
  <si>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</si>
  <si>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</si>
  <si>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</si>
  <si>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</si>
  <si>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</si>
  <si>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</si>
  <si>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</si>
  <si>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</si>
  <si>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</si>
  <si>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</si>
  <si>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</si>
  <si>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</si>
  <si>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</si>
  <si>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</si>
  <si>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</si>
  <si>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</si>
  <si>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</si>
  <si>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</si>
  <si>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</si>
  <si>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</si>
  <si>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</si>
  <si>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</si>
  <si>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</si>
  <si>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</si>
  <si>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</si>
  <si>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</si>
  <si>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</si>
  <si>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</si>
  <si>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</si>
  <si>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</si>
  <si>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</si>
  <si>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</si>
  <si>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</si>
  <si>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</si>
  <si>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</si>
  <si>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</si>
  <si>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</si>
  <si>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</si>
  <si>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</si>
  <si>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</si>
  <si>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</si>
  <si>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</si>
  <si>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</si>
  <si>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</si>
  <si>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</si>
  <si>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</si>
  <si>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</si>
  <si>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</si>
  <si>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</si>
  <si>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</si>
  <si>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</si>
  <si>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</si>
  <si>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</si>
  <si>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</si>
  <si>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</si>
  <si>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</si>
  <si>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</si>
  <si>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</si>
  <si>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</si>
  <si>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</si>
  <si>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</si>
  <si>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</si>
  <si>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</si>
  <si>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</si>
  <si>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</si>
  <si>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</si>
  <si>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</si>
  <si>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</si>
  <si>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</si>
  <si>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</si>
  <si>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</si>
  <si>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</si>
  <si>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</si>
  <si>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</si>
  <si>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</si>
  <si>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</si>
  <si>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</si>
  <si>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</si>
  <si>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</si>
  <si>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</si>
  <si>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</si>
  <si>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</si>
  <si>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</si>
  <si>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</si>
  <si>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</si>
  <si>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</si>
  <si>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</si>
  <si>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</si>
  <si>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</si>
  <si>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</si>
  <si>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</si>
  <si>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</si>
  <si>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</si>
  <si>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</si>
  <si>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</si>
  <si>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</si>
  <si>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</si>
  <si>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</si>
  <si>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</si>
  <si>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</si>
  <si>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</si>
  <si>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</si>
  <si>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</si>
  <si>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</si>
  <si>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</si>
  <si>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</si>
  <si>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</si>
  <si>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</si>
  <si>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</si>
  <si>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</si>
  <si>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</si>
  <si>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</si>
  <si>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</si>
  <si>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</si>
  <si>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</si>
  <si>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</si>
  <si>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</si>
  <si>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</si>
  <si>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</si>
  <si>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</si>
  <si>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</si>
  <si>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</si>
  <si>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</si>
  <si>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</si>
  <si>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</si>
  <si>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</si>
  <si>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</si>
  <si>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</si>
  <si>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</si>
  <si>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</si>
  <si>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</si>
  <si>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</si>
  <si>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</si>
  <si>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</si>
  <si>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</si>
  <si>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</si>
  <si>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</si>
  <si>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</si>
  <si>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</si>
  <si>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</si>
  <si>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</si>
  <si>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</si>
  <si>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</si>
  <si>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</si>
  <si>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</si>
  <si>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</si>
  <si>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</si>
  <si>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</si>
  <si>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</si>
  <si>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</si>
  <si>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</si>
  <si>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</si>
  <si>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</si>
  <si>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</si>
  <si>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</si>
  <si>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</si>
  <si>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</si>
  <si>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</si>
  <si>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</si>
  <si>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</si>
  <si>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</si>
  <si>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</si>
  <si>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</si>
  <si>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</si>
  <si>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</si>
  <si>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</si>
  <si>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</si>
  <si>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</si>
  <si>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</si>
  <si>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</si>
  <si>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</si>
  <si>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</si>
  <si>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</si>
  <si>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</si>
  <si>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</si>
  <si>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</si>
  <si>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</si>
  <si>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</si>
  <si>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</si>
  <si>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</si>
  <si>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</si>
  <si>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</si>
  <si>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</si>
  <si>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</si>
  <si>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</si>
  <si>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</si>
  <si>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</si>
  <si>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</si>
  <si>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</si>
  <si>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</si>
  <si>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</si>
  <si>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</si>
  <si>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</si>
  <si>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</si>
  <si>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</si>
  <si>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</si>
  <si>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</si>
  <si>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</si>
  <si>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</si>
  <si>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</si>
  <si>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</si>
  <si>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</si>
  <si>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</si>
  <si>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</si>
  <si>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</si>
  <si>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</si>
  <si>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</si>
  <si>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</si>
  <si>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</si>
  <si>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</si>
  <si>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</si>
  <si>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</si>
  <si>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</si>
  <si>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</si>
  <si>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</si>
  <si>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</si>
  <si>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</si>
  <si>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</si>
  <si>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</si>
  <si>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</si>
  <si>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</si>
  <si>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</si>
  <si>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</si>
  <si>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</si>
  <si>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</si>
  <si>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</si>
  <si>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</si>
  <si>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</si>
  <si>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</si>
  <si>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</si>
  <si>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</si>
  <si>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</si>
  <si>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</si>
  <si>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</si>
  <si>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</si>
  <si>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</si>
  <si>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</si>
  <si>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</si>
  <si>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</si>
  <si>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</si>
  <si>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</si>
  <si>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</si>
  <si>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</si>
  <si>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</si>
  <si>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</si>
  <si>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</si>
  <si>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</si>
  <si>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</si>
  <si>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</si>
  <si>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</si>
  <si>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</si>
  <si>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</si>
  <si>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</si>
  <si>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</si>
  <si>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</si>
  <si>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</si>
  <si>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</si>
  <si>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</si>
  <si>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</si>
  <si>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</si>
  <si>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</si>
  <si>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</si>
  <si>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</si>
  <si>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</si>
  <si>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</si>
  <si>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</si>
  <si>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</si>
  <si>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</si>
  <si>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</si>
  <si>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</si>
  <si>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</si>
  <si>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</si>
  <si>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</si>
  <si>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</si>
  <si>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</si>
  <si>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</si>
  <si>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</si>
  <si>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</si>
  <si>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</si>
  <si>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</si>
  <si>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</si>
  <si>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</si>
  <si>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</si>
  <si>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</si>
  <si>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</si>
  <si>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</si>
  <si>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</si>
  <si>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</si>
  <si>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</si>
  <si>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</si>
  <si>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</si>
  <si>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</si>
  <si>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</si>
  <si>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</si>
  <si>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</si>
  <si>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</si>
  <si>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</si>
  <si>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</si>
  <si>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</si>
  <si>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</si>
  <si>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</si>
  <si>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</si>
  <si>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</si>
  <si>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</si>
  <si>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</si>
  <si>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</si>
  <si>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</si>
  <si>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</si>
  <si>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</si>
  <si>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</si>
  <si>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</si>
  <si>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</si>
  <si>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</si>
  <si>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</si>
  <si>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</si>
  <si>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</si>
  <si>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</si>
  <si>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</si>
  <si>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</si>
  <si>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</si>
  <si>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</si>
  <si>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</si>
  <si>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</si>
  <si>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</si>
  <si>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</si>
  <si>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</si>
  <si>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</si>
  <si>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</si>
  <si>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</si>
  <si>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</si>
  <si>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</si>
  <si>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</si>
  <si>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</si>
  <si>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</si>
  <si>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</si>
  <si>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</si>
  <si>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</si>
  <si>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</si>
  <si>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</si>
  <si>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</si>
  <si>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</si>
  <si>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</si>
  <si>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</si>
  <si>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</si>
  <si>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</si>
  <si>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</si>
  <si>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</si>
  <si>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</si>
  <si>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</si>
  <si>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</si>
  <si>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</si>
  <si>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</si>
  <si>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</si>
  <si>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</si>
  <si>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</si>
  <si>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</si>
  <si>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</si>
  <si>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</si>
  <si>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</si>
  <si>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</si>
  <si>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</si>
  <si>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</si>
  <si>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</si>
  <si>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</si>
  <si>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</si>
  <si>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</si>
  <si>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</si>
  <si>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</si>
  <si>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</si>
  <si>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</si>
  <si>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</si>
  <si>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</si>
  <si>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</si>
  <si>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</si>
  <si>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</si>
  <si>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</si>
  <si>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</si>
  <si>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</si>
  <si>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</si>
  <si>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</si>
  <si>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</si>
  <si>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</si>
  <si>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</si>
  <si>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</si>
  <si>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</si>
  <si>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</si>
  <si>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</si>
  <si>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</si>
  <si>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</si>
  <si>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</si>
  <si>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</si>
  <si>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</si>
  <si>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</si>
  <si>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</si>
  <si>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</si>
  <si>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</si>
  <si>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</si>
  <si>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</si>
  <si>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</si>
  <si>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</si>
  <si>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</si>
  <si>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</si>
  <si>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</si>
  <si>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</si>
  <si>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</si>
  <si>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</si>
  <si>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</si>
  <si>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</si>
  <si>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</si>
  <si>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</si>
  <si>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</si>
  <si>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</si>
  <si>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</si>
  <si>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</si>
  <si>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</si>
  <si>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</si>
  <si>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</si>
  <si>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</si>
  <si>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</si>
  <si>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</si>
  <si>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</si>
  <si>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</si>
  <si>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</si>
  <si>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</si>
  <si>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</si>
  <si>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</si>
  <si>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</si>
  <si>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</si>
  <si>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</si>
  <si>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</si>
  <si>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</si>
  <si>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</si>
  <si>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</si>
  <si>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</si>
  <si>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</si>
  <si>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</si>
  <si>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</si>
  <si>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</si>
  <si>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</si>
  <si>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</si>
  <si>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</si>
  <si>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</si>
  <si>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</si>
  <si>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</si>
  <si>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</si>
  <si>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</si>
  <si>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</si>
  <si>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</si>
  <si>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</si>
  <si>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</si>
  <si>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</si>
  <si>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</si>
  <si>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</si>
  <si>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</si>
  <si>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</si>
  <si>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</si>
  <si>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</si>
  <si>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</si>
  <si>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</si>
  <si>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</si>
  <si>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</si>
  <si>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</si>
  <si>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</si>
  <si>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</si>
  <si>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</si>
  <si>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</si>
  <si>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</si>
  <si>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</si>
  <si>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</si>
  <si>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</si>
  <si>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</si>
  <si>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</si>
  <si>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</si>
  <si>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</si>
  <si>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</si>
  <si>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</si>
  <si>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</si>
  <si>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</si>
  <si>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</si>
  <si>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</si>
  <si>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</si>
  <si>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</si>
  <si>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</si>
  <si>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</si>
  <si>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</si>
  <si>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</si>
  <si>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</si>
  <si>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</si>
  <si>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</si>
  <si>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</si>
  <si>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</si>
  <si>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</si>
  <si>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</si>
  <si>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</si>
  <si>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</si>
  <si>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</si>
  <si>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</si>
  <si>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</si>
  <si>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</si>
  <si>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</si>
  <si>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</si>
  <si>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</si>
  <si>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</si>
  <si>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</si>
  <si>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</si>
  <si>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</si>
  <si>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</si>
  <si>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</si>
  <si>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</si>
  <si>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</si>
  <si>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</si>
  <si>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</si>
  <si>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</si>
  <si>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</si>
  <si>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</si>
  <si>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</si>
  <si>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</si>
  <si>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</si>
  <si>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</si>
  <si>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</si>
  <si>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</si>
  <si>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</si>
  <si>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</si>
  <si>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</si>
  <si>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</si>
  <si>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</si>
  <si>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</si>
  <si>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</si>
  <si>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</si>
  <si>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</si>
  <si>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</si>
  <si>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</si>
  <si>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</si>
  <si>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</si>
  <si>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</si>
  <si>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</si>
  <si>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</si>
  <si>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</si>
  <si>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</si>
  <si>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</si>
  <si>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</si>
  <si>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</si>
  <si>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</si>
  <si>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</si>
  <si>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</si>
  <si>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</si>
  <si>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</si>
  <si>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</si>
  <si>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</si>
  <si>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</si>
  <si>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</si>
  <si>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</si>
  <si>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</si>
  <si>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</si>
  <si>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</si>
  <si>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</si>
  <si>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</si>
  <si>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</si>
  <si>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</si>
  <si>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</si>
  <si>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</si>
  <si>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</si>
  <si>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</si>
  <si>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</si>
  <si>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</si>
  <si>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</si>
  <si>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</si>
  <si>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</si>
  <si>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</si>
  <si>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</si>
  <si>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</si>
  <si>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</si>
  <si>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</si>
  <si>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</si>
  <si>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</si>
  <si>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</si>
  <si>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</si>
  <si>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</si>
  <si>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</si>
  <si>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</si>
  <si>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</si>
  <si>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</si>
  <si>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</si>
  <si>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</si>
  <si>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</si>
  <si>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</si>
  <si>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</si>
  <si>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</si>
  <si>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</si>
  <si>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</si>
  <si>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</si>
  <si>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</si>
  <si>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</si>
  <si>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</si>
  <si>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</si>
  <si>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</si>
  <si>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</si>
  <si>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</si>
  <si>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</si>
  <si>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</si>
  <si>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</si>
  <si>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</si>
  <si>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</si>
  <si>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</si>
  <si>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</si>
  <si>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</si>
  <si>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</si>
  <si>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</si>
  <si>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</si>
  <si>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</si>
  <si>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</si>
  <si>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</si>
  <si>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</si>
  <si>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</si>
  <si>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</si>
  <si>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</si>
  <si>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</si>
  <si>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</si>
  <si>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</si>
  <si>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</si>
  <si>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</si>
  <si>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</si>
  <si>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</si>
  <si>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</si>
  <si>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</si>
  <si>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</si>
  <si>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</si>
  <si>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</si>
  <si>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</si>
  <si>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</si>
  <si>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</si>
  <si>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</si>
  <si>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</si>
  <si>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</si>
  <si>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</si>
  <si>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</si>
  <si>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</si>
  <si>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</si>
  <si>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</si>
  <si>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</si>
  <si>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</si>
  <si>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</si>
  <si>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</si>
  <si>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</si>
  <si>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</si>
  <si>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</si>
  <si>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</si>
  <si>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</si>
  <si>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</si>
  <si>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</si>
  <si>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</si>
  <si>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</si>
  <si>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</si>
  <si>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</si>
  <si>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</si>
  <si>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</si>
  <si>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</si>
  <si>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</si>
  <si>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</si>
  <si>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</si>
  <si>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</si>
  <si>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</si>
  <si>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</si>
  <si>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</si>
  <si>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</si>
  <si>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</si>
  <si>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</si>
  <si>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</si>
  <si>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</si>
  <si>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</si>
  <si>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</si>
  <si>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</si>
  <si>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</si>
  <si>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</si>
  <si>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</si>
  <si>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</si>
  <si>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</si>
  <si>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</si>
  <si>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</si>
  <si>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</si>
  <si>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</si>
  <si>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</si>
  <si>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</si>
  <si>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</si>
  <si>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</si>
  <si>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</si>
  <si>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</si>
  <si>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</si>
  <si>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</si>
  <si>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</si>
  <si>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</si>
  <si>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</si>
  <si>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</si>
  <si>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</si>
  <si>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</si>
  <si>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</si>
  <si>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</si>
  <si>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</si>
  <si>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</si>
  <si>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</si>
  <si>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</si>
  <si>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</si>
  <si>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</si>
  <si>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</si>
  <si>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</si>
  <si>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</si>
  <si>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</si>
  <si>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</si>
  <si>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</si>
  <si>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</si>
  <si>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</si>
  <si>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</si>
  <si>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</si>
  <si>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</si>
  <si>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</si>
  <si>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</si>
  <si>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</si>
  <si>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</si>
  <si>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</si>
  <si>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</si>
  <si>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</si>
  <si>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</si>
  <si>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</si>
  <si>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</si>
  <si>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</si>
  <si>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</si>
  <si>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</si>
  <si>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</si>
  <si>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</si>
  <si>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</si>
  <si>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</si>
  <si>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</si>
  <si>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</si>
  <si>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</si>
  <si>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</si>
  <si>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</si>
  <si>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</si>
  <si>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</si>
  <si>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</si>
  <si>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</si>
  <si>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</si>
  <si>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</si>
  <si>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</si>
  <si>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</si>
  <si>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</si>
  <si>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</si>
  <si>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</si>
  <si>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</si>
  <si>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</si>
  <si>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</si>
  <si>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</si>
  <si>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</si>
  <si>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</si>
  <si>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</si>
  <si>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</si>
  <si>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</si>
  <si>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</si>
  <si>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</si>
  <si>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</si>
  <si>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</si>
  <si>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</si>
  <si>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</si>
  <si>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</si>
  <si>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</si>
  <si>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</si>
  <si>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</si>
  <si>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</si>
  <si>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</si>
  <si>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</si>
  <si>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</si>
  <si>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</si>
  <si>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</si>
  <si>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</si>
  <si>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</si>
  <si>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</si>
  <si>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</si>
  <si>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</si>
  <si>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</si>
  <si>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</si>
  <si>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</si>
  <si>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</si>
  <si>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</si>
  <si>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</si>
  <si>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</si>
  <si>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</si>
  <si>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</si>
  <si>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</si>
  <si>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</si>
  <si>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</si>
  <si>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</si>
  <si>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</si>
  <si>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</si>
  <si>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</si>
  <si>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</si>
  <si>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</si>
  <si>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</si>
  <si>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</si>
  <si>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</si>
  <si>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</si>
  <si>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</si>
  <si>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</si>
  <si>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</si>
  <si>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</si>
  <si>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</si>
  <si>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</si>
  <si>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</si>
  <si>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</si>
  <si>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</si>
  <si>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</si>
  <si>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</si>
  <si>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</si>
  <si>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</si>
  <si>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</si>
  <si>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</si>
  <si>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</si>
  <si>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</si>
  <si>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</si>
  <si>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</si>
  <si>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</si>
  <si>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</si>
  <si>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</si>
  <si>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</si>
  <si>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</si>
  <si>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</si>
  <si>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</si>
  <si>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</si>
  <si>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</si>
  <si>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</si>
  <si>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</si>
  <si>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</si>
  <si>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</si>
  <si>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</si>
  <si>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</si>
  <si>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</si>
  <si>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</si>
  <si>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</si>
  <si>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</si>
  <si>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</si>
  <si>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</si>
  <si>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</si>
  <si>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</si>
  <si>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</si>
  <si>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</si>
  <si>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</si>
  <si>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</si>
  <si>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</si>
  <si>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</si>
  <si>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</si>
  <si>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</si>
  <si>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</si>
  <si>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</si>
  <si>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</si>
  <si>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</si>
  <si>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</si>
  <si>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</si>
  <si>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</si>
  <si>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</si>
  <si>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</si>
  <si>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</si>
  <si>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</si>
  <si>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</si>
  <si>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</si>
  <si>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</si>
  <si>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</si>
  <si>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</si>
  <si>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</si>
  <si>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</si>
  <si>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</si>
  <si>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</si>
  <si>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</si>
  <si>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</si>
  <si>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</si>
  <si>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</si>
  <si>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</si>
  <si>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</si>
  <si>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</si>
  <si>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</si>
  <si>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</si>
  <si>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</si>
  <si>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</si>
  <si>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</si>
  <si>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</si>
  <si>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</si>
  <si>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</si>
  <si>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</si>
  <si>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</si>
  <si>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</si>
  <si>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</si>
  <si>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</si>
  <si>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</si>
  <si>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</si>
  <si>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</si>
  <si>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</si>
  <si>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</si>
  <si>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</si>
  <si>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</si>
  <si>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</si>
  <si>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</si>
  <si>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</si>
  <si>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</si>
  <si>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</si>
  <si>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</si>
  <si>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</si>
  <si>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</si>
  <si>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</si>
  <si>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</si>
  <si>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</si>
  <si>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</si>
  <si>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</si>
  <si>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</si>
  <si>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</si>
  <si>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</si>
  <si>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</si>
  <si>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</si>
  <si>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</si>
  <si>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</si>
  <si>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</si>
  <si>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</si>
  <si>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</si>
  <si>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</si>
  <si>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</si>
  <si>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</si>
  <si>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</si>
  <si>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</si>
  <si>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</si>
  <si>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</si>
  <si>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</si>
  <si>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</si>
  <si>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</si>
  <si>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</si>
  <si>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</si>
  <si>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</si>
  <si>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</si>
  <si>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</si>
  <si>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</si>
  <si>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</si>
  <si>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</si>
  <si>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</si>
  <si>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</si>
  <si>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</si>
  <si>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</si>
  <si>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</si>
  <si>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</si>
  <si>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</si>
  <si>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</si>
  <si>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</si>
  <si>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</si>
  <si>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</si>
  <si>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</si>
  <si>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</si>
  <si>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</si>
  <si>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</si>
  <si>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</si>
  <si>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</si>
  <si>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</si>
  <si>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</si>
  <si>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</si>
  <si>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</si>
  <si>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</si>
  <si>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</si>
  <si>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</si>
  <si>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</si>
  <si>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</si>
  <si>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</si>
  <si>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</si>
  <si>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</si>
  <si>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</si>
  <si>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</si>
  <si>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</si>
  <si>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</si>
  <si>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</si>
  <si>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</si>
  <si>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</si>
  <si>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</si>
  <si>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</si>
  <si>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</si>
  <si>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</si>
  <si>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</si>
  <si>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</si>
  <si>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</si>
  <si>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</si>
  <si>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</si>
  <si>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</si>
  <si>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</si>
  <si>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</si>
  <si>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</si>
  <si>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</si>
  <si>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</si>
  <si>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</si>
  <si>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</si>
  <si>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</si>
  <si>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</si>
  <si>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</si>
  <si>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</si>
  <si>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</si>
  <si>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</si>
  <si>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</si>
  <si>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</si>
  <si>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</si>
  <si>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</si>
  <si>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</si>
  <si>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</si>
  <si>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</si>
  <si>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</si>
  <si>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</si>
  <si>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</si>
  <si>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</si>
  <si>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</si>
  <si>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</si>
  <si>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</si>
  <si>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</si>
  <si>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</si>
  <si>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</si>
  <si>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</si>
  <si>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</si>
  <si>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</si>
  <si>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</si>
  <si>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</si>
  <si>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</si>
  <si>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</si>
  <si>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</si>
  <si>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</si>
  <si>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</si>
  <si>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</si>
  <si>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</si>
  <si>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</si>
  <si>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</si>
  <si>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</si>
  <si>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</si>
  <si>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</si>
  <si>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</si>
  <si>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</si>
  <si>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</si>
  <si>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</si>
  <si>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</si>
  <si>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</si>
  <si>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</si>
  <si>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</si>
  <si>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</si>
  <si>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</si>
  <si>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</si>
  <si>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</si>
  <si>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</si>
  <si>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</si>
  <si>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</si>
  <si>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</si>
  <si>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</si>
  <si>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</si>
  <si>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</si>
  <si>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</si>
  <si>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</si>
  <si>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</si>
  <si>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</si>
  <si>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</si>
  <si>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</si>
  <si>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</si>
  <si>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</si>
  <si>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</si>
  <si>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</si>
  <si>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</si>
  <si>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</si>
  <si>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</si>
  <si>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</si>
  <si>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</si>
  <si>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</si>
  <si>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</si>
  <si>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</si>
  <si>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</si>
  <si>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</si>
  <si>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</si>
  <si>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</si>
  <si>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</si>
  <si>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</si>
  <si>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</si>
  <si>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</si>
  <si>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</si>
  <si>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</si>
  <si>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</si>
  <si>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</si>
  <si>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</si>
  <si>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</si>
  <si>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</si>
  <si>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</si>
  <si>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</si>
  <si>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</si>
  <si>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</si>
  <si>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</si>
  <si>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</si>
  <si>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</si>
  <si>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</si>
  <si>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</si>
  <si>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</si>
  <si>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</si>
  <si>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</si>
  <si>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</si>
  <si>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</si>
  <si>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</si>
  <si>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</si>
  <si>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</si>
  <si>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</si>
  <si>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</si>
  <si>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</si>
  <si>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</si>
  <si>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</si>
  <si>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</si>
  <si>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</si>
  <si>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</si>
  <si>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</si>
  <si>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</si>
  <si>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</si>
  <si>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</si>
  <si>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</si>
  <si>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</si>
  <si>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</si>
  <si>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</si>
  <si>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</si>
  <si>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</si>
  <si>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</si>
  <si>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</si>
  <si>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</si>
  <si>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</si>
  <si>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</si>
  <si>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</si>
  <si>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</si>
  <si>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</si>
  <si>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</si>
  <si>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</si>
  <si>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</si>
  <si>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</si>
  <si>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</si>
  <si>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</si>
  <si>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</si>
  <si>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</si>
  <si>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</si>
  <si>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</si>
  <si>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</si>
  <si>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</si>
  <si>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</si>
  <si>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</si>
  <si>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</si>
  <si>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</si>
  <si>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</si>
  <si>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</si>
  <si>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</si>
  <si>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</si>
  <si>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</si>
  <si>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</si>
  <si>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</si>
  <si>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</si>
  <si>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</si>
  <si>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</si>
  <si>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</si>
  <si>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</si>
  <si>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</si>
  <si>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</si>
  <si>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</si>
  <si>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</si>
  <si>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</si>
  <si>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</si>
  <si>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</si>
  <si>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</si>
  <si>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</si>
  <si>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</si>
  <si>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</si>
  <si>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</si>
  <si>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</si>
  <si>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</si>
  <si>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</si>
  <si>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</si>
  <si>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</si>
  <si>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</si>
  <si>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</si>
  <si>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Salary_change</t>
  </si>
  <si>
    <t>Salary_Change%</t>
  </si>
  <si>
    <t>Experience_Level</t>
  </si>
  <si>
    <t>AI_Impact_Category</t>
  </si>
  <si>
    <t>Row Labels</t>
  </si>
  <si>
    <t>Grand Total</t>
  </si>
  <si>
    <t>Average of Salary_After_AI</t>
  </si>
  <si>
    <t>Count of Employee_ID</t>
  </si>
  <si>
    <t>Column Labels</t>
  </si>
  <si>
    <t>Average of Productivity_Change_%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</si>
</sst>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4" formatCode="0.00%"/>
    </dxf>
    <dxf>
      <numFmt numFmtId="164" formatCode="&quot;₹&quot;\ #,##0"/>
    </dxf>
    <dxf>
      <numFmt numFmtId="14" formatCode="0.00%"/>
    </dxf>
    <dxf>
      <numFmt numFmtId="0" formatCode="General"/>
    </dxf>
    <dxf>
      <numFmt numFmtId="0" formatCode="General"/>
    </dxf>
    <dxf>
      <numFmt numFmtId="164" formatCode="&quot;₹&quot;\ #,##0"/>
    </dxf>
    <dxf>
      <numFmt numFmtId="164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u krishna" refreshedDate="46152.697879861109" createdVersion="8" refreshedVersion="8" minRefreshableVersion="3" recordCount="2000" xr:uid="{CEE30E9C-C0CB-4381-B114-9AFB599B67DA}">
  <cacheSource type="worksheet">
    <worksheetSource name="ai_job_impact"/>
  </cacheSource>
  <cacheFields count="21">
    <cacheField name="Employee_ID" numFmtId="0">
      <sharedItems/>
    </cacheField>
    <cacheField name="Age" numFmtId="0">
      <sharedItems containsSemiMixedTypes="0" containsString="0" containsNumber="1" containsInteger="1" minValue="22" maxValue="59"/>
    </cacheField>
    <cacheField name="Gender" numFmtId="0">
      <sharedItems/>
    </cacheField>
    <cacheField name="Education_Level" numFmtId="0">
      <sharedItems/>
    </cacheField>
    <cacheField name="Industry" numFmtId="0">
      <sharedItems count="7">
        <s v="IT"/>
        <s v="Manufacturing"/>
        <s v="Marketing"/>
        <s v="Finance"/>
        <s v="Retail"/>
        <s v="Education"/>
        <s v="Healthcare"/>
      </sharedItems>
    </cacheField>
    <cacheField name="Job_Role" numFmtId="0">
      <sharedItems/>
    </cacheField>
    <cacheField name="Years_Experience" numFmtId="0">
      <sharedItems containsSemiMixedTypes="0" containsString="0" containsNumber="1" containsInteger="1" minValue="0" maxValue="37"/>
    </cacheField>
    <cacheField name="AI_Adoption_Level" numFmtId="0">
      <sharedItems count="3">
        <s v="Low"/>
        <s v="Medium"/>
        <s v="High"/>
      </sharedItems>
    </cacheField>
    <cacheField name="Automation_Risk" numFmtId="0">
      <sharedItems/>
    </cacheField>
    <cacheField name="Upskilling_Required" numFmtId="0">
      <sharedItems/>
    </cacheField>
    <cacheField name="Salary_Before_AI" numFmtId="164">
      <sharedItems containsSemiMixedTypes="0" containsString="0" containsNumber="1" containsInteger="1" minValue="30036" maxValue="119976"/>
    </cacheField>
    <cacheField name="Salary_After_AI" numFmtId="164">
      <sharedItems containsSemiMixedTypes="0" containsString="0" containsNumber="1" containsInteger="1" minValue="24447" maxValue="161745"/>
    </cacheField>
    <cacheField name="Job_Status" numFmtId="0">
      <sharedItems count="3">
        <s v="Unchanged"/>
        <s v="Modified"/>
        <s v="Replaced"/>
      </sharedItems>
    </cacheField>
    <cacheField name="Work_Hours_Per_Week" numFmtId="0">
      <sharedItems containsSemiMixedTypes="0" containsString="0" containsNumber="1" containsInteger="1" minValue="35" maxValue="54"/>
    </cacheField>
    <cacheField name="Remote_Work" numFmtId="0">
      <sharedItems count="2">
        <s v="No"/>
        <s v="Yes"/>
      </sharedItems>
    </cacheField>
    <cacheField name="Job_Satisfaction" numFmtId="0">
      <sharedItems containsSemiMixedTypes="0" containsString="0" containsNumber="1" containsInteger="1" minValue="3" maxValue="9"/>
    </cacheField>
    <cacheField name="Productivity_Change_%" numFmtId="10">
      <sharedItems containsSemiMixedTypes="0" containsString="0" containsNumber="1" minValue="-19.989999999999998" maxValue="39.99"/>
    </cacheField>
    <cacheField name="Salary_change" numFmtId="164">
      <sharedItems containsSemiMixedTypes="0" containsString="0" containsNumber="1" containsInteger="1" minValue="-21292" maxValue="45789"/>
    </cacheField>
    <cacheField name="Salary_Change%" numFmtId="10">
      <sharedItems containsSemiMixedTypes="0" containsString="0" containsNumber="1" minValue="-19.989659406708459" maxValue="39.912247806195154"/>
    </cacheField>
    <cacheField name="Experience_Level" numFmtId="0">
      <sharedItems/>
    </cacheField>
    <cacheField name="AI_Impact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E1174"/>
    <n v="42"/>
    <s v="Other"/>
    <s v="High School"/>
    <x v="0"/>
    <s v="Software Engineer"/>
    <n v="20"/>
    <x v="0"/>
    <s v="High"/>
    <s v="Yes"/>
    <n v="67563"/>
    <n v="71761"/>
    <x v="0"/>
    <n v="39"/>
    <x v="0"/>
    <n v="3"/>
    <n v="39.99"/>
    <n v="4198"/>
    <n v="6.2134600298980214"/>
    <s v="Expert"/>
    <s v="Low Impact"/>
  </r>
  <r>
    <s v="E0636"/>
    <n v="23"/>
    <s v="Other"/>
    <s v="Master"/>
    <x v="1"/>
    <s v="Machine Operator"/>
    <n v="0"/>
    <x v="1"/>
    <s v="High"/>
    <s v="No"/>
    <n v="86830"/>
    <n v="93695"/>
    <x v="0"/>
    <n v="52"/>
    <x v="1"/>
    <n v="7"/>
    <n v="39.97"/>
    <n v="6865"/>
    <n v="7.9062535989865248"/>
    <s v="Beginner"/>
    <s v="Low Impact"/>
  </r>
  <r>
    <s v="E1993"/>
    <n v="31"/>
    <s v="Male"/>
    <s v="Bachelor"/>
    <x v="2"/>
    <s v="Content Creator"/>
    <n v="7"/>
    <x v="2"/>
    <s v="Low"/>
    <s v="No"/>
    <n v="36259"/>
    <n v="33695"/>
    <x v="0"/>
    <n v="49"/>
    <x v="1"/>
    <n v="6"/>
    <n v="39.909999999999997"/>
    <n v="-2564"/>
    <n v="-7.0713478033040067"/>
    <s v="Intermediate"/>
    <s v="Low Impact"/>
  </r>
  <r>
    <s v="E0982"/>
    <n v="37"/>
    <s v="Male"/>
    <s v="High School"/>
    <x v="3"/>
    <s v="Investment Analyst"/>
    <n v="12"/>
    <x v="2"/>
    <s v="High"/>
    <s v="Yes"/>
    <n v="100309"/>
    <n v="92456"/>
    <x v="1"/>
    <n v="43"/>
    <x v="1"/>
    <n v="3"/>
    <n v="39.9"/>
    <n v="-7853"/>
    <n v="-7.8288089802510248"/>
    <s v="Intermediate"/>
    <s v="Medium Impact"/>
  </r>
  <r>
    <s v="E1036"/>
    <n v="53"/>
    <s v="Male"/>
    <s v="PhD"/>
    <x v="1"/>
    <s v="Quality Inspector"/>
    <n v="29"/>
    <x v="0"/>
    <s v="Low"/>
    <s v="Yes"/>
    <n v="55345"/>
    <n v="54809"/>
    <x v="0"/>
    <n v="53"/>
    <x v="1"/>
    <n v="4"/>
    <n v="39.880000000000003"/>
    <n v="-536"/>
    <n v="-0.968470503207155"/>
    <s v="Expert"/>
    <s v="Low Impact"/>
  </r>
  <r>
    <s v="E0024"/>
    <n v="23"/>
    <s v="Female"/>
    <s v="PhD"/>
    <x v="4"/>
    <s v="Store Manager"/>
    <n v="0"/>
    <x v="2"/>
    <s v="High"/>
    <s v="No"/>
    <n v="53664"/>
    <n v="47699"/>
    <x v="1"/>
    <n v="51"/>
    <x v="1"/>
    <n v="4"/>
    <n v="39.86"/>
    <n v="-5965"/>
    <n v="-11.115459153249851"/>
    <s v="Beginner"/>
    <s v="Medium Impact"/>
  </r>
  <r>
    <s v="E1836"/>
    <n v="56"/>
    <s v="Female"/>
    <s v="Bachelor"/>
    <x v="5"/>
    <s v="Teacher"/>
    <n v="33"/>
    <x v="1"/>
    <s v="High"/>
    <s v="No"/>
    <n v="107605"/>
    <n v="113667"/>
    <x v="0"/>
    <n v="54"/>
    <x v="0"/>
    <n v="3"/>
    <n v="39.83"/>
    <n v="6062"/>
    <n v="5.6335672134194503"/>
    <s v="Expert"/>
    <s v="Low Impact"/>
  </r>
  <r>
    <s v="E0794"/>
    <n v="39"/>
    <s v="Male"/>
    <s v="High School"/>
    <x v="1"/>
    <s v="Quality Inspector"/>
    <n v="16"/>
    <x v="1"/>
    <s v="High"/>
    <s v="No"/>
    <n v="66444"/>
    <n v="78372"/>
    <x v="0"/>
    <n v="44"/>
    <x v="1"/>
    <n v="7"/>
    <n v="39.82"/>
    <n v="11928"/>
    <n v="17.951959544879902"/>
    <s v="Expert"/>
    <s v="Low Impact"/>
  </r>
  <r>
    <s v="E1569"/>
    <n v="55"/>
    <s v="Female"/>
    <s v="Master"/>
    <x v="6"/>
    <s v="Doctor"/>
    <n v="30"/>
    <x v="2"/>
    <s v="Medium"/>
    <s v="Yes"/>
    <n v="85031"/>
    <n v="73868"/>
    <x v="1"/>
    <n v="41"/>
    <x v="1"/>
    <n v="4"/>
    <n v="39.82"/>
    <n v="-11163"/>
    <n v="-13.128153261751596"/>
    <s v="Expert"/>
    <s v="Medium Impact"/>
  </r>
  <r>
    <s v="E0913"/>
    <n v="43"/>
    <s v="Male"/>
    <s v="High School"/>
    <x v="5"/>
    <s v="Professor"/>
    <n v="21"/>
    <x v="1"/>
    <s v="High"/>
    <s v="Yes"/>
    <n v="36997"/>
    <n v="42882"/>
    <x v="0"/>
    <n v="51"/>
    <x v="0"/>
    <n v="6"/>
    <n v="39.81"/>
    <n v="5885"/>
    <n v="15.906695137443577"/>
    <s v="Expert"/>
    <s v="Low Impact"/>
  </r>
  <r>
    <s v="E0305"/>
    <n v="28"/>
    <s v="Other"/>
    <s v="High School"/>
    <x v="6"/>
    <s v="Doctor"/>
    <n v="3"/>
    <x v="0"/>
    <s v="Low"/>
    <s v="No"/>
    <n v="71568"/>
    <n v="73458"/>
    <x v="0"/>
    <n v="51"/>
    <x v="0"/>
    <n v="7"/>
    <n v="39.799999999999997"/>
    <n v="1890"/>
    <n v="2.640845070422535"/>
    <s v="Beginner"/>
    <s v="Low Impact"/>
  </r>
  <r>
    <s v="E1340"/>
    <n v="37"/>
    <s v="Male"/>
    <s v="Bachelor"/>
    <x v="1"/>
    <s v="Quality Inspector"/>
    <n v="12"/>
    <x v="1"/>
    <s v="Low"/>
    <s v="Yes"/>
    <n v="34576"/>
    <n v="33994"/>
    <x v="0"/>
    <n v="39"/>
    <x v="1"/>
    <n v="8"/>
    <n v="39.799999999999997"/>
    <n v="-582"/>
    <n v="-1.6832484960666356"/>
    <s v="Intermediate"/>
    <s v="Low Impact"/>
  </r>
  <r>
    <s v="E0639"/>
    <n v="54"/>
    <s v="Female"/>
    <s v="Bachelor"/>
    <x v="5"/>
    <s v="Professor"/>
    <n v="32"/>
    <x v="2"/>
    <s v="Low"/>
    <s v="Yes"/>
    <n v="61027"/>
    <n v="82815"/>
    <x v="0"/>
    <n v="46"/>
    <x v="1"/>
    <n v="5"/>
    <n v="39.78"/>
    <n v="21788"/>
    <n v="35.702230160420797"/>
    <s v="Expert"/>
    <s v="Low Impact"/>
  </r>
  <r>
    <s v="E0235"/>
    <n v="39"/>
    <s v="Male"/>
    <s v="PhD"/>
    <x v="2"/>
    <s v="SEO Specialist"/>
    <n v="16"/>
    <x v="0"/>
    <s v="Low"/>
    <s v="No"/>
    <n v="46082"/>
    <n v="45357"/>
    <x v="0"/>
    <n v="43"/>
    <x v="1"/>
    <n v="5"/>
    <n v="39.78"/>
    <n v="-725"/>
    <n v="-1.5732824096176383"/>
    <s v="Expert"/>
    <s v="Low Impact"/>
  </r>
  <r>
    <s v="E1235"/>
    <n v="27"/>
    <s v="Female"/>
    <s v="High School"/>
    <x v="1"/>
    <s v="Quality Inspector"/>
    <n v="2"/>
    <x v="2"/>
    <s v="High"/>
    <s v="Yes"/>
    <n v="88420"/>
    <n v="123694"/>
    <x v="2"/>
    <n v="54"/>
    <x v="1"/>
    <n v="9"/>
    <n v="39.770000000000003"/>
    <n v="35274"/>
    <n v="39.89368921058584"/>
    <s v="Beginner"/>
    <s v="High Impact"/>
  </r>
  <r>
    <s v="E0601"/>
    <n v="49"/>
    <s v="Female"/>
    <s v="High School"/>
    <x v="4"/>
    <s v="Store Manager"/>
    <n v="23"/>
    <x v="2"/>
    <s v="Medium"/>
    <s v="Yes"/>
    <n v="98798"/>
    <n v="91583"/>
    <x v="1"/>
    <n v="46"/>
    <x v="0"/>
    <n v="4"/>
    <n v="39.74"/>
    <n v="-7215"/>
    <n v="-7.3027794084900508"/>
    <s v="Expert"/>
    <s v="Medium Impact"/>
  </r>
  <r>
    <s v="E1307"/>
    <n v="47"/>
    <s v="Female"/>
    <s v="Bachelor"/>
    <x v="0"/>
    <s v="Data Analyst"/>
    <n v="25"/>
    <x v="0"/>
    <s v="Low"/>
    <s v="Yes"/>
    <n v="118263"/>
    <n v="127196"/>
    <x v="0"/>
    <n v="52"/>
    <x v="0"/>
    <n v="8"/>
    <n v="39.729999999999997"/>
    <n v="8933"/>
    <n v="7.5535036317360458"/>
    <s v="Expert"/>
    <s v="Low Impact"/>
  </r>
  <r>
    <s v="E0286"/>
    <n v="24"/>
    <s v="Female"/>
    <s v="High School"/>
    <x v="5"/>
    <s v="Administrator"/>
    <n v="1"/>
    <x v="1"/>
    <s v="Low"/>
    <s v="No"/>
    <n v="49201"/>
    <n v="49638"/>
    <x v="0"/>
    <n v="54"/>
    <x v="0"/>
    <n v="8"/>
    <n v="39.729999999999997"/>
    <n v="437"/>
    <n v="0.88819332940387397"/>
    <s v="Beginner"/>
    <s v="Low Impact"/>
  </r>
  <r>
    <s v="E0195"/>
    <n v="44"/>
    <s v="Other"/>
    <s v="Bachelor"/>
    <x v="2"/>
    <s v="Digital Marketer"/>
    <n v="22"/>
    <x v="1"/>
    <s v="High"/>
    <s v="No"/>
    <n v="76600"/>
    <n v="90259"/>
    <x v="0"/>
    <n v="44"/>
    <x v="0"/>
    <n v="5"/>
    <n v="39.69"/>
    <n v="13659"/>
    <n v="17.831592689295039"/>
    <s v="Expert"/>
    <s v="Low Impact"/>
  </r>
  <r>
    <s v="E0424"/>
    <n v="58"/>
    <s v="Male"/>
    <s v="Bachelor"/>
    <x v="1"/>
    <s v="Supervisor"/>
    <n v="34"/>
    <x v="0"/>
    <s v="Low"/>
    <s v="No"/>
    <n v="57734"/>
    <n v="58693"/>
    <x v="0"/>
    <n v="43"/>
    <x v="0"/>
    <n v="3"/>
    <n v="39.69"/>
    <n v="959"/>
    <n v="1.6610662694426162"/>
    <s v="Expert"/>
    <s v="Low Impact"/>
  </r>
  <r>
    <s v="E1266"/>
    <n v="38"/>
    <s v="Other"/>
    <s v="PhD"/>
    <x v="5"/>
    <s v="Professor"/>
    <n v="12"/>
    <x v="2"/>
    <s v="Medium"/>
    <s v="Yes"/>
    <n v="85355"/>
    <n v="107390"/>
    <x v="1"/>
    <n v="35"/>
    <x v="1"/>
    <n v="8"/>
    <n v="39.56"/>
    <n v="22035"/>
    <n v="25.815710854665809"/>
    <s v="Intermediate"/>
    <s v="Medium Impact"/>
  </r>
  <r>
    <s v="E0497"/>
    <n v="48"/>
    <s v="Male"/>
    <s v="High School"/>
    <x v="6"/>
    <s v="Nurse"/>
    <n v="25"/>
    <x v="1"/>
    <s v="Medium"/>
    <s v="Yes"/>
    <n v="49149"/>
    <n v="53405"/>
    <x v="1"/>
    <n v="54"/>
    <x v="0"/>
    <n v="7"/>
    <n v="39.549999999999997"/>
    <n v="4256"/>
    <n v="8.6593826934423905"/>
    <s v="Expert"/>
    <s v="Medium Impact"/>
  </r>
  <r>
    <s v="E1829"/>
    <n v="47"/>
    <s v="Other"/>
    <s v="High School"/>
    <x v="0"/>
    <s v="DevOps Engineer"/>
    <n v="22"/>
    <x v="0"/>
    <s v="Low"/>
    <s v="Yes"/>
    <n v="73815"/>
    <n v="76757"/>
    <x v="0"/>
    <n v="38"/>
    <x v="1"/>
    <n v="5"/>
    <n v="39.53"/>
    <n v="2942"/>
    <n v="3.9856397751134596"/>
    <s v="Expert"/>
    <s v="Low Impact"/>
  </r>
  <r>
    <s v="E1537"/>
    <n v="39"/>
    <s v="Male"/>
    <s v="PhD"/>
    <x v="1"/>
    <s v="Supervisor"/>
    <n v="13"/>
    <x v="1"/>
    <s v="High"/>
    <s v="Yes"/>
    <n v="63298"/>
    <n v="66691"/>
    <x v="0"/>
    <n v="44"/>
    <x v="1"/>
    <n v="7"/>
    <n v="39.53"/>
    <n v="3393"/>
    <n v="5.3603589370912186"/>
    <s v="Intermediate"/>
    <s v="Low Impact"/>
  </r>
  <r>
    <s v="E1376"/>
    <n v="40"/>
    <s v="Other"/>
    <s v="PhD"/>
    <x v="1"/>
    <s v="Quality Inspector"/>
    <n v="14"/>
    <x v="2"/>
    <s v="Low"/>
    <s v="No"/>
    <n v="60846"/>
    <n v="50288"/>
    <x v="0"/>
    <n v="50"/>
    <x v="0"/>
    <n v="3"/>
    <n v="39.53"/>
    <n v="-10558"/>
    <n v="-17.352003418466293"/>
    <s v="Intermediate"/>
    <s v="Low Impact"/>
  </r>
  <r>
    <s v="E0623"/>
    <n v="34"/>
    <s v="Other"/>
    <s v="Bachelor"/>
    <x v="2"/>
    <s v="Digital Marketer"/>
    <n v="12"/>
    <x v="2"/>
    <s v="Medium"/>
    <s v="No"/>
    <n v="63455"/>
    <n v="71598"/>
    <x v="1"/>
    <n v="51"/>
    <x v="0"/>
    <n v="9"/>
    <n v="39.51"/>
    <n v="8143"/>
    <n v="12.832716098022221"/>
    <s v="Intermediate"/>
    <s v="Medium Impact"/>
  </r>
  <r>
    <s v="E1423"/>
    <n v="40"/>
    <s v="Female"/>
    <s v="High School"/>
    <x v="6"/>
    <s v="Technician"/>
    <n v="14"/>
    <x v="1"/>
    <s v="High"/>
    <s v="No"/>
    <n v="89252"/>
    <n v="89442"/>
    <x v="0"/>
    <n v="41"/>
    <x v="1"/>
    <n v="3"/>
    <n v="39.46"/>
    <n v="190"/>
    <n v="0.21288038363285977"/>
    <s v="Intermediate"/>
    <s v="Low Impact"/>
  </r>
  <r>
    <s v="E1839"/>
    <n v="27"/>
    <s v="Male"/>
    <s v="Bachelor"/>
    <x v="6"/>
    <s v="Nurse"/>
    <n v="2"/>
    <x v="1"/>
    <s v="Low"/>
    <s v="No"/>
    <n v="83790"/>
    <n v="85713"/>
    <x v="0"/>
    <n v="43"/>
    <x v="0"/>
    <n v="4"/>
    <n v="39.450000000000003"/>
    <n v="1923"/>
    <n v="2.2950232724668815"/>
    <s v="Beginner"/>
    <s v="Low Impact"/>
  </r>
  <r>
    <s v="E0934"/>
    <n v="45"/>
    <s v="Other"/>
    <s v="PhD"/>
    <x v="3"/>
    <s v="Auditor"/>
    <n v="19"/>
    <x v="0"/>
    <s v="Medium"/>
    <s v="Yes"/>
    <n v="81012"/>
    <n v="83221"/>
    <x v="1"/>
    <n v="46"/>
    <x v="0"/>
    <n v="4"/>
    <n v="39.42"/>
    <n v="2209"/>
    <n v="2.7267565298968055"/>
    <s v="Expert"/>
    <s v="Medium Impact"/>
  </r>
  <r>
    <s v="E1759"/>
    <n v="53"/>
    <s v="Male"/>
    <s v="High School"/>
    <x v="0"/>
    <s v="Software Engineer"/>
    <n v="27"/>
    <x v="2"/>
    <s v="Low"/>
    <s v="Yes"/>
    <n v="72407"/>
    <n v="58382"/>
    <x v="0"/>
    <n v="50"/>
    <x v="1"/>
    <n v="9"/>
    <n v="39.42"/>
    <n v="-14025"/>
    <n v="-19.369674202770451"/>
    <s v="Expert"/>
    <s v="Low Impact"/>
  </r>
  <r>
    <s v="E0701"/>
    <n v="32"/>
    <s v="Female"/>
    <s v="Master"/>
    <x v="2"/>
    <s v="Content Creator"/>
    <n v="6"/>
    <x v="1"/>
    <s v="Low"/>
    <s v="No"/>
    <n v="56553"/>
    <n v="51490"/>
    <x v="0"/>
    <n v="47"/>
    <x v="1"/>
    <n v="4"/>
    <n v="39.39"/>
    <n v="-5063"/>
    <n v="-8.9526638728272605"/>
    <s v="Intermediate"/>
    <s v="Low Impact"/>
  </r>
  <r>
    <s v="E1179"/>
    <n v="59"/>
    <s v="Female"/>
    <s v="Master"/>
    <x v="3"/>
    <s v="Investment Analyst"/>
    <n v="36"/>
    <x v="1"/>
    <s v="Low"/>
    <s v="No"/>
    <n v="63892"/>
    <n v="66193"/>
    <x v="0"/>
    <n v="44"/>
    <x v="0"/>
    <n v="9"/>
    <n v="39.36"/>
    <n v="2301"/>
    <n v="3.6013898453640518"/>
    <s v="Expert"/>
    <s v="Low Impact"/>
  </r>
  <r>
    <s v="E1994"/>
    <n v="34"/>
    <s v="Other"/>
    <s v="Bachelor"/>
    <x v="5"/>
    <s v="Professor"/>
    <n v="11"/>
    <x v="1"/>
    <s v="Medium"/>
    <s v="No"/>
    <n v="95907"/>
    <n v="98030"/>
    <x v="1"/>
    <n v="40"/>
    <x v="0"/>
    <n v="7"/>
    <n v="39.28"/>
    <n v="2123"/>
    <n v="2.21360276100806"/>
    <s v="Intermediate"/>
    <s v="Medium Impact"/>
  </r>
  <r>
    <s v="E1012"/>
    <n v="24"/>
    <s v="Other"/>
    <s v="High School"/>
    <x v="4"/>
    <s v="Cashier"/>
    <n v="0"/>
    <x v="0"/>
    <s v="Medium"/>
    <s v="No"/>
    <n v="74722"/>
    <n v="72852"/>
    <x v="1"/>
    <n v="43"/>
    <x v="0"/>
    <n v="4"/>
    <n v="39.17"/>
    <n v="-1870"/>
    <n v="-2.5026096731886192"/>
    <s v="Beginner"/>
    <s v="Medium Impact"/>
  </r>
  <r>
    <s v="E0899"/>
    <n v="44"/>
    <s v="Female"/>
    <s v="PhD"/>
    <x v="0"/>
    <s v="DevOps Engineer"/>
    <n v="20"/>
    <x v="2"/>
    <s v="High"/>
    <s v="Yes"/>
    <n v="86463"/>
    <n v="86905"/>
    <x v="2"/>
    <n v="42"/>
    <x v="1"/>
    <n v="9"/>
    <n v="39.15"/>
    <n v="442"/>
    <n v="0.51120132310930688"/>
    <s v="Expert"/>
    <s v="High Impact"/>
  </r>
  <r>
    <s v="E1695"/>
    <n v="56"/>
    <s v="Other"/>
    <s v="Bachelor"/>
    <x v="0"/>
    <s v="DevOps Engineer"/>
    <n v="33"/>
    <x v="2"/>
    <s v="Medium"/>
    <s v="Yes"/>
    <n v="50011"/>
    <n v="57268"/>
    <x v="1"/>
    <n v="53"/>
    <x v="1"/>
    <n v="4"/>
    <n v="39.119999999999997"/>
    <n v="7257"/>
    <n v="14.510807622323089"/>
    <s v="Expert"/>
    <s v="Medium Impact"/>
  </r>
  <r>
    <s v="E1571"/>
    <n v="37"/>
    <s v="Other"/>
    <s v="Master"/>
    <x v="0"/>
    <s v="Software Engineer"/>
    <n v="15"/>
    <x v="1"/>
    <s v="Medium"/>
    <s v="No"/>
    <n v="30908"/>
    <n v="33696"/>
    <x v="1"/>
    <n v="42"/>
    <x v="0"/>
    <n v="7"/>
    <n v="39.08"/>
    <n v="2788"/>
    <n v="9.0203183641775588"/>
    <s v="Expert"/>
    <s v="Medium Impact"/>
  </r>
  <r>
    <s v="E0992"/>
    <n v="25"/>
    <s v="Other"/>
    <s v="High School"/>
    <x v="4"/>
    <s v="Cashier"/>
    <n v="1"/>
    <x v="2"/>
    <s v="High"/>
    <s v="No"/>
    <n v="52340"/>
    <n v="54605"/>
    <x v="2"/>
    <n v="52"/>
    <x v="1"/>
    <n v="4"/>
    <n v="39.049999999999997"/>
    <n v="2265"/>
    <n v="4.3274742071073753"/>
    <s v="Beginner"/>
    <s v="High Impact"/>
  </r>
  <r>
    <s v="E0919"/>
    <n v="26"/>
    <s v="Female"/>
    <s v="PhD"/>
    <x v="1"/>
    <s v="Supervisor"/>
    <n v="3"/>
    <x v="2"/>
    <s v="Low"/>
    <s v="Yes"/>
    <n v="109369"/>
    <n v="134064"/>
    <x v="0"/>
    <n v="53"/>
    <x v="0"/>
    <n v="7"/>
    <n v="39.020000000000003"/>
    <n v="24695"/>
    <n v="22.579524362479315"/>
    <s v="Beginner"/>
    <s v="Low Impact"/>
  </r>
  <r>
    <s v="E1297"/>
    <n v="56"/>
    <s v="Male"/>
    <s v="High School"/>
    <x v="5"/>
    <s v="Administrator"/>
    <n v="32"/>
    <x v="0"/>
    <s v="Low"/>
    <s v="No"/>
    <n v="44318"/>
    <n v="44034"/>
    <x v="0"/>
    <n v="54"/>
    <x v="1"/>
    <n v="7"/>
    <n v="39.020000000000003"/>
    <n v="-284"/>
    <n v="-0.64082314183853062"/>
    <s v="Expert"/>
    <s v="Low Impact"/>
  </r>
  <r>
    <s v="E1671"/>
    <n v="45"/>
    <s v="Other"/>
    <s v="PhD"/>
    <x v="0"/>
    <s v="Data Analyst"/>
    <n v="19"/>
    <x v="2"/>
    <s v="High"/>
    <s v="Yes"/>
    <n v="115366"/>
    <n v="99517"/>
    <x v="2"/>
    <n v="51"/>
    <x v="1"/>
    <n v="7"/>
    <n v="38.96"/>
    <n v="-15849"/>
    <n v="-13.738016399979196"/>
    <s v="Expert"/>
    <s v="High Impact"/>
  </r>
  <r>
    <s v="E1021"/>
    <n v="40"/>
    <s v="Female"/>
    <s v="Bachelor"/>
    <x v="0"/>
    <s v="Data Analyst"/>
    <n v="14"/>
    <x v="1"/>
    <s v="Medium"/>
    <s v="No"/>
    <n v="77058"/>
    <n v="75575"/>
    <x v="1"/>
    <n v="41"/>
    <x v="1"/>
    <n v="4"/>
    <n v="38.94"/>
    <n v="-1483"/>
    <n v="-1.9245243842300606"/>
    <s v="Intermediate"/>
    <s v="Medium Impact"/>
  </r>
  <r>
    <s v="E1399"/>
    <n v="39"/>
    <s v="Female"/>
    <s v="Master"/>
    <x v="1"/>
    <s v="Machine Operator"/>
    <n v="16"/>
    <x v="0"/>
    <s v="Low"/>
    <s v="No"/>
    <n v="32970"/>
    <n v="36133"/>
    <x v="0"/>
    <n v="52"/>
    <x v="1"/>
    <n v="4"/>
    <n v="38.78"/>
    <n v="3163"/>
    <n v="9.5935699120412501"/>
    <s v="Expert"/>
    <s v="Low Impact"/>
  </r>
  <r>
    <s v="E1986"/>
    <n v="58"/>
    <s v="Female"/>
    <s v="PhD"/>
    <x v="6"/>
    <s v="Doctor"/>
    <n v="33"/>
    <x v="1"/>
    <s v="Low"/>
    <s v="No"/>
    <n v="86955"/>
    <n v="94625"/>
    <x v="0"/>
    <n v="52"/>
    <x v="1"/>
    <n v="3"/>
    <n v="38.770000000000003"/>
    <n v="7670"/>
    <n v="8.8206543614513251"/>
    <s v="Expert"/>
    <s v="Low Impact"/>
  </r>
  <r>
    <s v="E1786"/>
    <n v="51"/>
    <s v="Other"/>
    <s v="High School"/>
    <x v="4"/>
    <s v="Store Manager"/>
    <n v="26"/>
    <x v="2"/>
    <s v="High"/>
    <s v="Yes"/>
    <n v="48394"/>
    <n v="51268"/>
    <x v="1"/>
    <n v="39"/>
    <x v="0"/>
    <n v="3"/>
    <n v="38.76"/>
    <n v="2874"/>
    <n v="5.9387527379427203"/>
    <s v="Expert"/>
    <s v="Medium Impact"/>
  </r>
  <r>
    <s v="E1269"/>
    <n v="22"/>
    <s v="Female"/>
    <s v="PhD"/>
    <x v="3"/>
    <s v="Investment Analyst"/>
    <n v="0"/>
    <x v="1"/>
    <s v="High"/>
    <s v="Yes"/>
    <n v="95792"/>
    <n v="90831"/>
    <x v="0"/>
    <n v="51"/>
    <x v="1"/>
    <n v="5"/>
    <n v="38.700000000000003"/>
    <n v="-4961"/>
    <n v="-5.1789293469183226"/>
    <s v="Beginner"/>
    <s v="Low Impact"/>
  </r>
  <r>
    <s v="E0774"/>
    <n v="45"/>
    <s v="Other"/>
    <s v="High School"/>
    <x v="5"/>
    <s v="Teacher"/>
    <n v="23"/>
    <x v="2"/>
    <s v="Medium"/>
    <s v="No"/>
    <n v="75760"/>
    <n v="79230"/>
    <x v="1"/>
    <n v="53"/>
    <x v="0"/>
    <n v="4"/>
    <n v="38.69"/>
    <n v="3470"/>
    <n v="4.5802534318901795"/>
    <s v="Expert"/>
    <s v="Medium Impact"/>
  </r>
  <r>
    <s v="E1563"/>
    <n v="49"/>
    <s v="Female"/>
    <s v="Master"/>
    <x v="5"/>
    <s v="Teacher"/>
    <n v="24"/>
    <x v="1"/>
    <s v="High"/>
    <s v="No"/>
    <n v="89316"/>
    <n v="84815"/>
    <x v="0"/>
    <n v="47"/>
    <x v="0"/>
    <n v="6"/>
    <n v="38.659999999999997"/>
    <n v="-4501"/>
    <n v="-5.0394106319136549"/>
    <s v="Expert"/>
    <s v="Low Impact"/>
  </r>
  <r>
    <s v="E0702"/>
    <n v="30"/>
    <s v="Female"/>
    <s v="Master"/>
    <x v="0"/>
    <s v="Data Analyst"/>
    <n v="7"/>
    <x v="1"/>
    <s v="Low"/>
    <s v="Yes"/>
    <n v="76686"/>
    <n v="91756"/>
    <x v="0"/>
    <n v="37"/>
    <x v="0"/>
    <n v="3"/>
    <n v="38.64"/>
    <n v="15070"/>
    <n v="19.651566126802805"/>
    <s v="Intermediate"/>
    <s v="Low Impact"/>
  </r>
  <r>
    <s v="E1869"/>
    <n v="42"/>
    <s v="Other"/>
    <s v="Master"/>
    <x v="6"/>
    <s v="Doctor"/>
    <n v="20"/>
    <x v="1"/>
    <s v="High"/>
    <s v="No"/>
    <n v="90263"/>
    <n v="106542"/>
    <x v="0"/>
    <n v="47"/>
    <x v="0"/>
    <n v="3"/>
    <n v="38.61"/>
    <n v="16279"/>
    <n v="18.035075280015068"/>
    <s v="Expert"/>
    <s v="Low Impact"/>
  </r>
  <r>
    <s v="E0950"/>
    <n v="34"/>
    <s v="Male"/>
    <s v="Bachelor"/>
    <x v="6"/>
    <s v="Technician"/>
    <n v="10"/>
    <x v="0"/>
    <s v="Medium"/>
    <s v="No"/>
    <n v="58948"/>
    <n v="59457"/>
    <x v="1"/>
    <n v="37"/>
    <x v="1"/>
    <n v="5"/>
    <n v="38.590000000000003"/>
    <n v="509"/>
    <n v="0.86347289136187821"/>
    <s v="Intermediate"/>
    <s v="Medium Impact"/>
  </r>
  <r>
    <s v="E0611"/>
    <n v="37"/>
    <s v="Male"/>
    <s v="High School"/>
    <x v="0"/>
    <s v="DevOps Engineer"/>
    <n v="13"/>
    <x v="1"/>
    <s v="Medium"/>
    <s v="Yes"/>
    <n v="114486"/>
    <n v="120264"/>
    <x v="1"/>
    <n v="50"/>
    <x v="1"/>
    <n v="5"/>
    <n v="38.57"/>
    <n v="5778"/>
    <n v="5.0469052984644405"/>
    <s v="Intermediate"/>
    <s v="Medium Impact"/>
  </r>
  <r>
    <s v="E0698"/>
    <n v="40"/>
    <s v="Female"/>
    <s v="High School"/>
    <x v="1"/>
    <s v="Quality Inspector"/>
    <n v="17"/>
    <x v="1"/>
    <s v="High"/>
    <s v="Yes"/>
    <n v="94140"/>
    <n v="91688"/>
    <x v="0"/>
    <n v="38"/>
    <x v="0"/>
    <n v="8"/>
    <n v="38.56"/>
    <n v="-2452"/>
    <n v="-2.6046314000424902"/>
    <s v="Expert"/>
    <s v="Low Impact"/>
  </r>
  <r>
    <s v="E1732"/>
    <n v="23"/>
    <s v="Male"/>
    <s v="Master"/>
    <x v="5"/>
    <s v="Professor"/>
    <n v="0"/>
    <x v="2"/>
    <s v="Low"/>
    <s v="Yes"/>
    <n v="32673"/>
    <n v="27444"/>
    <x v="0"/>
    <n v="36"/>
    <x v="0"/>
    <n v="9"/>
    <n v="38.56"/>
    <n v="-5229"/>
    <n v="-16.004040033054817"/>
    <s v="Beginner"/>
    <s v="Low Impact"/>
  </r>
  <r>
    <s v="E1807"/>
    <n v="42"/>
    <s v="Male"/>
    <s v="PhD"/>
    <x v="1"/>
    <s v="Supervisor"/>
    <n v="18"/>
    <x v="0"/>
    <s v="Low"/>
    <s v="No"/>
    <n v="114335"/>
    <n v="110855"/>
    <x v="0"/>
    <n v="46"/>
    <x v="1"/>
    <n v="9"/>
    <n v="38.54"/>
    <n v="-3480"/>
    <n v="-3.0436874098045217"/>
    <s v="Expert"/>
    <s v="Low Impact"/>
  </r>
  <r>
    <s v="E0297"/>
    <n v="48"/>
    <s v="Other"/>
    <s v="Bachelor"/>
    <x v="3"/>
    <s v="Accountant"/>
    <n v="25"/>
    <x v="2"/>
    <s v="High"/>
    <s v="No"/>
    <n v="82130"/>
    <n v="82759"/>
    <x v="1"/>
    <n v="44"/>
    <x v="1"/>
    <n v="3"/>
    <n v="38.54"/>
    <n v="629"/>
    <n v="0.76585900401802021"/>
    <s v="Expert"/>
    <s v="Medium Impact"/>
  </r>
  <r>
    <s v="E0466"/>
    <n v="45"/>
    <s v="Male"/>
    <s v="Bachelor"/>
    <x v="1"/>
    <s v="Supervisor"/>
    <n v="20"/>
    <x v="2"/>
    <s v="High"/>
    <s v="Yes"/>
    <n v="77377"/>
    <n v="96122"/>
    <x v="1"/>
    <n v="46"/>
    <x v="0"/>
    <n v="7"/>
    <n v="38.479999999999997"/>
    <n v="18745"/>
    <n v="24.225545058609146"/>
    <s v="Expert"/>
    <s v="Medium Impact"/>
  </r>
  <r>
    <s v="E0969"/>
    <n v="32"/>
    <s v="Male"/>
    <s v="Bachelor"/>
    <x v="1"/>
    <s v="Supervisor"/>
    <n v="8"/>
    <x v="0"/>
    <s v="Low"/>
    <s v="No"/>
    <n v="106768"/>
    <n v="114824"/>
    <x v="0"/>
    <n v="48"/>
    <x v="0"/>
    <n v="4"/>
    <n v="38.47"/>
    <n v="8056"/>
    <n v="7.5453319346620713"/>
    <s v="Intermediate"/>
    <s v="Low Impact"/>
  </r>
  <r>
    <s v="E0474"/>
    <n v="33"/>
    <s v="Female"/>
    <s v="Master"/>
    <x v="1"/>
    <s v="Machine Operator"/>
    <n v="9"/>
    <x v="1"/>
    <s v="Low"/>
    <s v="No"/>
    <n v="85668"/>
    <n v="93715"/>
    <x v="0"/>
    <n v="49"/>
    <x v="1"/>
    <n v="5"/>
    <n v="38.450000000000003"/>
    <n v="8047"/>
    <n v="9.3932390157351637"/>
    <s v="Intermediate"/>
    <s v="Low Impact"/>
  </r>
  <r>
    <s v="E1755"/>
    <n v="38"/>
    <s v="Other"/>
    <s v="High School"/>
    <x v="2"/>
    <s v="Digital Marketer"/>
    <n v="16"/>
    <x v="2"/>
    <s v="High"/>
    <s v="Yes"/>
    <n v="85779"/>
    <n v="77276"/>
    <x v="1"/>
    <n v="36"/>
    <x v="0"/>
    <n v="7"/>
    <n v="38.33"/>
    <n v="-8503"/>
    <n v="-9.9126825913102277"/>
    <s v="Expert"/>
    <s v="Medium Impact"/>
  </r>
  <r>
    <s v="E0015"/>
    <n v="43"/>
    <s v="Other"/>
    <s v="Master"/>
    <x v="5"/>
    <s v="Professor"/>
    <n v="19"/>
    <x v="1"/>
    <s v="High"/>
    <s v="Yes"/>
    <n v="100592"/>
    <n v="102088"/>
    <x v="0"/>
    <n v="37"/>
    <x v="0"/>
    <n v="3"/>
    <n v="38.299999999999997"/>
    <n v="1496"/>
    <n v="1.4871958008589152"/>
    <s v="Expert"/>
    <s v="Low Impact"/>
  </r>
  <r>
    <s v="E0082"/>
    <n v="54"/>
    <s v="Other"/>
    <s v="PhD"/>
    <x v="2"/>
    <s v="Content Creator"/>
    <n v="28"/>
    <x v="2"/>
    <s v="Low"/>
    <s v="Yes"/>
    <n v="97641"/>
    <n v="78824"/>
    <x v="0"/>
    <n v="49"/>
    <x v="0"/>
    <n v="7"/>
    <n v="38.19"/>
    <n v="-18817"/>
    <n v="-19.271617455781893"/>
    <s v="Expert"/>
    <s v="Low Impact"/>
  </r>
  <r>
    <s v="E1190"/>
    <n v="59"/>
    <s v="Male"/>
    <s v="High School"/>
    <x v="1"/>
    <s v="Quality Inspector"/>
    <n v="35"/>
    <x v="1"/>
    <s v="Low"/>
    <s v="Yes"/>
    <n v="55738"/>
    <n v="52829"/>
    <x v="0"/>
    <n v="52"/>
    <x v="0"/>
    <n v="3"/>
    <n v="38.08"/>
    <n v="-2909"/>
    <n v="-5.2190606049732677"/>
    <s v="Expert"/>
    <s v="Low Impact"/>
  </r>
  <r>
    <s v="E1138"/>
    <n v="40"/>
    <s v="Other"/>
    <s v="Master"/>
    <x v="6"/>
    <s v="Doctor"/>
    <n v="15"/>
    <x v="2"/>
    <s v="Medium"/>
    <s v="Yes"/>
    <n v="47733"/>
    <n v="61240"/>
    <x v="1"/>
    <n v="41"/>
    <x v="1"/>
    <n v="3"/>
    <n v="38.04"/>
    <n v="13507"/>
    <n v="28.296985314143253"/>
    <s v="Expert"/>
    <s v="Medium Impact"/>
  </r>
  <r>
    <s v="E0938"/>
    <n v="53"/>
    <s v="Male"/>
    <s v="High School"/>
    <x v="2"/>
    <s v="SEO Specialist"/>
    <n v="28"/>
    <x v="0"/>
    <s v="Low"/>
    <s v="Yes"/>
    <n v="94341"/>
    <n v="95928"/>
    <x v="0"/>
    <n v="52"/>
    <x v="1"/>
    <n v="5"/>
    <n v="38.020000000000003"/>
    <n v="1587"/>
    <n v="1.6821954399465766"/>
    <s v="Expert"/>
    <s v="Low Impact"/>
  </r>
  <r>
    <s v="E1883"/>
    <n v="42"/>
    <s v="Female"/>
    <s v="PhD"/>
    <x v="5"/>
    <s v="Professor"/>
    <n v="18"/>
    <x v="0"/>
    <s v="Medium"/>
    <s v="Yes"/>
    <n v="36641"/>
    <n v="37593"/>
    <x v="1"/>
    <n v="49"/>
    <x v="1"/>
    <n v="9"/>
    <n v="37.979999999999997"/>
    <n v="952"/>
    <n v="2.5981823640184492"/>
    <s v="Expert"/>
    <s v="Medium Impact"/>
  </r>
  <r>
    <s v="E1655"/>
    <n v="38"/>
    <s v="Female"/>
    <s v="Master"/>
    <x v="5"/>
    <s v="Administrator"/>
    <n v="13"/>
    <x v="1"/>
    <s v="High"/>
    <s v="No"/>
    <n v="80665"/>
    <n v="84471"/>
    <x v="0"/>
    <n v="47"/>
    <x v="1"/>
    <n v="6"/>
    <n v="37.97"/>
    <n v="3806"/>
    <n v="4.7182793032913901"/>
    <s v="Intermediate"/>
    <s v="Low Impact"/>
  </r>
  <r>
    <s v="E1686"/>
    <n v="32"/>
    <s v="Male"/>
    <s v="PhD"/>
    <x v="3"/>
    <s v="Accountant"/>
    <n v="8"/>
    <x v="2"/>
    <s v="Medium"/>
    <s v="No"/>
    <n v="61740"/>
    <n v="67994"/>
    <x v="1"/>
    <n v="46"/>
    <x v="0"/>
    <n v="3"/>
    <n v="37.950000000000003"/>
    <n v="6254"/>
    <n v="10.129575639779722"/>
    <s v="Intermediate"/>
    <s v="Medium Impact"/>
  </r>
  <r>
    <s v="E1187"/>
    <n v="43"/>
    <s v="Male"/>
    <s v="PhD"/>
    <x v="5"/>
    <s v="Professor"/>
    <n v="18"/>
    <x v="0"/>
    <s v="Low"/>
    <s v="Yes"/>
    <n v="30801"/>
    <n v="33766"/>
    <x v="0"/>
    <n v="40"/>
    <x v="1"/>
    <n v="4"/>
    <n v="37.950000000000003"/>
    <n v="2965"/>
    <n v="9.6263108340638297"/>
    <s v="Expert"/>
    <s v="Low Impact"/>
  </r>
  <r>
    <s v="E0252"/>
    <n v="33"/>
    <s v="Male"/>
    <s v="Bachelor"/>
    <x v="5"/>
    <s v="Professor"/>
    <n v="10"/>
    <x v="2"/>
    <s v="Low"/>
    <s v="No"/>
    <n v="71235"/>
    <n v="99157"/>
    <x v="0"/>
    <n v="45"/>
    <x v="1"/>
    <n v="8"/>
    <n v="37.909999999999997"/>
    <n v="27922"/>
    <n v="39.197023934863481"/>
    <s v="Intermediate"/>
    <s v="Low Impact"/>
  </r>
  <r>
    <s v="E0217"/>
    <n v="43"/>
    <s v="Other"/>
    <s v="High School"/>
    <x v="0"/>
    <s v="DevOps Engineer"/>
    <n v="19"/>
    <x v="2"/>
    <s v="High"/>
    <s v="Yes"/>
    <n v="52042"/>
    <n v="68738"/>
    <x v="2"/>
    <n v="49"/>
    <x v="1"/>
    <n v="7"/>
    <n v="37.79"/>
    <n v="16696"/>
    <n v="32.081780100687908"/>
    <s v="Expert"/>
    <s v="High Impact"/>
  </r>
  <r>
    <s v="E0300"/>
    <n v="55"/>
    <s v="Female"/>
    <s v="Master"/>
    <x v="0"/>
    <s v="Data Analyst"/>
    <n v="29"/>
    <x v="1"/>
    <s v="High"/>
    <s v="No"/>
    <n v="47347"/>
    <n v="44532"/>
    <x v="0"/>
    <n v="46"/>
    <x v="0"/>
    <n v="6"/>
    <n v="37.79"/>
    <n v="-2815"/>
    <n v="-5.9454664498278662"/>
    <s v="Expert"/>
    <s v="Low Impact"/>
  </r>
  <r>
    <s v="E1955"/>
    <n v="48"/>
    <s v="Other"/>
    <s v="Bachelor"/>
    <x v="1"/>
    <s v="Supervisor"/>
    <n v="22"/>
    <x v="1"/>
    <s v="Low"/>
    <s v="No"/>
    <n v="112172"/>
    <n v="111634"/>
    <x v="0"/>
    <n v="48"/>
    <x v="1"/>
    <n v="8"/>
    <n v="37.770000000000003"/>
    <n v="-538"/>
    <n v="-0.47962058267660379"/>
    <s v="Expert"/>
    <s v="Low Impact"/>
  </r>
  <r>
    <s v="E1419"/>
    <n v="57"/>
    <s v="Other"/>
    <s v="Master"/>
    <x v="3"/>
    <s v="Accountant"/>
    <n v="33"/>
    <x v="2"/>
    <s v="Low"/>
    <s v="Yes"/>
    <n v="64157"/>
    <n v="81477"/>
    <x v="0"/>
    <n v="36"/>
    <x v="0"/>
    <n v="3"/>
    <n v="37.770000000000003"/>
    <n v="17320"/>
    <n v="26.996274763470861"/>
    <s v="Expert"/>
    <s v="Low Impact"/>
  </r>
  <r>
    <s v="E1511"/>
    <n v="49"/>
    <s v="Female"/>
    <s v="Bachelor"/>
    <x v="4"/>
    <s v="Sales Associate"/>
    <n v="26"/>
    <x v="0"/>
    <s v="Low"/>
    <s v="No"/>
    <n v="45701"/>
    <n v="47568"/>
    <x v="0"/>
    <n v="46"/>
    <x v="0"/>
    <n v="6"/>
    <n v="37.770000000000003"/>
    <n v="1867"/>
    <n v="4.0852497757160675"/>
    <s v="Expert"/>
    <s v="Low Impact"/>
  </r>
  <r>
    <s v="E1243"/>
    <n v="54"/>
    <s v="Female"/>
    <s v="PhD"/>
    <x v="6"/>
    <s v="Technician"/>
    <n v="29"/>
    <x v="2"/>
    <s v="Medium"/>
    <s v="Yes"/>
    <n v="117122"/>
    <n v="101003"/>
    <x v="1"/>
    <n v="36"/>
    <x v="0"/>
    <n v="9"/>
    <n v="37.74"/>
    <n v="-16119"/>
    <n v="-13.762572360444663"/>
    <s v="Expert"/>
    <s v="Medium Impact"/>
  </r>
  <r>
    <s v="E1031"/>
    <n v="24"/>
    <s v="Female"/>
    <s v="Master"/>
    <x v="2"/>
    <s v="Content Creator"/>
    <n v="1"/>
    <x v="0"/>
    <s v="High"/>
    <s v="No"/>
    <n v="100246"/>
    <n v="99841"/>
    <x v="0"/>
    <n v="37"/>
    <x v="0"/>
    <n v="5"/>
    <n v="37.729999999999997"/>
    <n v="-405"/>
    <n v="-0.40400614488358638"/>
    <s v="Beginner"/>
    <s v="Low Impact"/>
  </r>
  <r>
    <s v="E1188"/>
    <n v="23"/>
    <s v="Other"/>
    <s v="Master"/>
    <x v="5"/>
    <s v="Professor"/>
    <n v="0"/>
    <x v="1"/>
    <s v="Low"/>
    <s v="No"/>
    <n v="55705"/>
    <n v="52213"/>
    <x v="0"/>
    <n v="42"/>
    <x v="1"/>
    <n v="4"/>
    <n v="37.729999999999997"/>
    <n v="-3492"/>
    <n v="-6.2687370972085086"/>
    <s v="Beginner"/>
    <s v="Low Impact"/>
  </r>
  <r>
    <s v="E0858"/>
    <n v="47"/>
    <s v="Other"/>
    <s v="Master"/>
    <x v="3"/>
    <s v="Auditor"/>
    <n v="25"/>
    <x v="2"/>
    <s v="High"/>
    <s v="Yes"/>
    <n v="72137"/>
    <n v="72517"/>
    <x v="1"/>
    <n v="52"/>
    <x v="0"/>
    <n v="7"/>
    <n v="37.69"/>
    <n v="380"/>
    <n v="0.52677544117443198"/>
    <s v="Expert"/>
    <s v="Medium Impact"/>
  </r>
  <r>
    <s v="E0644"/>
    <n v="56"/>
    <s v="Male"/>
    <s v="Bachelor"/>
    <x v="6"/>
    <s v="Doctor"/>
    <n v="32"/>
    <x v="1"/>
    <s v="Low"/>
    <s v="No"/>
    <n v="53383"/>
    <n v="48526"/>
    <x v="0"/>
    <n v="42"/>
    <x v="1"/>
    <n v="5"/>
    <n v="37.69"/>
    <n v="-4857"/>
    <n v="-9.0984021130322397"/>
    <s v="Expert"/>
    <s v="Low Impact"/>
  </r>
  <r>
    <s v="E1593"/>
    <n v="35"/>
    <s v="Female"/>
    <s v="PhD"/>
    <x v="0"/>
    <s v="DevOps Engineer"/>
    <n v="11"/>
    <x v="1"/>
    <s v="Low"/>
    <s v="Yes"/>
    <n v="99837"/>
    <n v="100892"/>
    <x v="0"/>
    <n v="44"/>
    <x v="0"/>
    <n v="3"/>
    <n v="37.6"/>
    <n v="1055"/>
    <n v="1.0567224576058976"/>
    <s v="Intermediate"/>
    <s v="Low Impact"/>
  </r>
  <r>
    <s v="E0810"/>
    <n v="24"/>
    <s v="Other"/>
    <s v="High School"/>
    <x v="0"/>
    <s v="DevOps Engineer"/>
    <n v="0"/>
    <x v="2"/>
    <s v="High"/>
    <s v="No"/>
    <n v="96151"/>
    <n v="126516"/>
    <x v="1"/>
    <n v="50"/>
    <x v="1"/>
    <n v="8"/>
    <n v="37.57"/>
    <n v="30365"/>
    <n v="31.580534783829599"/>
    <s v="Beginner"/>
    <s v="Medium Impact"/>
  </r>
  <r>
    <s v="E0462"/>
    <n v="33"/>
    <s v="Female"/>
    <s v="Bachelor"/>
    <x v="1"/>
    <s v="Supervisor"/>
    <n v="7"/>
    <x v="2"/>
    <s v="Medium"/>
    <s v="No"/>
    <n v="75968"/>
    <n v="77185"/>
    <x v="1"/>
    <n v="43"/>
    <x v="1"/>
    <n v="5"/>
    <n v="37.409999999999997"/>
    <n v="1217"/>
    <n v="1.6019903117101937"/>
    <s v="Intermediate"/>
    <s v="Medium Impact"/>
  </r>
  <r>
    <s v="E1468"/>
    <n v="36"/>
    <s v="Female"/>
    <s v="High School"/>
    <x v="5"/>
    <s v="Administrator"/>
    <n v="14"/>
    <x v="1"/>
    <s v="Low"/>
    <s v="No"/>
    <n v="70761"/>
    <n v="71793"/>
    <x v="0"/>
    <n v="42"/>
    <x v="0"/>
    <n v="7"/>
    <n v="37.409999999999997"/>
    <n v="1032"/>
    <n v="1.4584304913723662"/>
    <s v="Intermediate"/>
    <s v="Low Impact"/>
  </r>
  <r>
    <s v="E1458"/>
    <n v="57"/>
    <s v="Male"/>
    <s v="Bachelor"/>
    <x v="6"/>
    <s v="Technician"/>
    <n v="33"/>
    <x v="0"/>
    <s v="Low"/>
    <s v="Yes"/>
    <n v="56844"/>
    <n v="61320"/>
    <x v="0"/>
    <n v="44"/>
    <x v="0"/>
    <n v="9"/>
    <n v="37.409999999999997"/>
    <n v="4476"/>
    <n v="7.8741819717120531"/>
    <s v="Expert"/>
    <s v="Low Impact"/>
  </r>
  <r>
    <s v="E1789"/>
    <n v="34"/>
    <s v="Female"/>
    <s v="Master"/>
    <x v="2"/>
    <s v="SEO Specialist"/>
    <n v="12"/>
    <x v="2"/>
    <s v="High"/>
    <s v="Yes"/>
    <n v="86132"/>
    <n v="77382"/>
    <x v="2"/>
    <n v="48"/>
    <x v="0"/>
    <n v="8"/>
    <n v="37.33"/>
    <n v="-8750"/>
    <n v="-10.158825988018389"/>
    <s v="Intermediate"/>
    <s v="High Impact"/>
  </r>
  <r>
    <s v="E0173"/>
    <n v="56"/>
    <s v="Other"/>
    <s v="PhD"/>
    <x v="5"/>
    <s v="Professor"/>
    <n v="31"/>
    <x v="1"/>
    <s v="High"/>
    <s v="Yes"/>
    <n v="45850"/>
    <n v="52907"/>
    <x v="0"/>
    <n v="45"/>
    <x v="1"/>
    <n v="4"/>
    <n v="37.31"/>
    <n v="7057"/>
    <n v="15.391494002181025"/>
    <s v="Expert"/>
    <s v="Low Impact"/>
  </r>
  <r>
    <s v="E1557"/>
    <n v="36"/>
    <s v="Other"/>
    <s v="Master"/>
    <x v="3"/>
    <s v="Auditor"/>
    <n v="12"/>
    <x v="0"/>
    <s v="Low"/>
    <s v="No"/>
    <n v="53752"/>
    <n v="56342"/>
    <x v="0"/>
    <n v="51"/>
    <x v="0"/>
    <n v="7"/>
    <n v="37.25"/>
    <n v="2590"/>
    <n v="4.8184253609168035"/>
    <s v="Intermediate"/>
    <s v="Low Impact"/>
  </r>
  <r>
    <s v="E1504"/>
    <n v="46"/>
    <s v="Other"/>
    <s v="High School"/>
    <x v="2"/>
    <s v="Content Creator"/>
    <n v="20"/>
    <x v="0"/>
    <s v="High"/>
    <s v="Yes"/>
    <n v="89254"/>
    <n v="90076"/>
    <x v="0"/>
    <n v="36"/>
    <x v="1"/>
    <n v="5"/>
    <n v="37.200000000000003"/>
    <n v="822"/>
    <n v="0.92096712752369647"/>
    <s v="Expert"/>
    <s v="Low Impact"/>
  </r>
  <r>
    <s v="E0874"/>
    <n v="32"/>
    <s v="Female"/>
    <s v="High School"/>
    <x v="1"/>
    <s v="Supervisor"/>
    <n v="9"/>
    <x v="1"/>
    <s v="Low"/>
    <s v="No"/>
    <n v="49324"/>
    <n v="50834"/>
    <x v="0"/>
    <n v="48"/>
    <x v="0"/>
    <n v="4"/>
    <n v="37.19"/>
    <n v="1510"/>
    <n v="3.0613899927013222"/>
    <s v="Intermediate"/>
    <s v="Low Impact"/>
  </r>
  <r>
    <s v="E1932"/>
    <n v="54"/>
    <s v="Other"/>
    <s v="Master"/>
    <x v="1"/>
    <s v="Quality Inspector"/>
    <n v="30"/>
    <x v="2"/>
    <s v="Low"/>
    <s v="Yes"/>
    <n v="88249"/>
    <n v="116174"/>
    <x v="0"/>
    <n v="46"/>
    <x v="1"/>
    <n v="3"/>
    <n v="37.18"/>
    <n v="27925"/>
    <n v="31.643418055728677"/>
    <s v="Expert"/>
    <s v="Low Impact"/>
  </r>
  <r>
    <s v="E1406"/>
    <n v="36"/>
    <s v="Male"/>
    <s v="Master"/>
    <x v="0"/>
    <s v="DevOps Engineer"/>
    <n v="13"/>
    <x v="2"/>
    <s v="Low"/>
    <s v="Yes"/>
    <n v="104510"/>
    <n v="141988"/>
    <x v="0"/>
    <n v="51"/>
    <x v="0"/>
    <n v="6"/>
    <n v="37.090000000000003"/>
    <n v="37478"/>
    <n v="35.860683188211659"/>
    <s v="Intermediate"/>
    <s v="Low Impact"/>
  </r>
  <r>
    <s v="E0832"/>
    <n v="41"/>
    <s v="Other"/>
    <s v="Bachelor"/>
    <x v="6"/>
    <s v="Nurse"/>
    <n v="17"/>
    <x v="2"/>
    <s v="Medium"/>
    <s v="No"/>
    <n v="107733"/>
    <n v="150301"/>
    <x v="1"/>
    <n v="51"/>
    <x v="0"/>
    <n v="9"/>
    <n v="37.08"/>
    <n v="42568"/>
    <n v="39.512498491641374"/>
    <s v="Expert"/>
    <s v="Medium Impact"/>
  </r>
  <r>
    <s v="E1317"/>
    <n v="45"/>
    <s v="Other"/>
    <s v="PhD"/>
    <x v="3"/>
    <s v="Auditor"/>
    <n v="23"/>
    <x v="0"/>
    <s v="Low"/>
    <s v="Yes"/>
    <n v="65157"/>
    <n v="62818"/>
    <x v="0"/>
    <n v="48"/>
    <x v="1"/>
    <n v="3"/>
    <n v="37.08"/>
    <n v="-2339"/>
    <n v="-3.5897908129594676"/>
    <s v="Expert"/>
    <s v="Low Impact"/>
  </r>
  <r>
    <s v="E0500"/>
    <n v="43"/>
    <s v="Male"/>
    <s v="High School"/>
    <x v="2"/>
    <s v="Content Creator"/>
    <n v="20"/>
    <x v="1"/>
    <s v="Medium"/>
    <s v="No"/>
    <n v="94503"/>
    <n v="93061"/>
    <x v="1"/>
    <n v="39"/>
    <x v="1"/>
    <n v="5"/>
    <n v="37.03"/>
    <n v="-1442"/>
    <n v="-1.5258774853708348"/>
    <s v="Expert"/>
    <s v="Medium Impact"/>
  </r>
  <r>
    <s v="E0398"/>
    <n v="33"/>
    <s v="Female"/>
    <s v="High School"/>
    <x v="4"/>
    <s v="Sales Associate"/>
    <n v="7"/>
    <x v="2"/>
    <s v="High"/>
    <s v="No"/>
    <n v="38770"/>
    <n v="46188"/>
    <x v="2"/>
    <n v="36"/>
    <x v="1"/>
    <n v="5"/>
    <n v="37.03"/>
    <n v="7418"/>
    <n v="19.133350528759347"/>
    <s v="Intermediate"/>
    <s v="High Impact"/>
  </r>
  <r>
    <s v="E0344"/>
    <n v="35"/>
    <s v="Female"/>
    <s v="High School"/>
    <x v="6"/>
    <s v="Nurse"/>
    <n v="10"/>
    <x v="0"/>
    <s v="High"/>
    <s v="Yes"/>
    <n v="87418"/>
    <n v="92750"/>
    <x v="0"/>
    <n v="39"/>
    <x v="1"/>
    <n v="3"/>
    <n v="37.020000000000003"/>
    <n v="5332"/>
    <n v="6.0994303232743832"/>
    <s v="Intermediate"/>
    <s v="Low Impact"/>
  </r>
  <r>
    <s v="E1862"/>
    <n v="46"/>
    <s v="Other"/>
    <s v="Master"/>
    <x v="1"/>
    <s v="Quality Inspector"/>
    <n v="21"/>
    <x v="1"/>
    <s v="Medium"/>
    <s v="Yes"/>
    <n v="97310"/>
    <n v="98256"/>
    <x v="1"/>
    <n v="35"/>
    <x v="0"/>
    <n v="4"/>
    <n v="36.979999999999997"/>
    <n v="946"/>
    <n v="0.97215085808241697"/>
    <s v="Expert"/>
    <s v="Medium Impact"/>
  </r>
  <r>
    <s v="E0469"/>
    <n v="59"/>
    <s v="Other"/>
    <s v="High School"/>
    <x v="3"/>
    <s v="Investment Analyst"/>
    <n v="36"/>
    <x v="1"/>
    <s v="Low"/>
    <s v="No"/>
    <n v="72965"/>
    <n v="81196"/>
    <x v="0"/>
    <n v="37"/>
    <x v="1"/>
    <n v="3"/>
    <n v="36.93"/>
    <n v="8231"/>
    <n v="11.280751045021585"/>
    <s v="Expert"/>
    <s v="Low Impact"/>
  </r>
  <r>
    <s v="E1616"/>
    <n v="34"/>
    <s v="Female"/>
    <s v="High School"/>
    <x v="2"/>
    <s v="SEO Specialist"/>
    <n v="11"/>
    <x v="0"/>
    <s v="Medium"/>
    <s v="Yes"/>
    <n v="91344"/>
    <n v="94519"/>
    <x v="1"/>
    <n v="39"/>
    <x v="0"/>
    <n v="7"/>
    <n v="36.92"/>
    <n v="3175"/>
    <n v="3.4758714310737431"/>
    <s v="Intermediate"/>
    <s v="Medium Impact"/>
  </r>
  <r>
    <s v="E0606"/>
    <n v="43"/>
    <s v="Male"/>
    <s v="High School"/>
    <x v="2"/>
    <s v="Digital Marketer"/>
    <n v="20"/>
    <x v="2"/>
    <s v="Medium"/>
    <s v="No"/>
    <n v="53470"/>
    <n v="57306"/>
    <x v="1"/>
    <n v="52"/>
    <x v="1"/>
    <n v="6"/>
    <n v="36.92"/>
    <n v="3836"/>
    <n v="7.1741163269122872"/>
    <s v="Expert"/>
    <s v="Medium Impact"/>
  </r>
  <r>
    <s v="E0162"/>
    <n v="30"/>
    <s v="Other"/>
    <s v="High School"/>
    <x v="0"/>
    <s v="DevOps Engineer"/>
    <n v="7"/>
    <x v="1"/>
    <s v="Medium"/>
    <s v="Yes"/>
    <n v="92516"/>
    <n v="91437"/>
    <x v="1"/>
    <n v="46"/>
    <x v="1"/>
    <n v="3"/>
    <n v="36.909999999999997"/>
    <n v="-1079"/>
    <n v="-1.1662847507458169"/>
    <s v="Intermediate"/>
    <s v="Medium Impact"/>
  </r>
  <r>
    <s v="E0396"/>
    <n v="47"/>
    <s v="Female"/>
    <s v="High School"/>
    <x v="3"/>
    <s v="Auditor"/>
    <n v="22"/>
    <x v="2"/>
    <s v="High"/>
    <s v="No"/>
    <n v="118668"/>
    <n v="107079"/>
    <x v="2"/>
    <n v="40"/>
    <x v="0"/>
    <n v="6"/>
    <n v="36.89"/>
    <n v="-11589"/>
    <n v="-9.765901506724644"/>
    <s v="Expert"/>
    <s v="High Impact"/>
  </r>
  <r>
    <s v="E1681"/>
    <n v="47"/>
    <s v="Female"/>
    <s v="Master"/>
    <x v="1"/>
    <s v="Machine Operator"/>
    <n v="21"/>
    <x v="2"/>
    <s v="Medium"/>
    <s v="Yes"/>
    <n v="61971"/>
    <n v="71141"/>
    <x v="1"/>
    <n v="41"/>
    <x v="0"/>
    <n v="6"/>
    <n v="36.880000000000003"/>
    <n v="9170"/>
    <n v="14.797243872133739"/>
    <s v="Expert"/>
    <s v="Medium Impact"/>
  </r>
  <r>
    <s v="E1207"/>
    <n v="34"/>
    <s v="Other"/>
    <s v="PhD"/>
    <x v="0"/>
    <s v="Software Engineer"/>
    <n v="9"/>
    <x v="0"/>
    <s v="Medium"/>
    <s v="Yes"/>
    <n v="114793"/>
    <n v="111270"/>
    <x v="1"/>
    <n v="47"/>
    <x v="1"/>
    <n v="7"/>
    <n v="36.86"/>
    <n v="-3523"/>
    <n v="-3.069002465307118"/>
    <s v="Intermediate"/>
    <s v="Medium Impact"/>
  </r>
  <r>
    <s v="E0906"/>
    <n v="57"/>
    <s v="Female"/>
    <s v="High School"/>
    <x v="2"/>
    <s v="Digital Marketer"/>
    <n v="31"/>
    <x v="2"/>
    <s v="High"/>
    <s v="No"/>
    <n v="72292"/>
    <n v="65669"/>
    <x v="2"/>
    <n v="36"/>
    <x v="0"/>
    <n v="3"/>
    <n v="36.86"/>
    <n v="-6623"/>
    <n v="-9.1614563160515683"/>
    <s v="Expert"/>
    <s v="High Impact"/>
  </r>
  <r>
    <s v="E1525"/>
    <n v="52"/>
    <s v="Female"/>
    <s v="Bachelor"/>
    <x v="1"/>
    <s v="Machine Operator"/>
    <n v="28"/>
    <x v="2"/>
    <s v="Medium"/>
    <s v="Yes"/>
    <n v="45701"/>
    <n v="47841"/>
    <x v="1"/>
    <n v="50"/>
    <x v="1"/>
    <n v="4"/>
    <n v="36.86"/>
    <n v="2140"/>
    <n v="4.6826108837881009"/>
    <s v="Expert"/>
    <s v="Medium Impact"/>
  </r>
  <r>
    <s v="E0231"/>
    <n v="53"/>
    <s v="Female"/>
    <s v="Bachelor"/>
    <x v="4"/>
    <s v="Cashier"/>
    <n v="31"/>
    <x v="1"/>
    <s v="Low"/>
    <s v="Yes"/>
    <n v="94881"/>
    <n v="112012"/>
    <x v="0"/>
    <n v="54"/>
    <x v="1"/>
    <n v="8"/>
    <n v="36.840000000000003"/>
    <n v="17131"/>
    <n v="18.055248152949485"/>
    <s v="Expert"/>
    <s v="Low Impact"/>
  </r>
  <r>
    <s v="E1736"/>
    <n v="38"/>
    <s v="Female"/>
    <s v="High School"/>
    <x v="6"/>
    <s v="Nurse"/>
    <n v="16"/>
    <x v="0"/>
    <s v="High"/>
    <s v="Yes"/>
    <n v="85309"/>
    <n v="92528"/>
    <x v="0"/>
    <n v="39"/>
    <x v="0"/>
    <n v="7"/>
    <n v="36.799999999999997"/>
    <n v="7219"/>
    <n v="8.4621786681358362"/>
    <s v="Expert"/>
    <s v="Low Impact"/>
  </r>
  <r>
    <s v="E0364"/>
    <n v="36"/>
    <s v="Male"/>
    <s v="High School"/>
    <x v="1"/>
    <s v="Supervisor"/>
    <n v="11"/>
    <x v="2"/>
    <s v="Medium"/>
    <s v="Yes"/>
    <n v="44939"/>
    <n v="42840"/>
    <x v="1"/>
    <n v="42"/>
    <x v="0"/>
    <n v="4"/>
    <n v="36.799999999999997"/>
    <n v="-2099"/>
    <n v="-4.6707759407196425"/>
    <s v="Intermediate"/>
    <s v="Medium Impact"/>
  </r>
  <r>
    <s v="E1306"/>
    <n v="26"/>
    <s v="Male"/>
    <s v="Master"/>
    <x v="2"/>
    <s v="Digital Marketer"/>
    <n v="4"/>
    <x v="2"/>
    <s v="High"/>
    <s v="No"/>
    <n v="37973"/>
    <n v="43064"/>
    <x v="1"/>
    <n v="38"/>
    <x v="1"/>
    <n v="9"/>
    <n v="36.78"/>
    <n v="5091"/>
    <n v="13.406894372317174"/>
    <s v="Beginner"/>
    <s v="Medium Impact"/>
  </r>
  <r>
    <s v="E1255"/>
    <n v="38"/>
    <s v="Other"/>
    <s v="PhD"/>
    <x v="4"/>
    <s v="Store Manager"/>
    <n v="13"/>
    <x v="2"/>
    <s v="Low"/>
    <s v="Yes"/>
    <n v="75382"/>
    <n v="101566"/>
    <x v="0"/>
    <n v="48"/>
    <x v="1"/>
    <n v="7"/>
    <n v="36.76"/>
    <n v="26184"/>
    <n v="34.735082645724439"/>
    <s v="Intermediate"/>
    <s v="Low Impact"/>
  </r>
  <r>
    <s v="E0719"/>
    <n v="53"/>
    <s v="Male"/>
    <s v="Bachelor"/>
    <x v="5"/>
    <s v="Professor"/>
    <n v="31"/>
    <x v="0"/>
    <s v="High"/>
    <s v="No"/>
    <n v="57564"/>
    <n v="60554"/>
    <x v="0"/>
    <n v="37"/>
    <x v="0"/>
    <n v="9"/>
    <n v="36.76"/>
    <n v="2990"/>
    <n v="5.1942186088527551"/>
    <s v="Expert"/>
    <s v="Low Impact"/>
  </r>
  <r>
    <s v="E1280"/>
    <n v="47"/>
    <s v="Male"/>
    <s v="Bachelor"/>
    <x v="5"/>
    <s v="Administrator"/>
    <n v="25"/>
    <x v="2"/>
    <s v="High"/>
    <s v="Yes"/>
    <n v="99778"/>
    <n v="138786"/>
    <x v="1"/>
    <n v="35"/>
    <x v="0"/>
    <n v="6"/>
    <n v="36.75"/>
    <n v="39008"/>
    <n v="39.09479043476518"/>
    <s v="Expert"/>
    <s v="Medium Impact"/>
  </r>
  <r>
    <s v="E0568"/>
    <n v="34"/>
    <s v="Female"/>
    <s v="Bachelor"/>
    <x v="6"/>
    <s v="Nurse"/>
    <n v="12"/>
    <x v="1"/>
    <s v="High"/>
    <s v="No"/>
    <n v="73937"/>
    <n v="67034"/>
    <x v="0"/>
    <n v="50"/>
    <x v="0"/>
    <n v="3"/>
    <n v="36.71"/>
    <n v="-6903"/>
    <n v="-9.3363268728782618"/>
    <s v="Intermediate"/>
    <s v="Low Impact"/>
  </r>
  <r>
    <s v="E1228"/>
    <n v="23"/>
    <s v="Other"/>
    <s v="PhD"/>
    <x v="1"/>
    <s v="Supervisor"/>
    <n v="1"/>
    <x v="0"/>
    <s v="High"/>
    <s v="Yes"/>
    <n v="94857"/>
    <n v="103073"/>
    <x v="0"/>
    <n v="49"/>
    <x v="0"/>
    <n v="6"/>
    <n v="36.6"/>
    <n v="8216"/>
    <n v="8.6614588274982349"/>
    <s v="Beginner"/>
    <s v="Low Impact"/>
  </r>
  <r>
    <s v="E0293"/>
    <n v="32"/>
    <s v="Male"/>
    <s v="Bachelor"/>
    <x v="0"/>
    <s v="DevOps Engineer"/>
    <n v="8"/>
    <x v="0"/>
    <s v="High"/>
    <s v="No"/>
    <n v="68067"/>
    <n v="67519"/>
    <x v="0"/>
    <n v="52"/>
    <x v="0"/>
    <n v="9"/>
    <n v="36.54"/>
    <n v="-548"/>
    <n v="-0.80508910338343098"/>
    <s v="Intermediate"/>
    <s v="Low Impact"/>
  </r>
  <r>
    <s v="E0504"/>
    <n v="49"/>
    <s v="Female"/>
    <s v="Bachelor"/>
    <x v="6"/>
    <s v="Technician"/>
    <n v="27"/>
    <x v="2"/>
    <s v="Medium"/>
    <s v="No"/>
    <n v="50954"/>
    <n v="42872"/>
    <x v="1"/>
    <n v="39"/>
    <x v="1"/>
    <n v="3"/>
    <n v="36.450000000000003"/>
    <n v="-8082"/>
    <n v="-15.861365152882993"/>
    <s v="Expert"/>
    <s v="Medium Impact"/>
  </r>
  <r>
    <s v="E0624"/>
    <n v="36"/>
    <s v="Male"/>
    <s v="High School"/>
    <x v="3"/>
    <s v="Investment Analyst"/>
    <n v="10"/>
    <x v="2"/>
    <s v="Low"/>
    <s v="Yes"/>
    <n v="73856"/>
    <n v="92991"/>
    <x v="0"/>
    <n v="52"/>
    <x v="1"/>
    <n v="7"/>
    <n v="36.43"/>
    <n v="19135"/>
    <n v="25.908524696707108"/>
    <s v="Intermediate"/>
    <s v="Low Impact"/>
  </r>
  <r>
    <s v="E1361"/>
    <n v="46"/>
    <s v="Female"/>
    <s v="High School"/>
    <x v="6"/>
    <s v="Nurse"/>
    <n v="20"/>
    <x v="1"/>
    <s v="Medium"/>
    <s v="No"/>
    <n v="59754"/>
    <n v="58322"/>
    <x v="1"/>
    <n v="45"/>
    <x v="1"/>
    <n v="5"/>
    <n v="36.43"/>
    <n v="-1432"/>
    <n v="-2.3964922850353112"/>
    <s v="Expert"/>
    <s v="Medium Impact"/>
  </r>
  <r>
    <s v="E0030"/>
    <n v="40"/>
    <s v="Other"/>
    <s v="PhD"/>
    <x v="5"/>
    <s v="Teacher"/>
    <n v="15"/>
    <x v="1"/>
    <s v="High"/>
    <s v="No"/>
    <n v="32911"/>
    <n v="30569"/>
    <x v="0"/>
    <n v="42"/>
    <x v="1"/>
    <n v="9"/>
    <n v="36.43"/>
    <n v="-2342"/>
    <n v="-7.1161617696210993"/>
    <s v="Expert"/>
    <s v="Low Impact"/>
  </r>
  <r>
    <s v="E0062"/>
    <n v="23"/>
    <s v="Male"/>
    <s v="Bachelor"/>
    <x v="2"/>
    <s v="Content Creator"/>
    <n v="1"/>
    <x v="1"/>
    <s v="High"/>
    <s v="No"/>
    <n v="79115"/>
    <n v="85106"/>
    <x v="0"/>
    <n v="46"/>
    <x v="0"/>
    <n v="4"/>
    <n v="36.409999999999997"/>
    <n v="5991"/>
    <n v="7.5725210137142129"/>
    <s v="Beginner"/>
    <s v="Low Impact"/>
  </r>
  <r>
    <s v="E0672"/>
    <n v="40"/>
    <s v="Female"/>
    <s v="PhD"/>
    <x v="0"/>
    <s v="Software Engineer"/>
    <n v="15"/>
    <x v="1"/>
    <s v="High"/>
    <s v="No"/>
    <n v="48019"/>
    <n v="53032"/>
    <x v="0"/>
    <n v="46"/>
    <x v="0"/>
    <n v="7"/>
    <n v="36.409999999999997"/>
    <n v="5013"/>
    <n v="10.439617651346342"/>
    <s v="Expert"/>
    <s v="Low Impact"/>
  </r>
  <r>
    <s v="E1936"/>
    <n v="55"/>
    <s v="Male"/>
    <s v="High School"/>
    <x v="6"/>
    <s v="Technician"/>
    <n v="31"/>
    <x v="2"/>
    <s v="High"/>
    <s v="No"/>
    <n v="36402"/>
    <n v="49848"/>
    <x v="1"/>
    <n v="54"/>
    <x v="1"/>
    <n v="7"/>
    <n v="36.409999999999997"/>
    <n v="13446"/>
    <n v="36.93753090489534"/>
    <s v="Expert"/>
    <s v="Medium Impact"/>
  </r>
  <r>
    <s v="E1696"/>
    <n v="22"/>
    <s v="Male"/>
    <s v="PhD"/>
    <x v="5"/>
    <s v="Teacher"/>
    <n v="0"/>
    <x v="0"/>
    <s v="High"/>
    <s v="No"/>
    <n v="98879"/>
    <n v="103427"/>
    <x v="0"/>
    <n v="43"/>
    <x v="1"/>
    <n v="6"/>
    <n v="36.36"/>
    <n v="4548"/>
    <n v="4.5995610797034754"/>
    <s v="Beginner"/>
    <s v="Low Impact"/>
  </r>
  <r>
    <s v="E1543"/>
    <n v="52"/>
    <s v="Other"/>
    <s v="PhD"/>
    <x v="5"/>
    <s v="Teacher"/>
    <n v="26"/>
    <x v="2"/>
    <s v="High"/>
    <s v="Yes"/>
    <n v="64928"/>
    <n v="88297"/>
    <x v="2"/>
    <n v="35"/>
    <x v="0"/>
    <n v="8"/>
    <n v="36.299999999999997"/>
    <n v="23369"/>
    <n v="35.992175948743224"/>
    <s v="Expert"/>
    <s v="High Impact"/>
  </r>
  <r>
    <s v="E1403"/>
    <n v="25"/>
    <s v="Male"/>
    <s v="Bachelor"/>
    <x v="1"/>
    <s v="Supervisor"/>
    <n v="0"/>
    <x v="1"/>
    <s v="Low"/>
    <s v="No"/>
    <n v="95149"/>
    <n v="96958"/>
    <x v="0"/>
    <n v="43"/>
    <x v="1"/>
    <n v="4"/>
    <n v="36.28"/>
    <n v="1809"/>
    <n v="1.9012285993546965"/>
    <s v="Beginner"/>
    <s v="Low Impact"/>
  </r>
  <r>
    <s v="E0292"/>
    <n v="54"/>
    <s v="Other"/>
    <s v="PhD"/>
    <x v="3"/>
    <s v="Auditor"/>
    <n v="31"/>
    <x v="1"/>
    <s v="High"/>
    <s v="Yes"/>
    <n v="114328"/>
    <n v="105901"/>
    <x v="0"/>
    <n v="43"/>
    <x v="1"/>
    <n v="3"/>
    <n v="36.22"/>
    <n v="-8427"/>
    <n v="-7.3708977678259044"/>
    <s v="Expert"/>
    <s v="Low Impact"/>
  </r>
  <r>
    <s v="E0230"/>
    <n v="32"/>
    <s v="Male"/>
    <s v="High School"/>
    <x v="6"/>
    <s v="Doctor"/>
    <n v="6"/>
    <x v="2"/>
    <s v="Medium"/>
    <s v="Yes"/>
    <n v="79786"/>
    <n v="65340"/>
    <x v="1"/>
    <n v="41"/>
    <x v="0"/>
    <n v="9"/>
    <n v="36.17"/>
    <n v="-14446"/>
    <n v="-18.105933371769485"/>
    <s v="Intermediate"/>
    <s v="Medium Impact"/>
  </r>
  <r>
    <s v="E1783"/>
    <n v="54"/>
    <s v="Other"/>
    <s v="PhD"/>
    <x v="4"/>
    <s v="Cashier"/>
    <n v="28"/>
    <x v="0"/>
    <s v="Medium"/>
    <s v="Yes"/>
    <n v="68187"/>
    <n v="68898"/>
    <x v="1"/>
    <n v="36"/>
    <x v="1"/>
    <n v="9"/>
    <n v="36.11"/>
    <n v="711"/>
    <n v="1.0427207532227551"/>
    <s v="Expert"/>
    <s v="Medium Impact"/>
  </r>
  <r>
    <s v="E1614"/>
    <n v="57"/>
    <s v="Male"/>
    <s v="Master"/>
    <x v="0"/>
    <s v="Data Analyst"/>
    <n v="31"/>
    <x v="0"/>
    <s v="Medium"/>
    <s v="No"/>
    <n v="95263"/>
    <n v="102157"/>
    <x v="1"/>
    <n v="43"/>
    <x v="0"/>
    <n v="6"/>
    <n v="36.090000000000003"/>
    <n v="6894"/>
    <n v="7.2368075748191849"/>
    <s v="Expert"/>
    <s v="Medium Impact"/>
  </r>
  <r>
    <s v="E0515"/>
    <n v="22"/>
    <s v="Other"/>
    <s v="High School"/>
    <x v="1"/>
    <s v="Machine Operator"/>
    <n v="0"/>
    <x v="1"/>
    <s v="Low"/>
    <s v="Yes"/>
    <n v="32610"/>
    <n v="32961"/>
    <x v="0"/>
    <n v="36"/>
    <x v="1"/>
    <n v="9"/>
    <n v="35.979999999999997"/>
    <n v="351"/>
    <n v="1.0763569457221711"/>
    <s v="Beginner"/>
    <s v="Low Impact"/>
  </r>
  <r>
    <s v="E1029"/>
    <n v="23"/>
    <s v="Other"/>
    <s v="High School"/>
    <x v="1"/>
    <s v="Quality Inspector"/>
    <n v="1"/>
    <x v="1"/>
    <s v="Medium"/>
    <s v="Yes"/>
    <n v="75836"/>
    <n v="89492"/>
    <x v="1"/>
    <n v="37"/>
    <x v="1"/>
    <n v="8"/>
    <n v="35.96"/>
    <n v="13656"/>
    <n v="18.007278864919034"/>
    <s v="Beginner"/>
    <s v="Medium Impact"/>
  </r>
  <r>
    <s v="E0736"/>
    <n v="36"/>
    <s v="Female"/>
    <s v="High School"/>
    <x v="1"/>
    <s v="Quality Inspector"/>
    <n v="12"/>
    <x v="2"/>
    <s v="Medium"/>
    <s v="No"/>
    <n v="106441"/>
    <n v="104035"/>
    <x v="1"/>
    <n v="36"/>
    <x v="1"/>
    <n v="5"/>
    <n v="35.950000000000003"/>
    <n v="-2406"/>
    <n v="-2.2604071739273399"/>
    <s v="Intermediate"/>
    <s v="Medium Impact"/>
  </r>
  <r>
    <s v="E1992"/>
    <n v="49"/>
    <s v="Male"/>
    <s v="Bachelor"/>
    <x v="6"/>
    <s v="Doctor"/>
    <n v="27"/>
    <x v="1"/>
    <s v="Medium"/>
    <s v="No"/>
    <n v="47032"/>
    <n v="46269"/>
    <x v="1"/>
    <n v="47"/>
    <x v="0"/>
    <n v="9"/>
    <n v="35.880000000000003"/>
    <n v="-763"/>
    <n v="-1.622299710835176"/>
    <s v="Expert"/>
    <s v="Medium Impact"/>
  </r>
  <r>
    <s v="E0968"/>
    <n v="25"/>
    <s v="Male"/>
    <s v="High School"/>
    <x v="1"/>
    <s v="Quality Inspector"/>
    <n v="1"/>
    <x v="0"/>
    <s v="High"/>
    <s v="No"/>
    <n v="43303"/>
    <n v="42950"/>
    <x v="0"/>
    <n v="35"/>
    <x v="1"/>
    <n v="8"/>
    <n v="35.840000000000003"/>
    <n v="-353"/>
    <n v="-0.81518601482576269"/>
    <s v="Beginner"/>
    <s v="Low Impact"/>
  </r>
  <r>
    <s v="E0404"/>
    <n v="34"/>
    <s v="Other"/>
    <s v="Master"/>
    <x v="3"/>
    <s v="Investment Analyst"/>
    <n v="10"/>
    <x v="1"/>
    <s v="Low"/>
    <s v="Yes"/>
    <n v="111554"/>
    <n v="115478"/>
    <x v="0"/>
    <n v="47"/>
    <x v="1"/>
    <n v="3"/>
    <n v="35.770000000000003"/>
    <n v="3924"/>
    <n v="3.5175789303834915"/>
    <s v="Intermediate"/>
    <s v="Low Impact"/>
  </r>
  <r>
    <s v="E1903"/>
    <n v="23"/>
    <s v="Male"/>
    <s v="High School"/>
    <x v="4"/>
    <s v="Store Manager"/>
    <n v="0"/>
    <x v="0"/>
    <s v="Low"/>
    <s v="Yes"/>
    <n v="89402"/>
    <n v="85711"/>
    <x v="0"/>
    <n v="49"/>
    <x v="0"/>
    <n v="5"/>
    <n v="35.75"/>
    <n v="-3691"/>
    <n v="-4.1285429856155345"/>
    <s v="Beginner"/>
    <s v="Low Impact"/>
  </r>
  <r>
    <s v="E0042"/>
    <n v="27"/>
    <s v="Male"/>
    <s v="Master"/>
    <x v="4"/>
    <s v="Cashier"/>
    <n v="3"/>
    <x v="1"/>
    <s v="Medium"/>
    <s v="No"/>
    <n v="62635"/>
    <n v="56661"/>
    <x v="1"/>
    <n v="51"/>
    <x v="0"/>
    <n v="8"/>
    <n v="35.700000000000003"/>
    <n v="-5974"/>
    <n v="-9.5377983555520078"/>
    <s v="Beginner"/>
    <s v="Medium Impact"/>
  </r>
  <r>
    <s v="E0554"/>
    <n v="43"/>
    <s v="Other"/>
    <s v="PhD"/>
    <x v="3"/>
    <s v="Investment Analyst"/>
    <n v="17"/>
    <x v="0"/>
    <s v="Medium"/>
    <s v="Yes"/>
    <n v="84122"/>
    <n v="86112"/>
    <x v="1"/>
    <n v="49"/>
    <x v="0"/>
    <n v="3"/>
    <n v="35.630000000000003"/>
    <n v="1990"/>
    <n v="2.3656118494567413"/>
    <s v="Expert"/>
    <s v="Medium Impact"/>
  </r>
  <r>
    <s v="E0924"/>
    <n v="22"/>
    <s v="Male"/>
    <s v="PhD"/>
    <x v="2"/>
    <s v="Digital Marketer"/>
    <n v="0"/>
    <x v="1"/>
    <s v="Low"/>
    <s v="Yes"/>
    <n v="73226"/>
    <n v="79415"/>
    <x v="0"/>
    <n v="48"/>
    <x v="0"/>
    <n v="9"/>
    <n v="35.61"/>
    <n v="6189"/>
    <n v="8.4519159861251474"/>
    <s v="Beginner"/>
    <s v="Low Impact"/>
  </r>
  <r>
    <s v="E0847"/>
    <n v="22"/>
    <s v="Other"/>
    <s v="Bachelor"/>
    <x v="4"/>
    <s v="Sales Associate"/>
    <n v="0"/>
    <x v="1"/>
    <s v="High"/>
    <s v="No"/>
    <n v="85565"/>
    <n v="94243"/>
    <x v="0"/>
    <n v="44"/>
    <x v="1"/>
    <n v="9"/>
    <n v="35.58"/>
    <n v="8678"/>
    <n v="10.14199731198504"/>
    <s v="Beginner"/>
    <s v="Low Impact"/>
  </r>
  <r>
    <s v="E1325"/>
    <n v="37"/>
    <s v="Other"/>
    <s v="High School"/>
    <x v="3"/>
    <s v="Investment Analyst"/>
    <n v="12"/>
    <x v="1"/>
    <s v="Low"/>
    <s v="No"/>
    <n v="73151"/>
    <n v="66946"/>
    <x v="0"/>
    <n v="47"/>
    <x v="1"/>
    <n v="7"/>
    <n v="35.58"/>
    <n v="-6205"/>
    <n v="-8.4824541017894504"/>
    <s v="Intermediate"/>
    <s v="Low Impact"/>
  </r>
  <r>
    <s v="E0439"/>
    <n v="26"/>
    <s v="Female"/>
    <s v="Master"/>
    <x v="5"/>
    <s v="Professor"/>
    <n v="0"/>
    <x v="1"/>
    <s v="Medium"/>
    <s v="No"/>
    <n v="55518"/>
    <n v="60402"/>
    <x v="1"/>
    <n v="50"/>
    <x v="0"/>
    <n v="4"/>
    <n v="35.58"/>
    <n v="4884"/>
    <n v="8.7971468712849887"/>
    <s v="Beginner"/>
    <s v="Medium Impact"/>
  </r>
  <r>
    <s v="E1646"/>
    <n v="47"/>
    <s v="Female"/>
    <s v="High School"/>
    <x v="4"/>
    <s v="Sales Associate"/>
    <n v="22"/>
    <x v="1"/>
    <s v="Medium"/>
    <s v="No"/>
    <n v="93472"/>
    <n v="110894"/>
    <x v="1"/>
    <n v="38"/>
    <x v="1"/>
    <n v="7"/>
    <n v="35.549999999999997"/>
    <n v="17422"/>
    <n v="18.638736733995206"/>
    <s v="Expert"/>
    <s v="Medium Impact"/>
  </r>
  <r>
    <s v="E1788"/>
    <n v="49"/>
    <s v="Male"/>
    <s v="PhD"/>
    <x v="4"/>
    <s v="Store Manager"/>
    <n v="26"/>
    <x v="1"/>
    <s v="High"/>
    <s v="No"/>
    <n v="83817"/>
    <n v="84857"/>
    <x v="0"/>
    <n v="54"/>
    <x v="0"/>
    <n v="3"/>
    <n v="35.53"/>
    <n v="1040"/>
    <n v="1.2407984060512784"/>
    <s v="Expert"/>
    <s v="Low Impact"/>
  </r>
  <r>
    <s v="E1983"/>
    <n v="22"/>
    <s v="Female"/>
    <s v="PhD"/>
    <x v="6"/>
    <s v="Technician"/>
    <n v="0"/>
    <x v="1"/>
    <s v="Medium"/>
    <s v="Yes"/>
    <n v="56732"/>
    <n v="56256"/>
    <x v="1"/>
    <n v="45"/>
    <x v="0"/>
    <n v="5"/>
    <n v="35.53"/>
    <n v="-476"/>
    <n v="-0.83903264471550443"/>
    <s v="Beginner"/>
    <s v="Medium Impact"/>
  </r>
  <r>
    <s v="E1763"/>
    <n v="45"/>
    <s v="Male"/>
    <s v="PhD"/>
    <x v="1"/>
    <s v="Machine Operator"/>
    <n v="22"/>
    <x v="0"/>
    <s v="High"/>
    <s v="Yes"/>
    <n v="93308"/>
    <n v="95211"/>
    <x v="0"/>
    <n v="46"/>
    <x v="0"/>
    <n v="7"/>
    <n v="35.479999999999997"/>
    <n v="1903"/>
    <n v="2.0394821451536846"/>
    <s v="Expert"/>
    <s v="Low Impact"/>
  </r>
  <r>
    <s v="E1126"/>
    <n v="59"/>
    <s v="Female"/>
    <s v="PhD"/>
    <x v="5"/>
    <s v="Professor"/>
    <n v="35"/>
    <x v="2"/>
    <s v="Medium"/>
    <s v="No"/>
    <n v="50968"/>
    <n v="62607"/>
    <x v="1"/>
    <n v="39"/>
    <x v="0"/>
    <n v="3"/>
    <n v="35.479999999999997"/>
    <n v="11639"/>
    <n v="22.835897033432744"/>
    <s v="Expert"/>
    <s v="Medium Impact"/>
  </r>
  <r>
    <s v="E0557"/>
    <n v="40"/>
    <s v="Other"/>
    <s v="Master"/>
    <x v="4"/>
    <s v="Store Manager"/>
    <n v="16"/>
    <x v="2"/>
    <s v="Medium"/>
    <s v="Yes"/>
    <n v="42356"/>
    <n v="34087"/>
    <x v="1"/>
    <n v="44"/>
    <x v="1"/>
    <n v="9"/>
    <n v="35.47"/>
    <n v="-8269"/>
    <n v="-19.522617810935877"/>
    <s v="Expert"/>
    <s v="Medium Impact"/>
  </r>
  <r>
    <s v="E0720"/>
    <n v="53"/>
    <s v="Female"/>
    <s v="Master"/>
    <x v="3"/>
    <s v="Investment Analyst"/>
    <n v="27"/>
    <x v="2"/>
    <s v="Low"/>
    <s v="No"/>
    <n v="83370"/>
    <n v="70781"/>
    <x v="0"/>
    <n v="42"/>
    <x v="1"/>
    <n v="5"/>
    <n v="35.46"/>
    <n v="-12589"/>
    <n v="-15.100155931390189"/>
    <s v="Expert"/>
    <s v="Low Impact"/>
  </r>
  <r>
    <s v="E0181"/>
    <n v="36"/>
    <s v="Female"/>
    <s v="High School"/>
    <x v="0"/>
    <s v="Data Analyst"/>
    <n v="10"/>
    <x v="0"/>
    <s v="Low"/>
    <s v="No"/>
    <n v="54070"/>
    <n v="53778"/>
    <x v="0"/>
    <n v="52"/>
    <x v="0"/>
    <n v="5"/>
    <n v="35.46"/>
    <n v="-292"/>
    <n v="-0.54004068799704086"/>
    <s v="Intermediate"/>
    <s v="Low Impact"/>
  </r>
  <r>
    <s v="E0298"/>
    <n v="23"/>
    <s v="Other"/>
    <s v="Master"/>
    <x v="1"/>
    <s v="Supervisor"/>
    <n v="1"/>
    <x v="0"/>
    <s v="Low"/>
    <s v="No"/>
    <n v="93740"/>
    <n v="101173"/>
    <x v="0"/>
    <n v="48"/>
    <x v="1"/>
    <n v="3"/>
    <n v="35.369999999999997"/>
    <n v="7433"/>
    <n v="7.9293791337742698"/>
    <s v="Beginner"/>
    <s v="Low Impact"/>
  </r>
  <r>
    <s v="E1343"/>
    <n v="31"/>
    <s v="Female"/>
    <s v="High School"/>
    <x v="3"/>
    <s v="Auditor"/>
    <n v="5"/>
    <x v="1"/>
    <s v="Medium"/>
    <s v="Yes"/>
    <n v="107078"/>
    <n v="103541"/>
    <x v="1"/>
    <n v="47"/>
    <x v="0"/>
    <n v="7"/>
    <n v="35.340000000000003"/>
    <n v="-3537"/>
    <n v="-3.3031995367862681"/>
    <s v="Intermediate"/>
    <s v="Medium Impact"/>
  </r>
  <r>
    <s v="E0641"/>
    <n v="35"/>
    <s v="Other"/>
    <s v="PhD"/>
    <x v="4"/>
    <s v="Cashier"/>
    <n v="13"/>
    <x v="0"/>
    <s v="Low"/>
    <s v="No"/>
    <n v="84200"/>
    <n v="82378"/>
    <x v="0"/>
    <n v="46"/>
    <x v="0"/>
    <n v="3"/>
    <n v="35.340000000000003"/>
    <n v="-1822"/>
    <n v="-2.1638954869358669"/>
    <s v="Intermediate"/>
    <s v="Low Impact"/>
  </r>
  <r>
    <s v="E1785"/>
    <n v="22"/>
    <s v="Female"/>
    <s v="Master"/>
    <x v="6"/>
    <s v="Doctor"/>
    <n v="0"/>
    <x v="1"/>
    <s v="High"/>
    <s v="No"/>
    <n v="77458"/>
    <n v="91889"/>
    <x v="0"/>
    <n v="46"/>
    <x v="1"/>
    <n v="8"/>
    <n v="35.28"/>
    <n v="14431"/>
    <n v="18.630741821374166"/>
    <s v="Beginner"/>
    <s v="Low Impact"/>
  </r>
  <r>
    <s v="E1538"/>
    <n v="43"/>
    <s v="Other"/>
    <s v="Bachelor"/>
    <x v="3"/>
    <s v="Auditor"/>
    <n v="17"/>
    <x v="2"/>
    <s v="Medium"/>
    <s v="No"/>
    <n v="51686"/>
    <n v="45819"/>
    <x v="1"/>
    <n v="48"/>
    <x v="0"/>
    <n v="8"/>
    <n v="35.22"/>
    <n v="-5867"/>
    <n v="-11.351236311573734"/>
    <s v="Expert"/>
    <s v="Medium Impact"/>
  </r>
  <r>
    <s v="E1080"/>
    <n v="49"/>
    <s v="Female"/>
    <s v="PhD"/>
    <x v="3"/>
    <s v="Investment Analyst"/>
    <n v="24"/>
    <x v="2"/>
    <s v="Low"/>
    <s v="No"/>
    <n v="102390"/>
    <n v="106640"/>
    <x v="0"/>
    <n v="44"/>
    <x v="1"/>
    <n v="5"/>
    <n v="35.200000000000003"/>
    <n v="4250"/>
    <n v="4.1507959761695483"/>
    <s v="Expert"/>
    <s v="Low Impact"/>
  </r>
  <r>
    <s v="E1086"/>
    <n v="32"/>
    <s v="Other"/>
    <s v="Master"/>
    <x v="4"/>
    <s v="Sales Associate"/>
    <n v="8"/>
    <x v="2"/>
    <s v="Medium"/>
    <s v="No"/>
    <n v="62214"/>
    <n v="83141"/>
    <x v="1"/>
    <n v="48"/>
    <x v="0"/>
    <n v="4"/>
    <n v="35.19"/>
    <n v="20927"/>
    <n v="33.637123477030897"/>
    <s v="Intermediate"/>
    <s v="Medium Impact"/>
  </r>
  <r>
    <s v="E0258"/>
    <n v="33"/>
    <s v="Male"/>
    <s v="Bachelor"/>
    <x v="2"/>
    <s v="Content Creator"/>
    <n v="9"/>
    <x v="1"/>
    <s v="High"/>
    <s v="Yes"/>
    <n v="72823"/>
    <n v="82920"/>
    <x v="0"/>
    <n v="35"/>
    <x v="0"/>
    <n v="5"/>
    <n v="35.119999999999997"/>
    <n v="10097"/>
    <n v="13.865125029180343"/>
    <s v="Intermediate"/>
    <s v="Low Impact"/>
  </r>
  <r>
    <s v="E1675"/>
    <n v="44"/>
    <s v="Male"/>
    <s v="High School"/>
    <x v="1"/>
    <s v="Supervisor"/>
    <n v="21"/>
    <x v="0"/>
    <s v="High"/>
    <s v="Yes"/>
    <n v="43890"/>
    <n v="46967"/>
    <x v="0"/>
    <n v="44"/>
    <x v="0"/>
    <n v="5"/>
    <n v="35.1"/>
    <n v="3077"/>
    <n v="7.010708589655958"/>
    <s v="Expert"/>
    <s v="Low Impact"/>
  </r>
  <r>
    <s v="E1089"/>
    <n v="31"/>
    <s v="Other"/>
    <s v="Bachelor"/>
    <x v="4"/>
    <s v="Store Manager"/>
    <n v="6"/>
    <x v="0"/>
    <s v="High"/>
    <s v="Yes"/>
    <n v="78114"/>
    <n v="74644"/>
    <x v="0"/>
    <n v="49"/>
    <x v="1"/>
    <n v="8"/>
    <n v="35.06"/>
    <n v="-3470"/>
    <n v="-4.4422254653455209"/>
    <s v="Intermediate"/>
    <s v="Low Impact"/>
  </r>
  <r>
    <s v="E1541"/>
    <n v="49"/>
    <s v="Female"/>
    <s v="PhD"/>
    <x v="2"/>
    <s v="Digital Marketer"/>
    <n v="23"/>
    <x v="2"/>
    <s v="High"/>
    <s v="No"/>
    <n v="87500"/>
    <n v="88387"/>
    <x v="1"/>
    <n v="47"/>
    <x v="0"/>
    <n v="6"/>
    <n v="35.03"/>
    <n v="887"/>
    <n v="1.0137142857142856"/>
    <s v="Expert"/>
    <s v="Medium Impact"/>
  </r>
  <r>
    <s v="E0416"/>
    <n v="53"/>
    <s v="Female"/>
    <s v="High School"/>
    <x v="3"/>
    <s v="Investment Analyst"/>
    <n v="29"/>
    <x v="2"/>
    <s v="High"/>
    <s v="No"/>
    <n v="114162"/>
    <n v="150070"/>
    <x v="2"/>
    <n v="42"/>
    <x v="1"/>
    <n v="5"/>
    <n v="35"/>
    <n v="35908"/>
    <n v="31.453548466214677"/>
    <s v="Expert"/>
    <s v="High Impact"/>
  </r>
  <r>
    <s v="E1767"/>
    <n v="50"/>
    <s v="Male"/>
    <s v="Master"/>
    <x v="4"/>
    <s v="Cashier"/>
    <n v="27"/>
    <x v="0"/>
    <s v="Medium"/>
    <s v="No"/>
    <n v="45954"/>
    <n v="46356"/>
    <x v="1"/>
    <n v="51"/>
    <x v="1"/>
    <n v="6"/>
    <n v="34.93"/>
    <n v="402"/>
    <n v="0.8747878313095705"/>
    <s v="Expert"/>
    <s v="Medium Impact"/>
  </r>
  <r>
    <s v="E1484"/>
    <n v="44"/>
    <s v="Other"/>
    <s v="PhD"/>
    <x v="3"/>
    <s v="Investment Analyst"/>
    <n v="19"/>
    <x v="0"/>
    <s v="Medium"/>
    <s v="No"/>
    <n v="68108"/>
    <n v="65680"/>
    <x v="1"/>
    <n v="47"/>
    <x v="0"/>
    <n v="5"/>
    <n v="34.880000000000003"/>
    <n v="-2428"/>
    <n v="-3.5649262935337998"/>
    <s v="Expert"/>
    <s v="Medium Impact"/>
  </r>
  <r>
    <s v="E1682"/>
    <n v="52"/>
    <s v="Other"/>
    <s v="Bachelor"/>
    <x v="0"/>
    <s v="DevOps Engineer"/>
    <n v="26"/>
    <x v="0"/>
    <s v="Medium"/>
    <s v="No"/>
    <n v="112256"/>
    <n v="107900"/>
    <x v="1"/>
    <n v="47"/>
    <x v="1"/>
    <n v="5"/>
    <n v="34.869999999999997"/>
    <n v="-4356"/>
    <n v="-3.8804161915621438"/>
    <s v="Expert"/>
    <s v="Medium Impact"/>
  </r>
  <r>
    <s v="E1566"/>
    <n v="54"/>
    <s v="Female"/>
    <s v="PhD"/>
    <x v="5"/>
    <s v="Teacher"/>
    <n v="32"/>
    <x v="2"/>
    <s v="Low"/>
    <s v="No"/>
    <n v="52072"/>
    <n v="62260"/>
    <x v="0"/>
    <n v="48"/>
    <x v="0"/>
    <n v="5"/>
    <n v="34.869999999999997"/>
    <n v="10188"/>
    <n v="19.565217391304348"/>
    <s v="Expert"/>
    <s v="Low Impact"/>
  </r>
  <r>
    <s v="E1298"/>
    <n v="40"/>
    <s v="Other"/>
    <s v="High School"/>
    <x v="2"/>
    <s v="Content Creator"/>
    <n v="18"/>
    <x v="1"/>
    <s v="Low"/>
    <s v="No"/>
    <n v="32837"/>
    <n v="33171"/>
    <x v="0"/>
    <n v="48"/>
    <x v="1"/>
    <n v="6"/>
    <n v="34.83"/>
    <n v="334"/>
    <n v="1.0171452934190091"/>
    <s v="Expert"/>
    <s v="Low Impact"/>
  </r>
  <r>
    <s v="E1632"/>
    <n v="22"/>
    <s v="Female"/>
    <s v="Bachelor"/>
    <x v="1"/>
    <s v="Supervisor"/>
    <n v="0"/>
    <x v="2"/>
    <s v="Medium"/>
    <s v="Yes"/>
    <n v="79222"/>
    <n v="105045"/>
    <x v="1"/>
    <n v="37"/>
    <x v="1"/>
    <n v="7"/>
    <n v="34.75"/>
    <n v="25823"/>
    <n v="32.595743606573926"/>
    <s v="Beginner"/>
    <s v="Medium Impact"/>
  </r>
  <r>
    <s v="E1005"/>
    <n v="54"/>
    <s v="Other"/>
    <s v="Bachelor"/>
    <x v="2"/>
    <s v="Digital Marketer"/>
    <n v="29"/>
    <x v="0"/>
    <s v="Medium"/>
    <s v="Yes"/>
    <n v="89025"/>
    <n v="88152"/>
    <x v="1"/>
    <n v="52"/>
    <x v="1"/>
    <n v="8"/>
    <n v="34.729999999999997"/>
    <n v="-873"/>
    <n v="-0.9806234203875317"/>
    <s v="Expert"/>
    <s v="Medium Impact"/>
  </r>
  <r>
    <s v="E0783"/>
    <n v="34"/>
    <s v="Male"/>
    <s v="Master"/>
    <x v="1"/>
    <s v="Machine Operator"/>
    <n v="12"/>
    <x v="2"/>
    <s v="Medium"/>
    <s v="No"/>
    <n v="44678"/>
    <n v="44248"/>
    <x v="1"/>
    <n v="51"/>
    <x v="1"/>
    <n v="6"/>
    <n v="34.72"/>
    <n v="-430"/>
    <n v="-0.96244236536998073"/>
    <s v="Intermediate"/>
    <s v="Medium Impact"/>
  </r>
  <r>
    <s v="E0139"/>
    <n v="29"/>
    <s v="Other"/>
    <s v="Master"/>
    <x v="1"/>
    <s v="Machine Operator"/>
    <n v="6"/>
    <x v="2"/>
    <s v="High"/>
    <s v="Yes"/>
    <n v="106077"/>
    <n v="124000"/>
    <x v="2"/>
    <n v="42"/>
    <x v="1"/>
    <n v="8"/>
    <n v="34.71"/>
    <n v="17923"/>
    <n v="16.896216899045033"/>
    <s v="Intermediate"/>
    <s v="High Impact"/>
  </r>
  <r>
    <s v="E1581"/>
    <n v="31"/>
    <s v="Other"/>
    <s v="Master"/>
    <x v="2"/>
    <s v="Digital Marketer"/>
    <n v="5"/>
    <x v="2"/>
    <s v="Low"/>
    <s v="Yes"/>
    <n v="52488"/>
    <n v="56196"/>
    <x v="0"/>
    <n v="38"/>
    <x v="0"/>
    <n v="4"/>
    <n v="34.65"/>
    <n v="3708"/>
    <n v="7.0644718792866952"/>
    <s v="Intermediate"/>
    <s v="Low Impact"/>
  </r>
  <r>
    <s v="E0100"/>
    <n v="55"/>
    <s v="Male"/>
    <s v="High School"/>
    <x v="5"/>
    <s v="Teacher"/>
    <n v="30"/>
    <x v="2"/>
    <s v="Low"/>
    <s v="Yes"/>
    <n v="83413"/>
    <n v="89297"/>
    <x v="0"/>
    <n v="44"/>
    <x v="0"/>
    <n v="5"/>
    <n v="34.630000000000003"/>
    <n v="5884"/>
    <n v="7.0540563221560184"/>
    <s v="Expert"/>
    <s v="Low Impact"/>
  </r>
  <r>
    <s v="E1734"/>
    <n v="45"/>
    <s v="Male"/>
    <s v="High School"/>
    <x v="0"/>
    <s v="Software Engineer"/>
    <n v="20"/>
    <x v="1"/>
    <s v="High"/>
    <s v="Yes"/>
    <n v="39638"/>
    <n v="39384"/>
    <x v="0"/>
    <n v="53"/>
    <x v="1"/>
    <n v="8"/>
    <n v="34.590000000000003"/>
    <n v="-254"/>
    <n v="-0.64079923305918562"/>
    <s v="Expert"/>
    <s v="Low Impact"/>
  </r>
  <r>
    <s v="E0929"/>
    <n v="27"/>
    <s v="Male"/>
    <s v="Master"/>
    <x v="0"/>
    <s v="Software Engineer"/>
    <n v="3"/>
    <x v="1"/>
    <s v="Low"/>
    <s v="No"/>
    <n v="87716"/>
    <n v="93966"/>
    <x v="0"/>
    <n v="51"/>
    <x v="0"/>
    <n v="7"/>
    <n v="34.58"/>
    <n v="6250"/>
    <n v="7.1252679100734184"/>
    <s v="Beginner"/>
    <s v="Low Impact"/>
  </r>
  <r>
    <s v="E0138"/>
    <n v="47"/>
    <s v="Male"/>
    <s v="Bachelor"/>
    <x v="1"/>
    <s v="Machine Operator"/>
    <n v="23"/>
    <x v="2"/>
    <s v="Medium"/>
    <s v="No"/>
    <n v="101315"/>
    <n v="92091"/>
    <x v="1"/>
    <n v="40"/>
    <x v="1"/>
    <n v="8"/>
    <n v="34.51"/>
    <n v="-9224"/>
    <n v="-9.1042787346394913"/>
    <s v="Expert"/>
    <s v="Medium Impact"/>
  </r>
  <r>
    <s v="E0025"/>
    <n v="23"/>
    <s v="Female"/>
    <s v="High School"/>
    <x v="3"/>
    <s v="Accountant"/>
    <n v="0"/>
    <x v="1"/>
    <s v="High"/>
    <s v="No"/>
    <n v="30854"/>
    <n v="30347"/>
    <x v="0"/>
    <n v="53"/>
    <x v="1"/>
    <n v="8"/>
    <n v="34.5"/>
    <n v="-507"/>
    <n v="-1.6432229208530498"/>
    <s v="Beginner"/>
    <s v="Low Impact"/>
  </r>
  <r>
    <s v="E1722"/>
    <n v="37"/>
    <s v="Female"/>
    <s v="Master"/>
    <x v="1"/>
    <s v="Quality Inspector"/>
    <n v="12"/>
    <x v="2"/>
    <s v="Low"/>
    <s v="No"/>
    <n v="41231"/>
    <n v="41102"/>
    <x v="0"/>
    <n v="40"/>
    <x v="1"/>
    <n v="5"/>
    <n v="34.49"/>
    <n v="-129"/>
    <n v="-0.31287138318255681"/>
    <s v="Intermediate"/>
    <s v="Low Impact"/>
  </r>
  <r>
    <s v="E0489"/>
    <n v="27"/>
    <s v="Male"/>
    <s v="High School"/>
    <x v="0"/>
    <s v="Data Analyst"/>
    <n v="2"/>
    <x v="2"/>
    <s v="High"/>
    <s v="Yes"/>
    <n v="96155"/>
    <n v="122651"/>
    <x v="1"/>
    <n v="36"/>
    <x v="0"/>
    <n v="3"/>
    <n v="34.47"/>
    <n v="26496"/>
    <n v="27.555509333887997"/>
    <s v="Beginner"/>
    <s v="Medium Impact"/>
  </r>
  <r>
    <s v="E1492"/>
    <n v="49"/>
    <s v="Female"/>
    <s v="High School"/>
    <x v="1"/>
    <s v="Quality Inspector"/>
    <n v="25"/>
    <x v="0"/>
    <s v="Medium"/>
    <s v="No"/>
    <n v="112533"/>
    <n v="113707"/>
    <x v="1"/>
    <n v="47"/>
    <x v="1"/>
    <n v="5"/>
    <n v="34.43"/>
    <n v="1174"/>
    <n v="1.0432495356917526"/>
    <s v="Expert"/>
    <s v="Medium Impact"/>
  </r>
  <r>
    <s v="E0525"/>
    <n v="35"/>
    <s v="Female"/>
    <s v="Master"/>
    <x v="0"/>
    <s v="Software Engineer"/>
    <n v="11"/>
    <x v="1"/>
    <s v="Medium"/>
    <s v="No"/>
    <n v="41889"/>
    <n v="48166"/>
    <x v="1"/>
    <n v="52"/>
    <x v="1"/>
    <n v="6"/>
    <n v="34.369999999999997"/>
    <n v="6277"/>
    <n v="14.98484088901621"/>
    <s v="Intermediate"/>
    <s v="Medium Impact"/>
  </r>
  <r>
    <s v="E0071"/>
    <n v="40"/>
    <s v="Female"/>
    <s v="PhD"/>
    <x v="0"/>
    <s v="Data Analyst"/>
    <n v="18"/>
    <x v="2"/>
    <s v="Low"/>
    <s v="No"/>
    <n v="109459"/>
    <n v="88278"/>
    <x v="0"/>
    <n v="46"/>
    <x v="1"/>
    <n v="3"/>
    <n v="34.32"/>
    <n v="-21181"/>
    <n v="-19.350624434719847"/>
    <s v="Expert"/>
    <s v="Low Impact"/>
  </r>
  <r>
    <s v="E1991"/>
    <n v="25"/>
    <s v="Female"/>
    <s v="High School"/>
    <x v="3"/>
    <s v="Investment Analyst"/>
    <n v="0"/>
    <x v="1"/>
    <s v="Medium"/>
    <s v="No"/>
    <n v="119627"/>
    <n v="118687"/>
    <x v="1"/>
    <n v="35"/>
    <x v="0"/>
    <n v="6"/>
    <n v="34.31"/>
    <n v="-940"/>
    <n v="-0.78577578640273515"/>
    <s v="Beginner"/>
    <s v="Medium Impact"/>
  </r>
  <r>
    <s v="E1508"/>
    <n v="49"/>
    <s v="Other"/>
    <s v="Master"/>
    <x v="3"/>
    <s v="Investment Analyst"/>
    <n v="27"/>
    <x v="1"/>
    <s v="Low"/>
    <s v="Yes"/>
    <n v="45003"/>
    <n v="45887"/>
    <x v="0"/>
    <n v="47"/>
    <x v="0"/>
    <n v="7"/>
    <n v="34.26"/>
    <n v="884"/>
    <n v="1.9643134902117638"/>
    <s v="Expert"/>
    <s v="Low Impact"/>
  </r>
  <r>
    <s v="E1189"/>
    <n v="34"/>
    <s v="Male"/>
    <s v="Bachelor"/>
    <x v="0"/>
    <s v="DevOps Engineer"/>
    <n v="8"/>
    <x v="0"/>
    <s v="High"/>
    <s v="Yes"/>
    <n v="86235"/>
    <n v="93804"/>
    <x v="0"/>
    <n v="52"/>
    <x v="0"/>
    <n v="5"/>
    <n v="34.25"/>
    <n v="7569"/>
    <n v="8.7771786397634379"/>
    <s v="Intermediate"/>
    <s v="Low Impact"/>
  </r>
  <r>
    <s v="E0348"/>
    <n v="57"/>
    <s v="Other"/>
    <s v="PhD"/>
    <x v="0"/>
    <s v="Data Analyst"/>
    <n v="34"/>
    <x v="2"/>
    <s v="Low"/>
    <s v="No"/>
    <n v="49715"/>
    <n v="41258"/>
    <x v="0"/>
    <n v="37"/>
    <x v="1"/>
    <n v="3"/>
    <n v="34.229999999999997"/>
    <n v="-8457"/>
    <n v="-17.010962486171174"/>
    <s v="Expert"/>
    <s v="Low Impact"/>
  </r>
  <r>
    <s v="E0803"/>
    <n v="40"/>
    <s v="Male"/>
    <s v="High School"/>
    <x v="2"/>
    <s v="SEO Specialist"/>
    <n v="15"/>
    <x v="2"/>
    <s v="High"/>
    <s v="No"/>
    <n v="61186"/>
    <n v="77876"/>
    <x v="2"/>
    <n v="42"/>
    <x v="1"/>
    <n v="5"/>
    <n v="34.19"/>
    <n v="16690"/>
    <n v="27.277481776877067"/>
    <s v="Expert"/>
    <s v="High Impact"/>
  </r>
  <r>
    <s v="E1221"/>
    <n v="23"/>
    <s v="Other"/>
    <s v="PhD"/>
    <x v="3"/>
    <s v="Accountant"/>
    <n v="0"/>
    <x v="0"/>
    <s v="Low"/>
    <s v="No"/>
    <n v="89860"/>
    <n v="85857"/>
    <x v="0"/>
    <n v="53"/>
    <x v="0"/>
    <n v="6"/>
    <n v="34.15"/>
    <n v="-4003"/>
    <n v="-4.4547073225016689"/>
    <s v="Beginner"/>
    <s v="Low Impact"/>
  </r>
  <r>
    <s v="E0498"/>
    <n v="48"/>
    <s v="Female"/>
    <s v="Bachelor"/>
    <x v="2"/>
    <s v="Digital Marketer"/>
    <n v="25"/>
    <x v="1"/>
    <s v="Low"/>
    <s v="Yes"/>
    <n v="93811"/>
    <n v="108274"/>
    <x v="0"/>
    <n v="47"/>
    <x v="0"/>
    <n v="6"/>
    <n v="34.130000000000003"/>
    <n v="14463"/>
    <n v="15.417168562322114"/>
    <s v="Expert"/>
    <s v="Low Impact"/>
  </r>
  <r>
    <s v="E1136"/>
    <n v="59"/>
    <s v="Female"/>
    <s v="Master"/>
    <x v="6"/>
    <s v="Nurse"/>
    <n v="33"/>
    <x v="1"/>
    <s v="Medium"/>
    <s v="Yes"/>
    <n v="36372"/>
    <n v="38786"/>
    <x v="1"/>
    <n v="40"/>
    <x v="1"/>
    <n v="7"/>
    <n v="34.1"/>
    <n v="2414"/>
    <n v="6.6369734960958979"/>
    <s v="Expert"/>
    <s v="Medium Impact"/>
  </r>
  <r>
    <s v="E1749"/>
    <n v="34"/>
    <s v="Other"/>
    <s v="High School"/>
    <x v="4"/>
    <s v="Sales Associate"/>
    <n v="9"/>
    <x v="2"/>
    <s v="Medium"/>
    <s v="No"/>
    <n v="110140"/>
    <n v="137206"/>
    <x v="1"/>
    <n v="53"/>
    <x v="0"/>
    <n v="7"/>
    <n v="33.99"/>
    <n v="27066"/>
    <n v="24.574178318503723"/>
    <s v="Intermediate"/>
    <s v="Medium Impact"/>
  </r>
  <r>
    <s v="E1603"/>
    <n v="25"/>
    <s v="Other"/>
    <s v="Bachelor"/>
    <x v="1"/>
    <s v="Quality Inspector"/>
    <n v="3"/>
    <x v="1"/>
    <s v="High"/>
    <s v="Yes"/>
    <n v="40956"/>
    <n v="40133"/>
    <x v="0"/>
    <n v="53"/>
    <x v="1"/>
    <n v="5"/>
    <n v="33.97"/>
    <n v="-823"/>
    <n v="-2.0094735814044342"/>
    <s v="Beginner"/>
    <s v="Low Impact"/>
  </r>
  <r>
    <s v="E0725"/>
    <n v="44"/>
    <s v="Other"/>
    <s v="Master"/>
    <x v="6"/>
    <s v="Doctor"/>
    <n v="18"/>
    <x v="2"/>
    <s v="High"/>
    <s v="Yes"/>
    <n v="118314"/>
    <n v="153117"/>
    <x v="1"/>
    <n v="40"/>
    <x v="0"/>
    <n v="9"/>
    <n v="33.93"/>
    <n v="34803"/>
    <n v="29.415791875855774"/>
    <s v="Expert"/>
    <s v="Medium Impact"/>
  </r>
  <r>
    <s v="E1523"/>
    <n v="46"/>
    <s v="Male"/>
    <s v="Master"/>
    <x v="2"/>
    <s v="Digital Marketer"/>
    <n v="20"/>
    <x v="1"/>
    <s v="Medium"/>
    <s v="No"/>
    <n v="81357"/>
    <n v="85990"/>
    <x v="1"/>
    <n v="45"/>
    <x v="1"/>
    <n v="8"/>
    <n v="33.92"/>
    <n v="4633"/>
    <n v="5.6946544243273474"/>
    <s v="Expert"/>
    <s v="Medium Impact"/>
  </r>
  <r>
    <s v="E1474"/>
    <n v="33"/>
    <s v="Male"/>
    <s v="Master"/>
    <x v="3"/>
    <s v="Accountant"/>
    <n v="8"/>
    <x v="0"/>
    <s v="Medium"/>
    <s v="No"/>
    <n v="32419"/>
    <n v="34684"/>
    <x v="1"/>
    <n v="35"/>
    <x v="0"/>
    <n v="6"/>
    <n v="33.92"/>
    <n v="2265"/>
    <n v="6.986643634905457"/>
    <s v="Intermediate"/>
    <s v="Medium Impact"/>
  </r>
  <r>
    <s v="E0269"/>
    <n v="42"/>
    <s v="Female"/>
    <s v="Master"/>
    <x v="1"/>
    <s v="Supervisor"/>
    <n v="18"/>
    <x v="0"/>
    <s v="Low"/>
    <s v="Yes"/>
    <n v="99967"/>
    <n v="104677"/>
    <x v="0"/>
    <n v="38"/>
    <x v="0"/>
    <n v="5"/>
    <n v="33.880000000000003"/>
    <n v="4710"/>
    <n v="4.7115548130883189"/>
    <s v="Expert"/>
    <s v="Low Impact"/>
  </r>
  <r>
    <s v="E1354"/>
    <n v="31"/>
    <s v="Female"/>
    <s v="Bachelor"/>
    <x v="2"/>
    <s v="Content Creator"/>
    <n v="7"/>
    <x v="1"/>
    <s v="High"/>
    <s v="No"/>
    <n v="51604"/>
    <n v="58879"/>
    <x v="0"/>
    <n v="47"/>
    <x v="0"/>
    <n v="4"/>
    <n v="33.840000000000003"/>
    <n v="7275"/>
    <n v="14.097744360902256"/>
    <s v="Intermediate"/>
    <s v="Low Impact"/>
  </r>
  <r>
    <s v="E0802"/>
    <n v="40"/>
    <s v="Male"/>
    <s v="Bachelor"/>
    <x v="2"/>
    <s v="Content Creator"/>
    <n v="18"/>
    <x v="2"/>
    <s v="High"/>
    <s v="No"/>
    <n v="90430"/>
    <n v="113106"/>
    <x v="1"/>
    <n v="48"/>
    <x v="1"/>
    <n v="3"/>
    <n v="33.82"/>
    <n v="22676"/>
    <n v="25.075749198274909"/>
    <s v="Expert"/>
    <s v="Medium Impact"/>
  </r>
  <r>
    <s v="E0117"/>
    <n v="25"/>
    <s v="Male"/>
    <s v="High School"/>
    <x v="5"/>
    <s v="Administrator"/>
    <n v="1"/>
    <x v="1"/>
    <s v="High"/>
    <s v="No"/>
    <n v="106125"/>
    <n v="101032"/>
    <x v="0"/>
    <n v="37"/>
    <x v="0"/>
    <n v="5"/>
    <n v="33.81"/>
    <n v="-5093"/>
    <n v="-4.7990577149587752"/>
    <s v="Beginner"/>
    <s v="Low Impact"/>
  </r>
  <r>
    <s v="E0118"/>
    <n v="52"/>
    <s v="Other"/>
    <s v="Master"/>
    <x v="0"/>
    <s v="Software Engineer"/>
    <n v="26"/>
    <x v="2"/>
    <s v="High"/>
    <s v="No"/>
    <n v="106323"/>
    <n v="148677"/>
    <x v="2"/>
    <n v="54"/>
    <x v="0"/>
    <n v="6"/>
    <n v="33.799999999999997"/>
    <n v="42354"/>
    <n v="39.835219096526622"/>
    <s v="Expert"/>
    <s v="High Impact"/>
  </r>
  <r>
    <s v="E1528"/>
    <n v="52"/>
    <s v="Female"/>
    <s v="PhD"/>
    <x v="5"/>
    <s v="Administrator"/>
    <n v="26"/>
    <x v="0"/>
    <s v="High"/>
    <s v="No"/>
    <n v="33810"/>
    <n v="35508"/>
    <x v="0"/>
    <n v="51"/>
    <x v="0"/>
    <n v="8"/>
    <n v="33.75"/>
    <n v="1698"/>
    <n v="5.0221827861579413"/>
    <s v="Expert"/>
    <s v="Low Impact"/>
  </r>
  <r>
    <s v="E1552"/>
    <n v="55"/>
    <s v="Female"/>
    <s v="Master"/>
    <x v="3"/>
    <s v="Auditor"/>
    <n v="32"/>
    <x v="0"/>
    <s v="High"/>
    <s v="Yes"/>
    <n v="80355"/>
    <n v="77398"/>
    <x v="0"/>
    <n v="42"/>
    <x v="1"/>
    <n v="3"/>
    <n v="33.61"/>
    <n v="-2957"/>
    <n v="-3.6799203534316467"/>
    <s v="Expert"/>
    <s v="Low Impact"/>
  </r>
  <r>
    <s v="E1088"/>
    <n v="46"/>
    <s v="Male"/>
    <s v="High School"/>
    <x v="1"/>
    <s v="Quality Inspector"/>
    <n v="21"/>
    <x v="1"/>
    <s v="Medium"/>
    <s v="No"/>
    <n v="95131"/>
    <n v="101509"/>
    <x v="1"/>
    <n v="49"/>
    <x v="0"/>
    <n v="5"/>
    <n v="33.51"/>
    <n v="6378"/>
    <n v="6.7044391418149702"/>
    <s v="Expert"/>
    <s v="Medium Impact"/>
  </r>
  <r>
    <s v="E1242"/>
    <n v="53"/>
    <s v="Other"/>
    <s v="High School"/>
    <x v="5"/>
    <s v="Administrator"/>
    <n v="31"/>
    <x v="1"/>
    <s v="Medium"/>
    <s v="Yes"/>
    <n v="113106"/>
    <n v="123040"/>
    <x v="1"/>
    <n v="47"/>
    <x v="0"/>
    <n v="7"/>
    <n v="33.47"/>
    <n v="9934"/>
    <n v="8.7829116050430578"/>
    <s v="Expert"/>
    <s v="Medium Impact"/>
  </r>
  <r>
    <s v="E1912"/>
    <n v="53"/>
    <s v="Male"/>
    <s v="High School"/>
    <x v="1"/>
    <s v="Machine Operator"/>
    <n v="29"/>
    <x v="1"/>
    <s v="High"/>
    <s v="No"/>
    <n v="107582"/>
    <n v="113537"/>
    <x v="0"/>
    <n v="53"/>
    <x v="1"/>
    <n v="3"/>
    <n v="33.44"/>
    <n v="5955"/>
    <n v="5.535312598761875"/>
    <s v="Expert"/>
    <s v="Low Impact"/>
  </r>
  <r>
    <s v="E0374"/>
    <n v="24"/>
    <s v="Other"/>
    <s v="Master"/>
    <x v="4"/>
    <s v="Store Manager"/>
    <n v="2"/>
    <x v="0"/>
    <s v="Low"/>
    <s v="Yes"/>
    <n v="56819"/>
    <n v="60108"/>
    <x v="0"/>
    <n v="39"/>
    <x v="1"/>
    <n v="5"/>
    <n v="33.42"/>
    <n v="3289"/>
    <n v="5.7885566447843146"/>
    <s v="Beginner"/>
    <s v="Low Impact"/>
  </r>
  <r>
    <s v="E0418"/>
    <n v="49"/>
    <s v="Male"/>
    <s v="High School"/>
    <x v="1"/>
    <s v="Quality Inspector"/>
    <n v="23"/>
    <x v="2"/>
    <s v="Low"/>
    <s v="No"/>
    <n v="111926"/>
    <n v="99116"/>
    <x v="0"/>
    <n v="35"/>
    <x v="1"/>
    <n v="9"/>
    <n v="33.409999999999997"/>
    <n v="-12810"/>
    <n v="-11.445061915908726"/>
    <s v="Expert"/>
    <s v="Low Impact"/>
  </r>
  <r>
    <s v="E1885"/>
    <n v="26"/>
    <s v="Male"/>
    <s v="Master"/>
    <x v="4"/>
    <s v="Sales Associate"/>
    <n v="1"/>
    <x v="2"/>
    <s v="Medium"/>
    <s v="No"/>
    <n v="57215"/>
    <n v="65937"/>
    <x v="1"/>
    <n v="36"/>
    <x v="1"/>
    <n v="9"/>
    <n v="33.35"/>
    <n v="8722"/>
    <n v="15.244254129161932"/>
    <s v="Beginner"/>
    <s v="Medium Impact"/>
  </r>
  <r>
    <s v="E1172"/>
    <n v="31"/>
    <s v="Female"/>
    <s v="Bachelor"/>
    <x v="5"/>
    <s v="Administrator"/>
    <n v="6"/>
    <x v="1"/>
    <s v="Low"/>
    <s v="Yes"/>
    <n v="107400"/>
    <n v="102391"/>
    <x v="0"/>
    <n v="36"/>
    <x v="1"/>
    <n v="3"/>
    <n v="33.31"/>
    <n v="-5009"/>
    <n v="-4.6638733705772806"/>
    <s v="Intermediate"/>
    <s v="Low Impact"/>
  </r>
  <r>
    <s v="E1137"/>
    <n v="47"/>
    <s v="Female"/>
    <s v="High School"/>
    <x v="1"/>
    <s v="Machine Operator"/>
    <n v="25"/>
    <x v="2"/>
    <s v="High"/>
    <s v="Yes"/>
    <n v="99586"/>
    <n v="119661"/>
    <x v="1"/>
    <n v="41"/>
    <x v="1"/>
    <n v="4"/>
    <n v="33.299999999999997"/>
    <n v="20075"/>
    <n v="20.158456007872594"/>
    <s v="Expert"/>
    <s v="Medium Impact"/>
  </r>
  <r>
    <s v="E1764"/>
    <n v="50"/>
    <s v="Female"/>
    <s v="High School"/>
    <x v="5"/>
    <s v="Administrator"/>
    <n v="25"/>
    <x v="1"/>
    <s v="Medium"/>
    <s v="No"/>
    <n v="42877"/>
    <n v="50090"/>
    <x v="1"/>
    <n v="54"/>
    <x v="0"/>
    <n v="6"/>
    <n v="33.29"/>
    <n v="7213"/>
    <n v="16.822538890314153"/>
    <s v="Expert"/>
    <s v="Medium Impact"/>
  </r>
  <r>
    <s v="E1437"/>
    <n v="35"/>
    <s v="Other"/>
    <s v="Master"/>
    <x v="3"/>
    <s v="Investment Analyst"/>
    <n v="11"/>
    <x v="2"/>
    <s v="Low"/>
    <s v="Yes"/>
    <n v="50422"/>
    <n v="44384"/>
    <x v="0"/>
    <n v="38"/>
    <x v="0"/>
    <n v="4"/>
    <n v="33.14"/>
    <n v="-6038"/>
    <n v="-11.974931577486018"/>
    <s v="Intermediate"/>
    <s v="Low Impact"/>
  </r>
  <r>
    <s v="E1375"/>
    <n v="59"/>
    <s v="Male"/>
    <s v="Bachelor"/>
    <x v="6"/>
    <s v="Technician"/>
    <n v="37"/>
    <x v="0"/>
    <s v="Medium"/>
    <s v="Yes"/>
    <n v="31995"/>
    <n v="31631"/>
    <x v="1"/>
    <n v="44"/>
    <x v="1"/>
    <n v="3"/>
    <n v="33.1"/>
    <n v="-364"/>
    <n v="-1.137677762150336"/>
    <s v="Expert"/>
    <s v="Medium Impact"/>
  </r>
  <r>
    <s v="E0020"/>
    <n v="27"/>
    <s v="Female"/>
    <s v="PhD"/>
    <x v="6"/>
    <s v="Nurse"/>
    <n v="2"/>
    <x v="1"/>
    <s v="Low"/>
    <s v="No"/>
    <n v="99163"/>
    <n v="101637"/>
    <x v="0"/>
    <n v="41"/>
    <x v="0"/>
    <n v="8"/>
    <n v="33"/>
    <n v="2474"/>
    <n v="2.4948821637102547"/>
    <s v="Beginner"/>
    <s v="Low Impact"/>
  </r>
  <r>
    <s v="E1515"/>
    <n v="40"/>
    <s v="Female"/>
    <s v="Master"/>
    <x v="4"/>
    <s v="Sales Associate"/>
    <n v="18"/>
    <x v="0"/>
    <s v="Low"/>
    <s v="No"/>
    <n v="46427"/>
    <n v="48921"/>
    <x v="0"/>
    <n v="38"/>
    <x v="1"/>
    <n v="3"/>
    <n v="33"/>
    <n v="2494"/>
    <n v="5.3718741249703834"/>
    <s v="Expert"/>
    <s v="Low Impact"/>
  </r>
  <r>
    <s v="E0508"/>
    <n v="31"/>
    <s v="Female"/>
    <s v="High School"/>
    <x v="1"/>
    <s v="Supervisor"/>
    <n v="5"/>
    <x v="1"/>
    <s v="Low"/>
    <s v="Yes"/>
    <n v="107116"/>
    <n v="110462"/>
    <x v="0"/>
    <n v="49"/>
    <x v="1"/>
    <n v="6"/>
    <n v="32.96"/>
    <n v="3346"/>
    <n v="3.123716344897121"/>
    <s v="Intermediate"/>
    <s v="Low Impact"/>
  </r>
  <r>
    <s v="E0373"/>
    <n v="42"/>
    <s v="Other"/>
    <s v="Master"/>
    <x v="2"/>
    <s v="Content Creator"/>
    <n v="16"/>
    <x v="0"/>
    <s v="Low"/>
    <s v="No"/>
    <n v="86481"/>
    <n v="84309"/>
    <x v="0"/>
    <n v="39"/>
    <x v="0"/>
    <n v="3"/>
    <n v="32.92"/>
    <n v="-2172"/>
    <n v="-2.5115343254587712"/>
    <s v="Expert"/>
    <s v="Low Impact"/>
  </r>
  <r>
    <s v="E1145"/>
    <n v="50"/>
    <s v="Female"/>
    <s v="PhD"/>
    <x v="5"/>
    <s v="Professor"/>
    <n v="25"/>
    <x v="1"/>
    <s v="Low"/>
    <s v="Yes"/>
    <n v="96055"/>
    <n v="102843"/>
    <x v="0"/>
    <n v="35"/>
    <x v="0"/>
    <n v="4"/>
    <n v="32.9"/>
    <n v="6788"/>
    <n v="7.0667846546249535"/>
    <s v="Expert"/>
    <s v="Low Impact"/>
  </r>
  <r>
    <s v="E1236"/>
    <n v="52"/>
    <s v="Other"/>
    <s v="PhD"/>
    <x v="0"/>
    <s v="Software Engineer"/>
    <n v="29"/>
    <x v="0"/>
    <s v="Medium"/>
    <s v="No"/>
    <n v="62872"/>
    <n v="62036"/>
    <x v="1"/>
    <n v="41"/>
    <x v="0"/>
    <n v="6"/>
    <n v="32.89"/>
    <n v="-836"/>
    <n v="-1.32968571065021"/>
    <s v="Expert"/>
    <s v="Medium Impact"/>
  </r>
  <r>
    <s v="E1096"/>
    <n v="36"/>
    <s v="Other"/>
    <s v="High School"/>
    <x v="3"/>
    <s v="Auditor"/>
    <n v="10"/>
    <x v="2"/>
    <s v="Medium"/>
    <s v="No"/>
    <n v="76389"/>
    <n v="100899"/>
    <x v="1"/>
    <n v="48"/>
    <x v="1"/>
    <n v="4"/>
    <n v="32.880000000000003"/>
    <n v="24510"/>
    <n v="32.085771511605074"/>
    <s v="Intermediate"/>
    <s v="Medium Impact"/>
  </r>
  <r>
    <s v="E1338"/>
    <n v="59"/>
    <s v="Other"/>
    <s v="Bachelor"/>
    <x v="6"/>
    <s v="Nurse"/>
    <n v="37"/>
    <x v="0"/>
    <s v="High"/>
    <s v="No"/>
    <n v="39628"/>
    <n v="38076"/>
    <x v="0"/>
    <n v="53"/>
    <x v="0"/>
    <n v="5"/>
    <n v="32.869999999999997"/>
    <n v="-1552"/>
    <n v="-3.9164227314020388"/>
    <s v="Expert"/>
    <s v="Low Impact"/>
  </r>
  <r>
    <s v="E0778"/>
    <n v="29"/>
    <s v="Male"/>
    <s v="PhD"/>
    <x v="6"/>
    <s v="Doctor"/>
    <n v="4"/>
    <x v="1"/>
    <s v="Medium"/>
    <s v="Yes"/>
    <n v="72422"/>
    <n v="85804"/>
    <x v="1"/>
    <n v="42"/>
    <x v="0"/>
    <n v="7"/>
    <n v="32.78"/>
    <n v="13382"/>
    <n v="18.477810610035625"/>
    <s v="Beginner"/>
    <s v="Medium Impact"/>
  </r>
  <r>
    <s v="E0970"/>
    <n v="48"/>
    <s v="Female"/>
    <s v="Bachelor"/>
    <x v="0"/>
    <s v="DevOps Engineer"/>
    <n v="23"/>
    <x v="0"/>
    <s v="High"/>
    <s v="Yes"/>
    <n v="34042"/>
    <n v="35817"/>
    <x v="0"/>
    <n v="37"/>
    <x v="0"/>
    <n v="5"/>
    <n v="32.76"/>
    <n v="1775"/>
    <n v="5.214147229892486"/>
    <s v="Expert"/>
    <s v="Low Impact"/>
  </r>
  <r>
    <s v="E0839"/>
    <n v="44"/>
    <s v="Male"/>
    <s v="Bachelor"/>
    <x v="2"/>
    <s v="SEO Specialist"/>
    <n v="19"/>
    <x v="1"/>
    <s v="Low"/>
    <s v="No"/>
    <n v="49782"/>
    <n v="52326"/>
    <x v="0"/>
    <n v="47"/>
    <x v="0"/>
    <n v="6"/>
    <n v="32.700000000000003"/>
    <n v="2544"/>
    <n v="5.1102808243943594"/>
    <s v="Expert"/>
    <s v="Low Impact"/>
  </r>
  <r>
    <s v="E0527"/>
    <n v="33"/>
    <s v="Male"/>
    <s v="PhD"/>
    <x v="1"/>
    <s v="Quality Inspector"/>
    <n v="11"/>
    <x v="2"/>
    <s v="Medium"/>
    <s v="Yes"/>
    <n v="49552"/>
    <n v="52442"/>
    <x v="1"/>
    <n v="39"/>
    <x v="0"/>
    <n v="8"/>
    <n v="32.68"/>
    <n v="2890"/>
    <n v="5.832257022925412"/>
    <s v="Intermediate"/>
    <s v="Medium Impact"/>
  </r>
  <r>
    <s v="E0262"/>
    <n v="59"/>
    <s v="Other"/>
    <s v="Master"/>
    <x v="4"/>
    <s v="Store Manager"/>
    <n v="35"/>
    <x v="1"/>
    <s v="Low"/>
    <s v="Yes"/>
    <n v="94965"/>
    <n v="111148"/>
    <x v="0"/>
    <n v="53"/>
    <x v="0"/>
    <n v="7"/>
    <n v="32.67"/>
    <n v="16183"/>
    <n v="17.041015110830308"/>
    <s v="Expert"/>
    <s v="Low Impact"/>
  </r>
  <r>
    <s v="E0433"/>
    <n v="49"/>
    <s v="Male"/>
    <s v="Bachelor"/>
    <x v="4"/>
    <s v="Store Manager"/>
    <n v="23"/>
    <x v="0"/>
    <s v="High"/>
    <s v="Yes"/>
    <n v="31207"/>
    <n v="30937"/>
    <x v="0"/>
    <n v="46"/>
    <x v="1"/>
    <n v="8"/>
    <n v="32.630000000000003"/>
    <n v="-270"/>
    <n v="-0.86519050213093218"/>
    <s v="Expert"/>
    <s v="Low Impact"/>
  </r>
  <r>
    <s v="E0621"/>
    <n v="31"/>
    <s v="Other"/>
    <s v="Master"/>
    <x v="6"/>
    <s v="Doctor"/>
    <n v="7"/>
    <x v="2"/>
    <s v="High"/>
    <s v="Yes"/>
    <n v="115103"/>
    <n v="104115"/>
    <x v="2"/>
    <n v="35"/>
    <x v="0"/>
    <n v="9"/>
    <n v="32.520000000000003"/>
    <n v="-10988"/>
    <n v="-9.5462325048000487"/>
    <s v="Intermediate"/>
    <s v="High Impact"/>
  </r>
  <r>
    <s v="E1915"/>
    <n v="50"/>
    <s v="Male"/>
    <s v="Master"/>
    <x v="6"/>
    <s v="Nurse"/>
    <n v="27"/>
    <x v="0"/>
    <s v="Low"/>
    <s v="No"/>
    <n v="119976"/>
    <n v="118542"/>
    <x v="0"/>
    <n v="54"/>
    <x v="0"/>
    <n v="7"/>
    <n v="32.5"/>
    <n v="-1434"/>
    <n v="-1.1952390478095618"/>
    <s v="Expert"/>
    <s v="Low Impact"/>
  </r>
  <r>
    <s v="E1004"/>
    <n v="53"/>
    <s v="Other"/>
    <s v="Master"/>
    <x v="3"/>
    <s v="Auditor"/>
    <n v="30"/>
    <x v="1"/>
    <s v="Medium"/>
    <s v="No"/>
    <n v="57818"/>
    <n v="55067"/>
    <x v="1"/>
    <n v="43"/>
    <x v="0"/>
    <n v="3"/>
    <n v="32.479999999999997"/>
    <n v="-2751"/>
    <n v="-4.758033830295064"/>
    <s v="Expert"/>
    <s v="Medium Impact"/>
  </r>
  <r>
    <s v="E1771"/>
    <n v="38"/>
    <s v="Male"/>
    <s v="Bachelor"/>
    <x v="3"/>
    <s v="Accountant"/>
    <n v="13"/>
    <x v="2"/>
    <s v="Medium"/>
    <s v="No"/>
    <n v="37970"/>
    <n v="49720"/>
    <x v="1"/>
    <n v="43"/>
    <x v="1"/>
    <n v="7"/>
    <n v="32.479999999999997"/>
    <n v="11750"/>
    <n v="30.945483276270743"/>
    <s v="Intermediate"/>
    <s v="Medium Impact"/>
  </r>
  <r>
    <s v="E1954"/>
    <n v="39"/>
    <s v="Male"/>
    <s v="Bachelor"/>
    <x v="2"/>
    <s v="Digital Marketer"/>
    <n v="15"/>
    <x v="0"/>
    <s v="Medium"/>
    <s v="Yes"/>
    <n v="33333"/>
    <n v="32821"/>
    <x v="1"/>
    <n v="53"/>
    <x v="0"/>
    <n v="6"/>
    <n v="32.46"/>
    <n v="-512"/>
    <n v="-1.5360153601536015"/>
    <s v="Expert"/>
    <s v="Medium Impact"/>
  </r>
  <r>
    <s v="E0661"/>
    <n v="51"/>
    <s v="Female"/>
    <s v="PhD"/>
    <x v="1"/>
    <s v="Supervisor"/>
    <n v="27"/>
    <x v="1"/>
    <s v="Medium"/>
    <s v="Yes"/>
    <n v="48395"/>
    <n v="46794"/>
    <x v="1"/>
    <n v="47"/>
    <x v="1"/>
    <n v="5"/>
    <n v="32.39"/>
    <n v="-1601"/>
    <n v="-3.3081929951441262"/>
    <s v="Expert"/>
    <s v="Medium Impact"/>
  </r>
  <r>
    <s v="E1900"/>
    <n v="56"/>
    <s v="Other"/>
    <s v="High School"/>
    <x v="3"/>
    <s v="Investment Analyst"/>
    <n v="33"/>
    <x v="1"/>
    <s v="Low"/>
    <s v="No"/>
    <n v="109968"/>
    <n v="118009"/>
    <x v="0"/>
    <n v="54"/>
    <x v="0"/>
    <n v="9"/>
    <n v="32.380000000000003"/>
    <n v="8041"/>
    <n v="7.3121271642659673"/>
    <s v="Expert"/>
    <s v="Low Impact"/>
  </r>
  <r>
    <s v="E0657"/>
    <n v="44"/>
    <s v="Other"/>
    <s v="Bachelor"/>
    <x v="0"/>
    <s v="Software Engineer"/>
    <n v="19"/>
    <x v="0"/>
    <s v="Low"/>
    <s v="Yes"/>
    <n v="55105"/>
    <n v="53224"/>
    <x v="0"/>
    <n v="42"/>
    <x v="0"/>
    <n v="9"/>
    <n v="32.380000000000003"/>
    <n v="-1881"/>
    <n v="-3.4134833499682422"/>
    <s v="Expert"/>
    <s v="Low Impact"/>
  </r>
  <r>
    <s v="E0140"/>
    <n v="39"/>
    <s v="Other"/>
    <s v="Bachelor"/>
    <x v="0"/>
    <s v="DevOps Engineer"/>
    <n v="17"/>
    <x v="1"/>
    <s v="High"/>
    <s v="Yes"/>
    <n v="45328"/>
    <n v="41041"/>
    <x v="0"/>
    <n v="46"/>
    <x v="1"/>
    <n v="6"/>
    <n v="32.33"/>
    <n v="-4287"/>
    <n v="-9.4577303212142603"/>
    <s v="Expert"/>
    <s v="Low Impact"/>
  </r>
  <r>
    <s v="E0748"/>
    <n v="47"/>
    <s v="Male"/>
    <s v="Master"/>
    <x v="2"/>
    <s v="SEO Specialist"/>
    <n v="22"/>
    <x v="0"/>
    <s v="Medium"/>
    <s v="Yes"/>
    <n v="40310"/>
    <n v="41893"/>
    <x v="1"/>
    <n v="37"/>
    <x v="0"/>
    <n v="7"/>
    <n v="32.31"/>
    <n v="1583"/>
    <n v="3.927065244356239"/>
    <s v="Expert"/>
    <s v="Medium Impact"/>
  </r>
  <r>
    <s v="E0407"/>
    <n v="51"/>
    <s v="Female"/>
    <s v="High School"/>
    <x v="6"/>
    <s v="Nurse"/>
    <n v="25"/>
    <x v="1"/>
    <s v="High"/>
    <s v="Yes"/>
    <n v="96262"/>
    <n v="87807"/>
    <x v="0"/>
    <n v="52"/>
    <x v="0"/>
    <n v="4"/>
    <n v="32.299999999999997"/>
    <n v="-8455"/>
    <n v="-8.7833205210778917"/>
    <s v="Expert"/>
    <s v="Low Impact"/>
  </r>
  <r>
    <s v="E0260"/>
    <n v="27"/>
    <s v="Male"/>
    <s v="Master"/>
    <x v="0"/>
    <s v="DevOps Engineer"/>
    <n v="5"/>
    <x v="2"/>
    <s v="Low"/>
    <s v="No"/>
    <n v="90576"/>
    <n v="94574"/>
    <x v="0"/>
    <n v="43"/>
    <x v="0"/>
    <n v="7"/>
    <n v="32.25"/>
    <n v="3998"/>
    <n v="4.4139727963257371"/>
    <s v="Intermediate"/>
    <s v="Low Impact"/>
  </r>
  <r>
    <s v="E1910"/>
    <n v="51"/>
    <s v="Female"/>
    <s v="Master"/>
    <x v="5"/>
    <s v="Administrator"/>
    <n v="26"/>
    <x v="0"/>
    <s v="Low"/>
    <s v="No"/>
    <n v="114766"/>
    <n v="109768"/>
    <x v="0"/>
    <n v="39"/>
    <x v="1"/>
    <n v="8"/>
    <n v="32.200000000000003"/>
    <n v="-4998"/>
    <n v="-4.3549483296446683"/>
    <s v="Expert"/>
    <s v="Low Impact"/>
  </r>
  <r>
    <s v="E1977"/>
    <n v="35"/>
    <s v="Male"/>
    <s v="High School"/>
    <x v="4"/>
    <s v="Cashier"/>
    <n v="11"/>
    <x v="2"/>
    <s v="Low"/>
    <s v="No"/>
    <n v="107084"/>
    <n v="131157"/>
    <x v="0"/>
    <n v="36"/>
    <x v="1"/>
    <n v="4"/>
    <n v="32.11"/>
    <n v="24073"/>
    <n v="22.480482611781405"/>
    <s v="Intermediate"/>
    <s v="Low Impact"/>
  </r>
  <r>
    <s v="E0075"/>
    <n v="33"/>
    <s v="Other"/>
    <s v="PhD"/>
    <x v="4"/>
    <s v="Cashier"/>
    <n v="11"/>
    <x v="1"/>
    <s v="Medium"/>
    <s v="No"/>
    <n v="53625"/>
    <n v="61727"/>
    <x v="1"/>
    <n v="40"/>
    <x v="1"/>
    <n v="9"/>
    <n v="32.01"/>
    <n v="8102"/>
    <n v="15.10862470862471"/>
    <s v="Intermediate"/>
    <s v="Medium Impact"/>
  </r>
  <r>
    <s v="E0457"/>
    <n v="22"/>
    <s v="Female"/>
    <s v="High School"/>
    <x v="0"/>
    <s v="Data Analyst"/>
    <n v="0"/>
    <x v="1"/>
    <s v="Medium"/>
    <s v="Yes"/>
    <n v="62402"/>
    <n v="66738"/>
    <x v="1"/>
    <n v="38"/>
    <x v="0"/>
    <n v="6"/>
    <n v="31.99"/>
    <n v="4336"/>
    <n v="6.9484952405371629"/>
    <s v="Beginner"/>
    <s v="Medium Impact"/>
  </r>
  <r>
    <s v="E1366"/>
    <n v="23"/>
    <s v="Female"/>
    <s v="Bachelor"/>
    <x v="2"/>
    <s v="SEO Specialist"/>
    <n v="0"/>
    <x v="0"/>
    <s v="High"/>
    <s v="Yes"/>
    <n v="66735"/>
    <n v="65685"/>
    <x v="0"/>
    <n v="52"/>
    <x v="1"/>
    <n v="9"/>
    <n v="31.99"/>
    <n v="-1050"/>
    <n v="-1.5733872780400091"/>
    <s v="Beginner"/>
    <s v="Low Impact"/>
  </r>
  <r>
    <s v="E0962"/>
    <n v="26"/>
    <s v="Other"/>
    <s v="High School"/>
    <x v="1"/>
    <s v="Machine Operator"/>
    <n v="3"/>
    <x v="2"/>
    <s v="Low"/>
    <s v="Yes"/>
    <n v="100821"/>
    <n v="85814"/>
    <x v="0"/>
    <n v="53"/>
    <x v="0"/>
    <n v="9"/>
    <n v="31.97"/>
    <n v="-15007"/>
    <n v="-14.884795826266354"/>
    <s v="Beginner"/>
    <s v="Low Impact"/>
  </r>
  <r>
    <s v="E0089"/>
    <n v="26"/>
    <s v="Female"/>
    <s v="Bachelor"/>
    <x v="6"/>
    <s v="Nurse"/>
    <n v="4"/>
    <x v="0"/>
    <s v="Medium"/>
    <s v="Yes"/>
    <n v="95545"/>
    <n v="104135"/>
    <x v="1"/>
    <n v="47"/>
    <x v="1"/>
    <n v="7"/>
    <n v="31.96"/>
    <n v="8590"/>
    <n v="8.9905280234444493"/>
    <s v="Beginner"/>
    <s v="Medium Impact"/>
  </r>
  <r>
    <s v="E0652"/>
    <n v="48"/>
    <s v="Female"/>
    <s v="High School"/>
    <x v="2"/>
    <s v="Content Creator"/>
    <n v="26"/>
    <x v="1"/>
    <s v="High"/>
    <s v="Yes"/>
    <n v="79422"/>
    <n v="82497"/>
    <x v="0"/>
    <n v="46"/>
    <x v="0"/>
    <n v="4"/>
    <n v="31.9"/>
    <n v="3075"/>
    <n v="3.871723200120873"/>
    <s v="Expert"/>
    <s v="Low Impact"/>
  </r>
  <r>
    <s v="E0836"/>
    <n v="55"/>
    <s v="Male"/>
    <s v="Bachelor"/>
    <x v="2"/>
    <s v="Digital Marketer"/>
    <n v="31"/>
    <x v="2"/>
    <s v="High"/>
    <s v="Yes"/>
    <n v="48300"/>
    <n v="39878"/>
    <x v="2"/>
    <n v="40"/>
    <x v="1"/>
    <n v="7"/>
    <n v="31.88"/>
    <n v="-8422"/>
    <n v="-17.436853002070393"/>
    <s v="Expert"/>
    <s v="High Impact"/>
  </r>
  <r>
    <s v="E1380"/>
    <n v="38"/>
    <s v="Other"/>
    <s v="Master"/>
    <x v="0"/>
    <s v="DevOps Engineer"/>
    <n v="13"/>
    <x v="2"/>
    <s v="Medium"/>
    <s v="Yes"/>
    <n v="76146"/>
    <n v="99904"/>
    <x v="1"/>
    <n v="49"/>
    <x v="1"/>
    <n v="3"/>
    <n v="31.81"/>
    <n v="23758"/>
    <n v="31.200588343445485"/>
    <s v="Intermediate"/>
    <s v="Medium Impact"/>
  </r>
  <r>
    <s v="E0434"/>
    <n v="38"/>
    <s v="Male"/>
    <s v="Bachelor"/>
    <x v="5"/>
    <s v="Administrator"/>
    <n v="14"/>
    <x v="2"/>
    <s v="Low"/>
    <s v="Yes"/>
    <n v="90011"/>
    <n v="98115"/>
    <x v="0"/>
    <n v="38"/>
    <x v="1"/>
    <n v="8"/>
    <n v="31.81"/>
    <n v="8104"/>
    <n v="9.0033440357289667"/>
    <s v="Intermediate"/>
    <s v="Low Impact"/>
  </r>
  <r>
    <s v="E1224"/>
    <n v="31"/>
    <s v="Male"/>
    <s v="High School"/>
    <x v="0"/>
    <s v="Software Engineer"/>
    <n v="6"/>
    <x v="1"/>
    <s v="Low"/>
    <s v="No"/>
    <n v="57624"/>
    <n v="59713"/>
    <x v="0"/>
    <n v="52"/>
    <x v="0"/>
    <n v="8"/>
    <n v="31.81"/>
    <n v="2089"/>
    <n v="3.6252256004442596"/>
    <s v="Intermediate"/>
    <s v="Low Impact"/>
  </r>
  <r>
    <s v="E0563"/>
    <n v="44"/>
    <s v="Female"/>
    <s v="Bachelor"/>
    <x v="1"/>
    <s v="Machine Operator"/>
    <n v="18"/>
    <x v="1"/>
    <s v="Low"/>
    <s v="No"/>
    <n v="35520"/>
    <n v="39860"/>
    <x v="0"/>
    <n v="39"/>
    <x v="0"/>
    <n v="8"/>
    <n v="31.78"/>
    <n v="4340"/>
    <n v="12.218468468468469"/>
    <s v="Expert"/>
    <s v="Low Impact"/>
  </r>
  <r>
    <s v="E0406"/>
    <n v="47"/>
    <s v="Male"/>
    <s v="High School"/>
    <x v="1"/>
    <s v="Quality Inspector"/>
    <n v="22"/>
    <x v="0"/>
    <s v="High"/>
    <s v="Yes"/>
    <n v="33321"/>
    <n v="35260"/>
    <x v="0"/>
    <n v="48"/>
    <x v="1"/>
    <n v="9"/>
    <n v="31.77"/>
    <n v="1939"/>
    <n v="5.8191530866420571"/>
    <s v="Expert"/>
    <s v="Low Impact"/>
  </r>
  <r>
    <s v="E1304"/>
    <n v="43"/>
    <s v="Male"/>
    <s v="Master"/>
    <x v="6"/>
    <s v="Technician"/>
    <n v="17"/>
    <x v="2"/>
    <s v="Low"/>
    <s v="Yes"/>
    <n v="36806"/>
    <n v="42021"/>
    <x v="0"/>
    <n v="41"/>
    <x v="1"/>
    <n v="3"/>
    <n v="31.67"/>
    <n v="5215"/>
    <n v="14.16888550779764"/>
    <s v="Expert"/>
    <s v="Low Impact"/>
  </r>
  <r>
    <s v="E0893"/>
    <n v="32"/>
    <s v="Female"/>
    <s v="Master"/>
    <x v="2"/>
    <s v="SEO Specialist"/>
    <n v="7"/>
    <x v="1"/>
    <s v="High"/>
    <s v="No"/>
    <n v="34763"/>
    <n v="36843"/>
    <x v="0"/>
    <n v="46"/>
    <x v="0"/>
    <n v="4"/>
    <n v="31.64"/>
    <n v="2080"/>
    <n v="5.9833731266001209"/>
    <s v="Intermediate"/>
    <s v="Low Impact"/>
  </r>
  <r>
    <s v="E1779"/>
    <n v="41"/>
    <s v="Other"/>
    <s v="High School"/>
    <x v="1"/>
    <s v="Quality Inspector"/>
    <n v="16"/>
    <x v="0"/>
    <s v="Low"/>
    <s v="No"/>
    <n v="82948"/>
    <n v="82914"/>
    <x v="0"/>
    <n v="37"/>
    <x v="1"/>
    <n v="8"/>
    <n v="31.63"/>
    <n v="-34"/>
    <n v="-4.0989535612673003E-2"/>
    <s v="Expert"/>
    <s v="Low Impact"/>
  </r>
  <r>
    <s v="E1444"/>
    <n v="44"/>
    <s v="Other"/>
    <s v="High School"/>
    <x v="3"/>
    <s v="Investment Analyst"/>
    <n v="21"/>
    <x v="0"/>
    <s v="High"/>
    <s v="Yes"/>
    <n v="91009"/>
    <n v="95194"/>
    <x v="0"/>
    <n v="37"/>
    <x v="1"/>
    <n v="4"/>
    <n v="31.62"/>
    <n v="4185"/>
    <n v="4.5984463075080484"/>
    <s v="Expert"/>
    <s v="Low Impact"/>
  </r>
  <r>
    <s v="E1687"/>
    <n v="31"/>
    <s v="Male"/>
    <s v="Bachelor"/>
    <x v="6"/>
    <s v="Technician"/>
    <n v="5"/>
    <x v="2"/>
    <s v="Medium"/>
    <s v="No"/>
    <n v="48413"/>
    <n v="44192"/>
    <x v="1"/>
    <n v="40"/>
    <x v="1"/>
    <n v="4"/>
    <n v="31.58"/>
    <n v="-4221"/>
    <n v="-8.7187325718298805"/>
    <s v="Intermediate"/>
    <s v="Medium Impact"/>
  </r>
  <r>
    <s v="E0463"/>
    <n v="39"/>
    <s v="Female"/>
    <s v="High School"/>
    <x v="5"/>
    <s v="Teacher"/>
    <n v="15"/>
    <x v="2"/>
    <s v="High"/>
    <s v="No"/>
    <n v="35355"/>
    <n v="28345"/>
    <x v="1"/>
    <n v="47"/>
    <x v="1"/>
    <n v="4"/>
    <n v="31.54"/>
    <n v="-7010"/>
    <n v="-19.827464290765096"/>
    <s v="Expert"/>
    <s v="Medium Impact"/>
  </r>
  <r>
    <s v="E1222"/>
    <n v="38"/>
    <s v="Female"/>
    <s v="Bachelor"/>
    <x v="2"/>
    <s v="Digital Marketer"/>
    <n v="13"/>
    <x v="1"/>
    <s v="Low"/>
    <s v="Yes"/>
    <n v="119792"/>
    <n v="118943"/>
    <x v="0"/>
    <n v="47"/>
    <x v="1"/>
    <n v="9"/>
    <n v="31.53"/>
    <n v="-849"/>
    <n v="-0.70872846266862555"/>
    <s v="Intermediate"/>
    <s v="Low Impact"/>
  </r>
  <r>
    <s v="E1201"/>
    <n v="39"/>
    <s v="Male"/>
    <s v="Bachelor"/>
    <x v="6"/>
    <s v="Technician"/>
    <n v="17"/>
    <x v="2"/>
    <s v="Medium"/>
    <s v="No"/>
    <n v="74990"/>
    <n v="90613"/>
    <x v="1"/>
    <n v="42"/>
    <x v="1"/>
    <n v="9"/>
    <n v="31.53"/>
    <n v="15623"/>
    <n v="20.833444459261237"/>
    <s v="Expert"/>
    <s v="Medium Impact"/>
  </r>
  <r>
    <s v="E0561"/>
    <n v="26"/>
    <s v="Female"/>
    <s v="Master"/>
    <x v="0"/>
    <s v="DevOps Engineer"/>
    <n v="3"/>
    <x v="1"/>
    <s v="Medium"/>
    <s v="Yes"/>
    <n v="62854"/>
    <n v="72368"/>
    <x v="1"/>
    <n v="37"/>
    <x v="0"/>
    <n v="8"/>
    <n v="31.53"/>
    <n v="9514"/>
    <n v="15.1366659242053"/>
    <s v="Beginner"/>
    <s v="Medium Impact"/>
  </r>
  <r>
    <s v="E1162"/>
    <n v="26"/>
    <s v="Female"/>
    <s v="High School"/>
    <x v="3"/>
    <s v="Auditor"/>
    <n v="2"/>
    <x v="2"/>
    <s v="High"/>
    <s v="Yes"/>
    <n v="65771"/>
    <n v="57814"/>
    <x v="1"/>
    <n v="47"/>
    <x v="1"/>
    <n v="8"/>
    <n v="31.52"/>
    <n v="-7957"/>
    <n v="-12.098037128825775"/>
    <s v="Beginner"/>
    <s v="Medium Impact"/>
  </r>
  <r>
    <s v="E0690"/>
    <n v="39"/>
    <s v="Male"/>
    <s v="Master"/>
    <x v="5"/>
    <s v="Professor"/>
    <n v="15"/>
    <x v="1"/>
    <s v="Low"/>
    <s v="No"/>
    <n v="54816"/>
    <n v="49493"/>
    <x v="0"/>
    <n v="50"/>
    <x v="1"/>
    <n v="8"/>
    <n v="31.48"/>
    <n v="-5323"/>
    <n v="-9.7106684179801519"/>
    <s v="Expert"/>
    <s v="Low Impact"/>
  </r>
  <r>
    <s v="E1445"/>
    <n v="44"/>
    <s v="Other"/>
    <s v="Bachelor"/>
    <x v="2"/>
    <s v="SEO Specialist"/>
    <n v="20"/>
    <x v="0"/>
    <s v="Low"/>
    <s v="No"/>
    <n v="108424"/>
    <n v="115147"/>
    <x v="0"/>
    <n v="54"/>
    <x v="1"/>
    <n v="9"/>
    <n v="31.47"/>
    <n v="6723"/>
    <n v="6.2006566811775992"/>
    <s v="Expert"/>
    <s v="Low Impact"/>
  </r>
  <r>
    <s v="E1002"/>
    <n v="41"/>
    <s v="Male"/>
    <s v="Master"/>
    <x v="1"/>
    <s v="Quality Inspector"/>
    <n v="18"/>
    <x v="1"/>
    <s v="High"/>
    <s v="No"/>
    <n v="47138"/>
    <n v="45586"/>
    <x v="0"/>
    <n v="52"/>
    <x v="0"/>
    <n v="6"/>
    <n v="31.43"/>
    <n v="-1552"/>
    <n v="-3.2924604353175781"/>
    <s v="Expert"/>
    <s v="Low Impact"/>
  </r>
  <r>
    <s v="E1192"/>
    <n v="25"/>
    <s v="Other"/>
    <s v="Master"/>
    <x v="5"/>
    <s v="Professor"/>
    <n v="0"/>
    <x v="2"/>
    <s v="High"/>
    <s v="No"/>
    <n v="81644"/>
    <n v="84971"/>
    <x v="1"/>
    <n v="49"/>
    <x v="1"/>
    <n v="9"/>
    <n v="31.3"/>
    <n v="3327"/>
    <n v="4.0750085738082404"/>
    <s v="Beginner"/>
    <s v="Medium Impact"/>
  </r>
  <r>
    <s v="E1132"/>
    <n v="25"/>
    <s v="Other"/>
    <s v="Bachelor"/>
    <x v="0"/>
    <s v="Data Analyst"/>
    <n v="0"/>
    <x v="2"/>
    <s v="Medium"/>
    <s v="Yes"/>
    <n v="98827"/>
    <n v="133325"/>
    <x v="1"/>
    <n v="44"/>
    <x v="1"/>
    <n v="7"/>
    <n v="31.27"/>
    <n v="34498"/>
    <n v="34.907464559280363"/>
    <s v="Beginner"/>
    <s v="Medium Impact"/>
  </r>
  <r>
    <s v="E1359"/>
    <n v="33"/>
    <s v="Female"/>
    <s v="Master"/>
    <x v="2"/>
    <s v="Digital Marketer"/>
    <n v="7"/>
    <x v="1"/>
    <s v="High"/>
    <s v="No"/>
    <n v="117710"/>
    <n v="131345"/>
    <x v="0"/>
    <n v="46"/>
    <x v="1"/>
    <n v="5"/>
    <n v="31.27"/>
    <n v="13635"/>
    <n v="11.5835527992524"/>
    <s v="Intermediate"/>
    <s v="Low Impact"/>
  </r>
  <r>
    <s v="E0215"/>
    <n v="50"/>
    <s v="Female"/>
    <s v="Master"/>
    <x v="3"/>
    <s v="Auditor"/>
    <n v="25"/>
    <x v="0"/>
    <s v="Medium"/>
    <s v="No"/>
    <n v="44288"/>
    <n v="42752"/>
    <x v="1"/>
    <n v="49"/>
    <x v="0"/>
    <n v="9"/>
    <n v="31.25"/>
    <n v="-1536"/>
    <n v="-3.4682080924855487"/>
    <s v="Expert"/>
    <s v="Medium Impact"/>
  </r>
  <r>
    <s v="E0401"/>
    <n v="41"/>
    <s v="Male"/>
    <s v="PhD"/>
    <x v="3"/>
    <s v="Auditor"/>
    <n v="19"/>
    <x v="2"/>
    <s v="Low"/>
    <s v="Yes"/>
    <n v="36796"/>
    <n v="41292"/>
    <x v="0"/>
    <n v="51"/>
    <x v="1"/>
    <n v="8"/>
    <n v="31.25"/>
    <n v="4496"/>
    <n v="12.218719426024569"/>
    <s v="Expert"/>
    <s v="Low Impact"/>
  </r>
  <r>
    <s v="E1536"/>
    <n v="51"/>
    <s v="Other"/>
    <s v="Bachelor"/>
    <x v="1"/>
    <s v="Quality Inspector"/>
    <n v="25"/>
    <x v="1"/>
    <s v="Low"/>
    <s v="No"/>
    <n v="61912"/>
    <n v="66372"/>
    <x v="0"/>
    <n v="36"/>
    <x v="1"/>
    <n v="6"/>
    <n v="31.22"/>
    <n v="4460"/>
    <n v="7.2037730972993934"/>
    <s v="Expert"/>
    <s v="Low Impact"/>
  </r>
  <r>
    <s v="E0933"/>
    <n v="57"/>
    <s v="Female"/>
    <s v="Master"/>
    <x v="3"/>
    <s v="Accountant"/>
    <n v="31"/>
    <x v="2"/>
    <s v="High"/>
    <s v="No"/>
    <n v="82611"/>
    <n v="114537"/>
    <x v="2"/>
    <n v="46"/>
    <x v="1"/>
    <n v="6"/>
    <n v="31.2"/>
    <n v="31926"/>
    <n v="38.646185132730508"/>
    <s v="Expert"/>
    <s v="High Impact"/>
  </r>
  <r>
    <s v="E0843"/>
    <n v="48"/>
    <s v="Male"/>
    <s v="High School"/>
    <x v="4"/>
    <s v="Store Manager"/>
    <n v="25"/>
    <x v="1"/>
    <s v="High"/>
    <s v="No"/>
    <n v="69886"/>
    <n v="77565"/>
    <x v="0"/>
    <n v="39"/>
    <x v="1"/>
    <n v="7"/>
    <n v="31.18"/>
    <n v="7679"/>
    <n v="10.987894571158744"/>
    <s v="Expert"/>
    <s v="Low Impact"/>
  </r>
  <r>
    <s v="E1864"/>
    <n v="54"/>
    <s v="Female"/>
    <s v="Master"/>
    <x v="6"/>
    <s v="Technician"/>
    <n v="29"/>
    <x v="2"/>
    <s v="Medium"/>
    <s v="No"/>
    <n v="49014"/>
    <n v="49920"/>
    <x v="1"/>
    <n v="45"/>
    <x v="0"/>
    <n v="4"/>
    <n v="31.14"/>
    <n v="906"/>
    <n v="1.8484514628473496"/>
    <s v="Expert"/>
    <s v="Medium Impact"/>
  </r>
  <r>
    <s v="E0198"/>
    <n v="49"/>
    <s v="Other"/>
    <s v="Master"/>
    <x v="4"/>
    <s v="Store Manager"/>
    <n v="23"/>
    <x v="1"/>
    <s v="Medium"/>
    <s v="No"/>
    <n v="95160"/>
    <n v="86910"/>
    <x v="1"/>
    <n v="44"/>
    <x v="1"/>
    <n v="3"/>
    <n v="31.13"/>
    <n v="-8250"/>
    <n v="-8.669609079445145"/>
    <s v="Expert"/>
    <s v="Medium Impact"/>
  </r>
  <r>
    <s v="E0892"/>
    <n v="47"/>
    <s v="Female"/>
    <s v="Bachelor"/>
    <x v="5"/>
    <s v="Teacher"/>
    <n v="21"/>
    <x v="1"/>
    <s v="Low"/>
    <s v="No"/>
    <n v="55938"/>
    <n v="56104"/>
    <x v="0"/>
    <n v="46"/>
    <x v="0"/>
    <n v="4"/>
    <n v="31.12"/>
    <n v="166"/>
    <n v="0.29675712395866849"/>
    <s v="Expert"/>
    <s v="Low Impact"/>
  </r>
  <r>
    <s v="E0871"/>
    <n v="53"/>
    <s v="Female"/>
    <s v="Master"/>
    <x v="5"/>
    <s v="Administrator"/>
    <n v="29"/>
    <x v="1"/>
    <s v="Medium"/>
    <s v="Yes"/>
    <n v="64565"/>
    <n v="62117"/>
    <x v="1"/>
    <n v="39"/>
    <x v="1"/>
    <n v="9"/>
    <n v="31.08"/>
    <n v="-2448"/>
    <n v="-3.7915279176024166"/>
    <s v="Expert"/>
    <s v="Medium Impact"/>
  </r>
  <r>
    <s v="E1205"/>
    <n v="51"/>
    <s v="Male"/>
    <s v="PhD"/>
    <x v="4"/>
    <s v="Cashier"/>
    <n v="26"/>
    <x v="2"/>
    <s v="High"/>
    <s v="No"/>
    <n v="39967"/>
    <n v="36102"/>
    <x v="2"/>
    <n v="38"/>
    <x v="1"/>
    <n v="5"/>
    <n v="31.03"/>
    <n v="-3865"/>
    <n v="-9.6704781444691879"/>
    <s v="Expert"/>
    <s v="High Impact"/>
  </r>
  <r>
    <s v="E0093"/>
    <n v="44"/>
    <s v="Other"/>
    <s v="High School"/>
    <x v="5"/>
    <s v="Teacher"/>
    <n v="18"/>
    <x v="2"/>
    <s v="High"/>
    <s v="Yes"/>
    <n v="99172"/>
    <n v="135554"/>
    <x v="1"/>
    <n v="51"/>
    <x v="1"/>
    <n v="7"/>
    <n v="30.98"/>
    <n v="36382"/>
    <n v="36.685758076876539"/>
    <s v="Expert"/>
    <s v="Medium Impact"/>
  </r>
  <r>
    <s v="E0852"/>
    <n v="45"/>
    <s v="Male"/>
    <s v="PhD"/>
    <x v="2"/>
    <s v="SEO Specialist"/>
    <n v="23"/>
    <x v="1"/>
    <s v="Medium"/>
    <s v="Yes"/>
    <n v="61376"/>
    <n v="59502"/>
    <x v="1"/>
    <n v="43"/>
    <x v="0"/>
    <n v="6"/>
    <n v="30.94"/>
    <n v="-1874"/>
    <n v="-3.0533107403545361"/>
    <s v="Expert"/>
    <s v="Medium Impact"/>
  </r>
  <r>
    <s v="E0575"/>
    <n v="53"/>
    <s v="Female"/>
    <s v="Master"/>
    <x v="3"/>
    <s v="Auditor"/>
    <n v="28"/>
    <x v="2"/>
    <s v="Medium"/>
    <s v="No"/>
    <n v="85480"/>
    <n v="106495"/>
    <x v="1"/>
    <n v="54"/>
    <x v="0"/>
    <n v="3"/>
    <n v="30.88"/>
    <n v="21015"/>
    <n v="24.584698175011699"/>
    <s v="Expert"/>
    <s v="Medium Impact"/>
  </r>
  <r>
    <s v="E1981"/>
    <n v="29"/>
    <s v="Other"/>
    <s v="High School"/>
    <x v="4"/>
    <s v="Sales Associate"/>
    <n v="6"/>
    <x v="0"/>
    <s v="High"/>
    <s v="No"/>
    <n v="108533"/>
    <n v="103974"/>
    <x v="0"/>
    <n v="39"/>
    <x v="1"/>
    <n v="9"/>
    <n v="30.85"/>
    <n v="-4559"/>
    <n v="-4.2005657265532141"/>
    <s v="Intermediate"/>
    <s v="Low Impact"/>
  </r>
  <r>
    <s v="E1684"/>
    <n v="45"/>
    <s v="Female"/>
    <s v="PhD"/>
    <x v="1"/>
    <s v="Machine Operator"/>
    <n v="23"/>
    <x v="0"/>
    <s v="Low"/>
    <s v="Yes"/>
    <n v="31218"/>
    <n v="31499"/>
    <x v="0"/>
    <n v="37"/>
    <x v="0"/>
    <n v="5"/>
    <n v="30.79"/>
    <n v="281"/>
    <n v="0.90012172464603757"/>
    <s v="Expert"/>
    <s v="Low Impact"/>
  </r>
  <r>
    <s v="E1310"/>
    <n v="24"/>
    <s v="Other"/>
    <s v="Bachelor"/>
    <x v="5"/>
    <s v="Professor"/>
    <n v="1"/>
    <x v="1"/>
    <s v="Low"/>
    <s v="No"/>
    <n v="106256"/>
    <n v="104365"/>
    <x v="0"/>
    <n v="36"/>
    <x v="1"/>
    <n v="9"/>
    <n v="30.76"/>
    <n v="-1891"/>
    <n v="-1.7796642071977113"/>
    <s v="Beginner"/>
    <s v="Low Impact"/>
  </r>
  <r>
    <s v="E1034"/>
    <n v="57"/>
    <s v="Female"/>
    <s v="Master"/>
    <x v="2"/>
    <s v="Digital Marketer"/>
    <n v="33"/>
    <x v="0"/>
    <s v="Medium"/>
    <s v="No"/>
    <n v="39718"/>
    <n v="42501"/>
    <x v="1"/>
    <n v="50"/>
    <x v="1"/>
    <n v="8"/>
    <n v="30.74"/>
    <n v="2783"/>
    <n v="7.0068986353794243"/>
    <s v="Expert"/>
    <s v="Medium Impact"/>
  </r>
  <r>
    <s v="E0010"/>
    <n v="52"/>
    <s v="Male"/>
    <s v="High School"/>
    <x v="6"/>
    <s v="Nurse"/>
    <n v="27"/>
    <x v="2"/>
    <s v="Low"/>
    <s v="Yes"/>
    <n v="31016"/>
    <n v="42699"/>
    <x v="0"/>
    <n v="47"/>
    <x v="1"/>
    <n v="4"/>
    <n v="30.67"/>
    <n v="11683"/>
    <n v="37.667655403662629"/>
    <s v="Expert"/>
    <s v="Low Impact"/>
  </r>
  <r>
    <s v="E0110"/>
    <n v="35"/>
    <s v="Male"/>
    <s v="Bachelor"/>
    <x v="1"/>
    <s v="Machine Operator"/>
    <n v="11"/>
    <x v="1"/>
    <s v="Medium"/>
    <s v="No"/>
    <n v="35126"/>
    <n v="38854"/>
    <x v="1"/>
    <n v="45"/>
    <x v="1"/>
    <n v="9"/>
    <n v="30.67"/>
    <n v="3728"/>
    <n v="10.613220975915276"/>
    <s v="Intermediate"/>
    <s v="Medium Impact"/>
  </r>
  <r>
    <s v="E0680"/>
    <n v="25"/>
    <s v="Female"/>
    <s v="PhD"/>
    <x v="2"/>
    <s v="SEO Specialist"/>
    <n v="0"/>
    <x v="2"/>
    <s v="High"/>
    <s v="No"/>
    <n v="113973"/>
    <n v="108354"/>
    <x v="1"/>
    <n v="42"/>
    <x v="0"/>
    <n v="4"/>
    <n v="30.65"/>
    <n v="-5619"/>
    <n v="-4.9301150272432945"/>
    <s v="Beginner"/>
    <s v="Medium Impact"/>
  </r>
  <r>
    <s v="E1639"/>
    <n v="51"/>
    <s v="Other"/>
    <s v="Master"/>
    <x v="0"/>
    <s v="Data Analyst"/>
    <n v="29"/>
    <x v="1"/>
    <s v="Medium"/>
    <s v="No"/>
    <n v="38507"/>
    <n v="37953"/>
    <x v="1"/>
    <n v="54"/>
    <x v="0"/>
    <n v="4"/>
    <n v="30.65"/>
    <n v="-554"/>
    <n v="-1.4386994572415406"/>
    <s v="Expert"/>
    <s v="Medium Impact"/>
  </r>
  <r>
    <s v="E1093"/>
    <n v="29"/>
    <s v="Female"/>
    <s v="Master"/>
    <x v="0"/>
    <s v="Software Engineer"/>
    <n v="3"/>
    <x v="2"/>
    <s v="Medium"/>
    <s v="Yes"/>
    <n v="111653"/>
    <n v="113745"/>
    <x v="1"/>
    <n v="46"/>
    <x v="1"/>
    <n v="9"/>
    <n v="30.62"/>
    <n v="2092"/>
    <n v="1.8736621496959329"/>
    <s v="Beginner"/>
    <s v="Medium Impact"/>
  </r>
  <r>
    <s v="E0379"/>
    <n v="44"/>
    <s v="Male"/>
    <s v="Bachelor"/>
    <x v="3"/>
    <s v="Auditor"/>
    <n v="22"/>
    <x v="0"/>
    <s v="High"/>
    <s v="No"/>
    <n v="102516"/>
    <n v="109787"/>
    <x v="0"/>
    <n v="37"/>
    <x v="0"/>
    <n v="3"/>
    <n v="30.62"/>
    <n v="7271"/>
    <n v="7.0925514066097"/>
    <s v="Expert"/>
    <s v="Low Impact"/>
  </r>
  <r>
    <s v="E1622"/>
    <n v="24"/>
    <s v="Male"/>
    <s v="PhD"/>
    <x v="6"/>
    <s v="Doctor"/>
    <n v="0"/>
    <x v="1"/>
    <s v="Medium"/>
    <s v="Yes"/>
    <n v="71552"/>
    <n v="85376"/>
    <x v="1"/>
    <n v="52"/>
    <x v="0"/>
    <n v="8"/>
    <n v="30.62"/>
    <n v="13824"/>
    <n v="19.320214669051879"/>
    <s v="Beginner"/>
    <s v="Medium Impact"/>
  </r>
  <r>
    <s v="E0101"/>
    <n v="38"/>
    <s v="Female"/>
    <s v="Master"/>
    <x v="4"/>
    <s v="Store Manager"/>
    <n v="12"/>
    <x v="2"/>
    <s v="Medium"/>
    <s v="No"/>
    <n v="69811"/>
    <n v="75089"/>
    <x v="1"/>
    <n v="51"/>
    <x v="0"/>
    <n v="6"/>
    <n v="30.53"/>
    <n v="5278"/>
    <n v="7.5604131154116114"/>
    <s v="Intermediate"/>
    <s v="Medium Impact"/>
  </r>
  <r>
    <s v="E1896"/>
    <n v="26"/>
    <s v="Female"/>
    <s v="Master"/>
    <x v="0"/>
    <s v="Data Analyst"/>
    <n v="4"/>
    <x v="2"/>
    <s v="High"/>
    <s v="Yes"/>
    <n v="41094"/>
    <n v="43095"/>
    <x v="1"/>
    <n v="45"/>
    <x v="0"/>
    <n v="9"/>
    <n v="30.53"/>
    <n v="2001"/>
    <n v="4.8693239889034894"/>
    <s v="Beginner"/>
    <s v="Medium Impact"/>
  </r>
  <r>
    <s v="E0447"/>
    <n v="59"/>
    <s v="Female"/>
    <s v="PhD"/>
    <x v="3"/>
    <s v="Accountant"/>
    <n v="36"/>
    <x v="0"/>
    <s v="High"/>
    <s v="No"/>
    <n v="110807"/>
    <n v="107143"/>
    <x v="0"/>
    <n v="50"/>
    <x v="0"/>
    <n v="8"/>
    <n v="30.52"/>
    <n v="-3664"/>
    <n v="-3.306650301876235"/>
    <s v="Expert"/>
    <s v="Low Impact"/>
  </r>
  <r>
    <s v="E1441"/>
    <n v="45"/>
    <s v="Male"/>
    <s v="High School"/>
    <x v="0"/>
    <s v="Software Engineer"/>
    <n v="19"/>
    <x v="0"/>
    <s v="Low"/>
    <s v="Yes"/>
    <n v="30036"/>
    <n v="32009"/>
    <x v="0"/>
    <n v="37"/>
    <x v="0"/>
    <n v="7"/>
    <n v="30.49"/>
    <n v="1973"/>
    <n v="6.5687841257158084"/>
    <s v="Expert"/>
    <s v="Low Impact"/>
  </r>
  <r>
    <s v="E0834"/>
    <n v="50"/>
    <s v="Female"/>
    <s v="Bachelor"/>
    <x v="5"/>
    <s v="Administrator"/>
    <n v="26"/>
    <x v="1"/>
    <s v="Low"/>
    <s v="Yes"/>
    <n v="102104"/>
    <n v="108343"/>
    <x v="0"/>
    <n v="50"/>
    <x v="0"/>
    <n v="4"/>
    <n v="30.4"/>
    <n v="6239"/>
    <n v="6.1104364177701171"/>
    <s v="Expert"/>
    <s v="Low Impact"/>
  </r>
  <r>
    <s v="E0120"/>
    <n v="23"/>
    <s v="Male"/>
    <s v="PhD"/>
    <x v="3"/>
    <s v="Investment Analyst"/>
    <n v="0"/>
    <x v="2"/>
    <s v="Medium"/>
    <s v="Yes"/>
    <n v="109239"/>
    <n v="118630"/>
    <x v="1"/>
    <n v="39"/>
    <x v="0"/>
    <n v="8"/>
    <n v="30.31"/>
    <n v="9391"/>
    <n v="8.5967465831799998"/>
    <s v="Beginner"/>
    <s v="Medium Impact"/>
  </r>
  <r>
    <s v="E0547"/>
    <n v="37"/>
    <s v="Male"/>
    <s v="Master"/>
    <x v="6"/>
    <s v="Doctor"/>
    <n v="14"/>
    <x v="1"/>
    <s v="High"/>
    <s v="Yes"/>
    <n v="64397"/>
    <n v="76339"/>
    <x v="0"/>
    <n v="40"/>
    <x v="1"/>
    <n v="9"/>
    <n v="30.31"/>
    <n v="11942"/>
    <n v="18.544342127738869"/>
    <s v="Intermediate"/>
    <s v="Low Impact"/>
  </r>
  <r>
    <s v="E1234"/>
    <n v="52"/>
    <s v="Female"/>
    <s v="PhD"/>
    <x v="4"/>
    <s v="Store Manager"/>
    <n v="27"/>
    <x v="1"/>
    <s v="Medium"/>
    <s v="Yes"/>
    <n v="93294"/>
    <n v="92923"/>
    <x v="1"/>
    <n v="49"/>
    <x v="0"/>
    <n v="8"/>
    <n v="30.3"/>
    <n v="-371"/>
    <n v="-0.39766758848371819"/>
    <s v="Expert"/>
    <s v="Medium Impact"/>
  </r>
  <r>
    <s v="E1966"/>
    <n v="42"/>
    <s v="Male"/>
    <s v="PhD"/>
    <x v="5"/>
    <s v="Administrator"/>
    <n v="16"/>
    <x v="2"/>
    <s v="High"/>
    <s v="No"/>
    <n v="80281"/>
    <n v="71091"/>
    <x v="1"/>
    <n v="37"/>
    <x v="0"/>
    <n v="3"/>
    <n v="30.3"/>
    <n v="-9190"/>
    <n v="-11.447291388996153"/>
    <s v="Expert"/>
    <s v="Medium Impact"/>
  </r>
  <r>
    <s v="E0721"/>
    <n v="35"/>
    <s v="Other"/>
    <s v="Bachelor"/>
    <x v="5"/>
    <s v="Teacher"/>
    <n v="10"/>
    <x v="1"/>
    <s v="High"/>
    <s v="Yes"/>
    <n v="88255"/>
    <n v="103329"/>
    <x v="0"/>
    <n v="41"/>
    <x v="1"/>
    <n v="8"/>
    <n v="30.24"/>
    <n v="15074"/>
    <n v="17.08005212169282"/>
    <s v="Intermediate"/>
    <s v="Low Impact"/>
  </r>
  <r>
    <s v="E1877"/>
    <n v="26"/>
    <s v="Other"/>
    <s v="Master"/>
    <x v="0"/>
    <s v="Data Analyst"/>
    <n v="4"/>
    <x v="2"/>
    <s v="High"/>
    <s v="No"/>
    <n v="108229"/>
    <n v="109390"/>
    <x v="1"/>
    <n v="50"/>
    <x v="0"/>
    <n v="5"/>
    <n v="30.23"/>
    <n v="1161"/>
    <n v="1.0727254247937243"/>
    <s v="Beginner"/>
    <s v="Medium Impact"/>
  </r>
  <r>
    <s v="E1066"/>
    <n v="43"/>
    <s v="Other"/>
    <s v="Bachelor"/>
    <x v="2"/>
    <s v="Digital Marketer"/>
    <n v="19"/>
    <x v="1"/>
    <s v="Medium"/>
    <s v="Yes"/>
    <n v="82066"/>
    <n v="83298"/>
    <x v="1"/>
    <n v="51"/>
    <x v="0"/>
    <n v="9"/>
    <n v="30.23"/>
    <n v="1232"/>
    <n v="1.5012307167401846"/>
    <s v="Expert"/>
    <s v="Medium Impact"/>
  </r>
  <r>
    <s v="E1598"/>
    <n v="57"/>
    <s v="Female"/>
    <s v="PhD"/>
    <x v="6"/>
    <s v="Technician"/>
    <n v="32"/>
    <x v="1"/>
    <s v="Medium"/>
    <s v="Yes"/>
    <n v="63289"/>
    <n v="72335"/>
    <x v="1"/>
    <n v="46"/>
    <x v="0"/>
    <n v="8"/>
    <n v="30.23"/>
    <n v="9046"/>
    <n v="14.293163108913081"/>
    <s v="Expert"/>
    <s v="Medium Impact"/>
  </r>
  <r>
    <s v="E0381"/>
    <n v="27"/>
    <s v="Female"/>
    <s v="Master"/>
    <x v="2"/>
    <s v="Digital Marketer"/>
    <n v="5"/>
    <x v="1"/>
    <s v="Low"/>
    <s v="Yes"/>
    <n v="68547"/>
    <n v="66364"/>
    <x v="0"/>
    <n v="37"/>
    <x v="0"/>
    <n v="6"/>
    <n v="30.22"/>
    <n v="-2183"/>
    <n v="-3.1846762075656123"/>
    <s v="Intermediate"/>
    <s v="Low Impact"/>
  </r>
  <r>
    <s v="E0811"/>
    <n v="28"/>
    <s v="Female"/>
    <s v="Bachelor"/>
    <x v="0"/>
    <s v="Data Analyst"/>
    <n v="3"/>
    <x v="0"/>
    <s v="Medium"/>
    <s v="No"/>
    <n v="98694"/>
    <n v="96250"/>
    <x v="1"/>
    <n v="35"/>
    <x v="1"/>
    <n v="4"/>
    <n v="30.19"/>
    <n v="-2444"/>
    <n v="-2.4763410136381139"/>
    <s v="Beginner"/>
    <s v="Medium Impact"/>
  </r>
  <r>
    <s v="E1075"/>
    <n v="29"/>
    <s v="Other"/>
    <s v="PhD"/>
    <x v="4"/>
    <s v="Cashier"/>
    <n v="5"/>
    <x v="0"/>
    <s v="High"/>
    <s v="No"/>
    <n v="81952"/>
    <n v="78524"/>
    <x v="0"/>
    <n v="36"/>
    <x v="0"/>
    <n v="8"/>
    <n v="30.19"/>
    <n v="-3428"/>
    <n v="-4.182936352987114"/>
    <s v="Intermediate"/>
    <s v="Low Impact"/>
  </r>
  <r>
    <s v="E0054"/>
    <n v="47"/>
    <s v="Male"/>
    <s v="PhD"/>
    <x v="6"/>
    <s v="Technician"/>
    <n v="21"/>
    <x v="2"/>
    <s v="High"/>
    <s v="Yes"/>
    <n v="62217"/>
    <n v="85709"/>
    <x v="1"/>
    <n v="43"/>
    <x v="1"/>
    <n v="6"/>
    <n v="30.16"/>
    <n v="23492"/>
    <n v="37.758168989183019"/>
    <s v="Expert"/>
    <s v="Medium Impact"/>
  </r>
  <r>
    <s v="E0241"/>
    <n v="33"/>
    <s v="Female"/>
    <s v="Bachelor"/>
    <x v="0"/>
    <s v="DevOps Engineer"/>
    <n v="9"/>
    <x v="0"/>
    <s v="Low"/>
    <s v="Yes"/>
    <n v="78364"/>
    <n v="79921"/>
    <x v="0"/>
    <n v="35"/>
    <x v="1"/>
    <n v="5"/>
    <n v="30.16"/>
    <n v="1557"/>
    <n v="1.9868817314072789"/>
    <s v="Intermediate"/>
    <s v="Low Impact"/>
  </r>
  <r>
    <s v="E1561"/>
    <n v="32"/>
    <s v="Female"/>
    <s v="High School"/>
    <x v="5"/>
    <s v="Administrator"/>
    <n v="7"/>
    <x v="2"/>
    <s v="Low"/>
    <s v="Yes"/>
    <n v="49323"/>
    <n v="60231"/>
    <x v="0"/>
    <n v="52"/>
    <x v="1"/>
    <n v="7"/>
    <n v="30.14"/>
    <n v="10908"/>
    <n v="22.115443099568154"/>
    <s v="Intermediate"/>
    <s v="Low Impact"/>
  </r>
  <r>
    <s v="E1092"/>
    <n v="51"/>
    <s v="Other"/>
    <s v="Master"/>
    <x v="1"/>
    <s v="Supervisor"/>
    <n v="28"/>
    <x v="2"/>
    <s v="Low"/>
    <s v="Yes"/>
    <n v="87089"/>
    <n v="93329"/>
    <x v="0"/>
    <n v="46"/>
    <x v="0"/>
    <n v="9"/>
    <n v="30.13"/>
    <n v="6240"/>
    <n v="7.165083994534327"/>
    <s v="Expert"/>
    <s v="Low Impact"/>
  </r>
  <r>
    <s v="E1299"/>
    <n v="37"/>
    <s v="Male"/>
    <s v="Master"/>
    <x v="0"/>
    <s v="Data Analyst"/>
    <n v="15"/>
    <x v="2"/>
    <s v="Low"/>
    <s v="No"/>
    <n v="116348"/>
    <n v="153705"/>
    <x v="0"/>
    <n v="53"/>
    <x v="1"/>
    <n v="8"/>
    <n v="30.07"/>
    <n v="37357"/>
    <n v="32.107986385670571"/>
    <s v="Expert"/>
    <s v="Low Impact"/>
  </r>
  <r>
    <s v="E1450"/>
    <n v="55"/>
    <s v="Other"/>
    <s v="PhD"/>
    <x v="6"/>
    <s v="Technician"/>
    <n v="30"/>
    <x v="1"/>
    <s v="Medium"/>
    <s v="No"/>
    <n v="96957"/>
    <n v="115251"/>
    <x v="1"/>
    <n v="44"/>
    <x v="1"/>
    <n v="3"/>
    <n v="30.05"/>
    <n v="18294"/>
    <n v="18.868158049444599"/>
    <s v="Expert"/>
    <s v="Medium Impact"/>
  </r>
  <r>
    <s v="E1271"/>
    <n v="38"/>
    <s v="Female"/>
    <s v="Master"/>
    <x v="1"/>
    <s v="Quality Inspector"/>
    <n v="16"/>
    <x v="2"/>
    <s v="Low"/>
    <s v="No"/>
    <n v="117483"/>
    <n v="158394"/>
    <x v="0"/>
    <n v="52"/>
    <x v="1"/>
    <n v="6"/>
    <n v="29.98"/>
    <n v="40911"/>
    <n v="34.822910548760241"/>
    <s v="Expert"/>
    <s v="Low Impact"/>
  </r>
  <r>
    <s v="E1514"/>
    <n v="55"/>
    <s v="Female"/>
    <s v="Bachelor"/>
    <x v="5"/>
    <s v="Teacher"/>
    <n v="30"/>
    <x v="1"/>
    <s v="Low"/>
    <s v="Yes"/>
    <n v="64875"/>
    <n v="72346"/>
    <x v="0"/>
    <n v="37"/>
    <x v="0"/>
    <n v="4"/>
    <n v="29.98"/>
    <n v="7471"/>
    <n v="11.515992292870905"/>
    <s v="Expert"/>
    <s v="Low Impact"/>
  </r>
  <r>
    <s v="E0679"/>
    <n v="55"/>
    <s v="Male"/>
    <s v="High School"/>
    <x v="3"/>
    <s v="Accountant"/>
    <n v="31"/>
    <x v="2"/>
    <s v="Low"/>
    <s v="Yes"/>
    <n v="70317"/>
    <n v="62431"/>
    <x v="0"/>
    <n v="40"/>
    <x v="0"/>
    <n v="4"/>
    <n v="29.98"/>
    <n v="-7886"/>
    <n v="-11.214926689136339"/>
    <s v="Expert"/>
    <s v="Low Impact"/>
  </r>
  <r>
    <s v="E1540"/>
    <n v="47"/>
    <s v="Male"/>
    <s v="PhD"/>
    <x v="1"/>
    <s v="Supervisor"/>
    <n v="22"/>
    <x v="0"/>
    <s v="Medium"/>
    <s v="No"/>
    <n v="30557"/>
    <n v="32345"/>
    <x v="1"/>
    <n v="42"/>
    <x v="1"/>
    <n v="5"/>
    <n v="29.96"/>
    <n v="1788"/>
    <n v="5.8513597539025426"/>
    <s v="Expert"/>
    <s v="Medium Impact"/>
  </r>
  <r>
    <s v="E0735"/>
    <n v="49"/>
    <s v="Female"/>
    <s v="PhD"/>
    <x v="0"/>
    <s v="Software Engineer"/>
    <n v="27"/>
    <x v="0"/>
    <s v="Medium"/>
    <s v="Yes"/>
    <n v="43331"/>
    <n v="45401"/>
    <x v="1"/>
    <n v="53"/>
    <x v="1"/>
    <n v="6"/>
    <n v="29.95"/>
    <n v="2070"/>
    <n v="4.7771803097089842"/>
    <s v="Expert"/>
    <s v="Medium Impact"/>
  </r>
  <r>
    <s v="E1693"/>
    <n v="25"/>
    <s v="Male"/>
    <s v="Master"/>
    <x v="4"/>
    <s v="Store Manager"/>
    <n v="0"/>
    <x v="0"/>
    <s v="High"/>
    <s v="Yes"/>
    <n v="117211"/>
    <n v="120452"/>
    <x v="0"/>
    <n v="44"/>
    <x v="0"/>
    <n v="8"/>
    <n v="29.91"/>
    <n v="3241"/>
    <n v="2.7650988388461832"/>
    <s v="Beginner"/>
    <s v="Low Impact"/>
  </r>
  <r>
    <s v="E0096"/>
    <n v="47"/>
    <s v="Female"/>
    <s v="PhD"/>
    <x v="2"/>
    <s v="Digital Marketer"/>
    <n v="24"/>
    <x v="0"/>
    <s v="Medium"/>
    <s v="Yes"/>
    <n v="88017"/>
    <n v="89903"/>
    <x v="1"/>
    <n v="52"/>
    <x v="0"/>
    <n v="6"/>
    <n v="29.88"/>
    <n v="1886"/>
    <n v="2.1427678743879022"/>
    <s v="Expert"/>
    <s v="Medium Impact"/>
  </r>
  <r>
    <s v="E0578"/>
    <n v="32"/>
    <s v="Male"/>
    <s v="PhD"/>
    <x v="2"/>
    <s v="Digital Marketer"/>
    <n v="9"/>
    <x v="0"/>
    <s v="Low"/>
    <s v="Yes"/>
    <n v="38026"/>
    <n v="38287"/>
    <x v="0"/>
    <n v="51"/>
    <x v="0"/>
    <n v="3"/>
    <n v="29.88"/>
    <n v="261"/>
    <n v="0.68637248198600953"/>
    <s v="Intermediate"/>
    <s v="Low Impact"/>
  </r>
  <r>
    <s v="E0125"/>
    <n v="32"/>
    <s v="Other"/>
    <s v="High School"/>
    <x v="3"/>
    <s v="Investment Analyst"/>
    <n v="8"/>
    <x v="0"/>
    <s v="Medium"/>
    <s v="Yes"/>
    <n v="72078"/>
    <n v="78523"/>
    <x v="1"/>
    <n v="46"/>
    <x v="0"/>
    <n v="4"/>
    <n v="29.84"/>
    <n v="6445"/>
    <n v="8.9417020450067977"/>
    <s v="Intermediate"/>
    <s v="Medium Impact"/>
  </r>
  <r>
    <s v="E1733"/>
    <n v="58"/>
    <s v="Female"/>
    <s v="PhD"/>
    <x v="3"/>
    <s v="Auditor"/>
    <n v="33"/>
    <x v="1"/>
    <s v="Low"/>
    <s v="Yes"/>
    <n v="43665"/>
    <n v="45656"/>
    <x v="0"/>
    <n v="53"/>
    <x v="0"/>
    <n v="6"/>
    <n v="29.81"/>
    <n v="1991"/>
    <n v="4.5597160196954079"/>
    <s v="Expert"/>
    <s v="Low Impact"/>
  </r>
  <r>
    <s v="E1799"/>
    <n v="51"/>
    <s v="Male"/>
    <s v="PhD"/>
    <x v="4"/>
    <s v="Cashier"/>
    <n v="29"/>
    <x v="1"/>
    <s v="Low"/>
    <s v="Yes"/>
    <n v="39821"/>
    <n v="41280"/>
    <x v="0"/>
    <n v="51"/>
    <x v="1"/>
    <n v="4"/>
    <n v="29.77"/>
    <n v="1459"/>
    <n v="3.6638959343060198"/>
    <s v="Expert"/>
    <s v="Low Impact"/>
  </r>
  <r>
    <s v="E1957"/>
    <n v="51"/>
    <s v="Female"/>
    <s v="High School"/>
    <x v="4"/>
    <s v="Sales Associate"/>
    <n v="25"/>
    <x v="2"/>
    <s v="Low"/>
    <s v="Yes"/>
    <n v="47408"/>
    <n v="48337"/>
    <x v="0"/>
    <n v="42"/>
    <x v="1"/>
    <n v="7"/>
    <n v="29.75"/>
    <n v="929"/>
    <n v="1.9595848801889977"/>
    <s v="Expert"/>
    <s v="Low Impact"/>
  </r>
  <r>
    <s v="E0560"/>
    <n v="42"/>
    <s v="Female"/>
    <s v="High School"/>
    <x v="0"/>
    <s v="Software Engineer"/>
    <n v="16"/>
    <x v="2"/>
    <s v="Medium"/>
    <s v="No"/>
    <n v="30136"/>
    <n v="25512"/>
    <x v="1"/>
    <n v="41"/>
    <x v="1"/>
    <n v="8"/>
    <n v="29.73"/>
    <n v="-4624"/>
    <n v="-15.343774887178126"/>
    <s v="Expert"/>
    <s v="Medium Impact"/>
  </r>
  <r>
    <s v="E0558"/>
    <n v="46"/>
    <s v="Other"/>
    <s v="Master"/>
    <x v="6"/>
    <s v="Doctor"/>
    <n v="20"/>
    <x v="2"/>
    <s v="Low"/>
    <s v="No"/>
    <n v="62828"/>
    <n v="63599"/>
    <x v="0"/>
    <n v="47"/>
    <x v="1"/>
    <n v="9"/>
    <n v="29.71"/>
    <n v="771"/>
    <n v="1.2271598650283313"/>
    <s v="Expert"/>
    <s v="Low Impact"/>
  </r>
  <r>
    <s v="E0751"/>
    <n v="38"/>
    <s v="Male"/>
    <s v="PhD"/>
    <x v="0"/>
    <s v="Data Analyst"/>
    <n v="15"/>
    <x v="2"/>
    <s v="High"/>
    <s v="Yes"/>
    <n v="54495"/>
    <n v="62776"/>
    <x v="2"/>
    <n v="45"/>
    <x v="0"/>
    <n v="4"/>
    <n v="29.71"/>
    <n v="8281"/>
    <n v="15.195889531149648"/>
    <s v="Expert"/>
    <s v="High Impact"/>
  </r>
  <r>
    <s v="E0127"/>
    <n v="22"/>
    <s v="Male"/>
    <s v="Bachelor"/>
    <x v="1"/>
    <s v="Supervisor"/>
    <n v="0"/>
    <x v="0"/>
    <s v="Medium"/>
    <s v="Yes"/>
    <n v="35951"/>
    <n v="38367"/>
    <x v="1"/>
    <n v="39"/>
    <x v="0"/>
    <n v="8"/>
    <n v="29.68"/>
    <n v="2416"/>
    <n v="6.7202581291201904"/>
    <s v="Beginner"/>
    <s v="Medium Impact"/>
  </r>
  <r>
    <s v="E1762"/>
    <n v="57"/>
    <s v="Other"/>
    <s v="Master"/>
    <x v="5"/>
    <s v="Teacher"/>
    <n v="35"/>
    <x v="2"/>
    <s v="High"/>
    <s v="Yes"/>
    <n v="52787"/>
    <n v="62031"/>
    <x v="2"/>
    <n v="48"/>
    <x v="0"/>
    <n v="9"/>
    <n v="29.64"/>
    <n v="9244"/>
    <n v="17.511887396518084"/>
    <s v="Expert"/>
    <s v="High Impact"/>
  </r>
  <r>
    <s v="E0757"/>
    <n v="54"/>
    <s v="Other"/>
    <s v="Master"/>
    <x v="1"/>
    <s v="Supervisor"/>
    <n v="29"/>
    <x v="0"/>
    <s v="Low"/>
    <s v="Yes"/>
    <n v="111502"/>
    <n v="119649"/>
    <x v="0"/>
    <n v="52"/>
    <x v="0"/>
    <n v="6"/>
    <n v="29.58"/>
    <n v="8147"/>
    <n v="7.3065953973919751"/>
    <s v="Expert"/>
    <s v="Low Impact"/>
  </r>
  <r>
    <s v="E0194"/>
    <n v="47"/>
    <s v="Other"/>
    <s v="High School"/>
    <x v="4"/>
    <s v="Store Manager"/>
    <n v="25"/>
    <x v="2"/>
    <s v="High"/>
    <s v="Yes"/>
    <n v="57376"/>
    <n v="78855"/>
    <x v="2"/>
    <n v="39"/>
    <x v="1"/>
    <n v="7"/>
    <n v="29.57"/>
    <n v="21479"/>
    <n v="37.435513106525377"/>
    <s v="Expert"/>
    <s v="High Impact"/>
  </r>
  <r>
    <s v="E0387"/>
    <n v="43"/>
    <s v="Other"/>
    <s v="High School"/>
    <x v="5"/>
    <s v="Administrator"/>
    <n v="21"/>
    <x v="1"/>
    <s v="High"/>
    <s v="No"/>
    <n v="83330"/>
    <n v="99315"/>
    <x v="0"/>
    <n v="53"/>
    <x v="1"/>
    <n v="3"/>
    <n v="29.56"/>
    <n v="15985"/>
    <n v="19.182767310692427"/>
    <s v="Expert"/>
    <s v="Low Impact"/>
  </r>
  <r>
    <s v="E1554"/>
    <n v="44"/>
    <s v="Female"/>
    <s v="PhD"/>
    <x v="6"/>
    <s v="Nurse"/>
    <n v="18"/>
    <x v="1"/>
    <s v="High"/>
    <s v="Yes"/>
    <n v="88806"/>
    <n v="85656"/>
    <x v="0"/>
    <n v="47"/>
    <x v="0"/>
    <n v="6"/>
    <n v="29.52"/>
    <n v="-3150"/>
    <n v="-3.5470576312411324"/>
    <s v="Expert"/>
    <s v="Low Impact"/>
  </r>
  <r>
    <s v="E1832"/>
    <n v="39"/>
    <s v="Female"/>
    <s v="High School"/>
    <x v="1"/>
    <s v="Supervisor"/>
    <n v="17"/>
    <x v="0"/>
    <s v="Medium"/>
    <s v="No"/>
    <n v="57044"/>
    <n v="61204"/>
    <x v="1"/>
    <n v="50"/>
    <x v="1"/>
    <n v="6"/>
    <n v="29.52"/>
    <n v="4160"/>
    <n v="7.292616226071102"/>
    <s v="Expert"/>
    <s v="Medium Impact"/>
  </r>
  <r>
    <s v="E0299"/>
    <n v="37"/>
    <s v="Other"/>
    <s v="Bachelor"/>
    <x v="0"/>
    <s v="Data Analyst"/>
    <n v="11"/>
    <x v="2"/>
    <s v="High"/>
    <s v="Yes"/>
    <n v="41138"/>
    <n v="56428"/>
    <x v="1"/>
    <n v="47"/>
    <x v="0"/>
    <n v="7"/>
    <n v="29.51"/>
    <n v="15290"/>
    <n v="37.167582284019637"/>
    <s v="Intermediate"/>
    <s v="Medium Impact"/>
  </r>
  <r>
    <s v="E0591"/>
    <n v="43"/>
    <s v="Male"/>
    <s v="PhD"/>
    <x v="5"/>
    <s v="Professor"/>
    <n v="17"/>
    <x v="1"/>
    <s v="Medium"/>
    <s v="No"/>
    <n v="50884"/>
    <n v="59358"/>
    <x v="1"/>
    <n v="48"/>
    <x v="1"/>
    <n v="4"/>
    <n v="29.46"/>
    <n v="8474"/>
    <n v="16.653564971307286"/>
    <s v="Expert"/>
    <s v="Medium Impact"/>
  </r>
  <r>
    <s v="E0849"/>
    <n v="33"/>
    <s v="Other"/>
    <s v="Master"/>
    <x v="1"/>
    <s v="Machine Operator"/>
    <n v="11"/>
    <x v="2"/>
    <s v="Low"/>
    <s v="Yes"/>
    <n v="118095"/>
    <n v="120161"/>
    <x v="0"/>
    <n v="51"/>
    <x v="0"/>
    <n v="8"/>
    <n v="29.44"/>
    <n v="2066"/>
    <n v="1.7494390109657481"/>
    <s v="Intermediate"/>
    <s v="Low Impact"/>
  </r>
  <r>
    <s v="E1494"/>
    <n v="47"/>
    <s v="Female"/>
    <s v="PhD"/>
    <x v="0"/>
    <s v="Data Analyst"/>
    <n v="21"/>
    <x v="2"/>
    <s v="High"/>
    <s v="Yes"/>
    <n v="78542"/>
    <n v="98309"/>
    <x v="2"/>
    <n v="42"/>
    <x v="0"/>
    <n v="6"/>
    <n v="29.4"/>
    <n v="19767"/>
    <n v="25.167426345140182"/>
    <s v="Expert"/>
    <s v="High Impact"/>
  </r>
  <r>
    <s v="E1725"/>
    <n v="55"/>
    <s v="Other"/>
    <s v="Master"/>
    <x v="5"/>
    <s v="Teacher"/>
    <n v="33"/>
    <x v="2"/>
    <s v="Medium"/>
    <s v="No"/>
    <n v="54111"/>
    <n v="72296"/>
    <x v="1"/>
    <n v="35"/>
    <x v="0"/>
    <n v="9"/>
    <n v="29.39"/>
    <n v="18185"/>
    <n v="33.606845188593816"/>
    <s v="Expert"/>
    <s v="Medium Impact"/>
  </r>
  <r>
    <s v="E0088"/>
    <n v="49"/>
    <s v="Male"/>
    <s v="High School"/>
    <x v="4"/>
    <s v="Sales Associate"/>
    <n v="23"/>
    <x v="1"/>
    <s v="Low"/>
    <s v="No"/>
    <n v="57532"/>
    <n v="67501"/>
    <x v="0"/>
    <n v="52"/>
    <x v="0"/>
    <n v="5"/>
    <n v="29.35"/>
    <n v="9969"/>
    <n v="17.327748035875686"/>
    <s v="Expert"/>
    <s v="Low Impact"/>
  </r>
  <r>
    <s v="E0589"/>
    <n v="43"/>
    <s v="Male"/>
    <s v="Master"/>
    <x v="4"/>
    <s v="Store Manager"/>
    <n v="20"/>
    <x v="0"/>
    <s v="Medium"/>
    <s v="No"/>
    <n v="82198"/>
    <n v="87665"/>
    <x v="1"/>
    <n v="40"/>
    <x v="1"/>
    <n v="6"/>
    <n v="29.3"/>
    <n v="5467"/>
    <n v="6.65101340665223"/>
    <s v="Expert"/>
    <s v="Medium Impact"/>
  </r>
  <r>
    <s v="E1397"/>
    <n v="55"/>
    <s v="Female"/>
    <s v="High School"/>
    <x v="0"/>
    <s v="DevOps Engineer"/>
    <n v="29"/>
    <x v="2"/>
    <s v="Medium"/>
    <s v="No"/>
    <n v="38252"/>
    <n v="48424"/>
    <x v="1"/>
    <n v="45"/>
    <x v="0"/>
    <n v="6"/>
    <n v="29.3"/>
    <n v="10172"/>
    <n v="26.592073617065775"/>
    <s v="Expert"/>
    <s v="Medium Impact"/>
  </r>
  <r>
    <s v="E0063"/>
    <n v="56"/>
    <s v="Male"/>
    <s v="High School"/>
    <x v="2"/>
    <s v="SEO Specialist"/>
    <n v="31"/>
    <x v="0"/>
    <s v="Medium"/>
    <s v="No"/>
    <n v="34000"/>
    <n v="36437"/>
    <x v="1"/>
    <n v="46"/>
    <x v="0"/>
    <n v="5"/>
    <n v="29.24"/>
    <n v="2437"/>
    <n v="7.1676470588235297"/>
    <s v="Expert"/>
    <s v="Medium Impact"/>
  </r>
  <r>
    <s v="E0412"/>
    <n v="59"/>
    <s v="Female"/>
    <s v="PhD"/>
    <x v="3"/>
    <s v="Accountant"/>
    <n v="35"/>
    <x v="1"/>
    <s v="High"/>
    <s v="Yes"/>
    <n v="36031"/>
    <n v="43142"/>
    <x v="0"/>
    <n v="43"/>
    <x v="0"/>
    <n v="8"/>
    <n v="29.2"/>
    <n v="7111"/>
    <n v="19.735783075684825"/>
    <s v="Expert"/>
    <s v="Low Impact"/>
  </r>
  <r>
    <s v="E1259"/>
    <n v="35"/>
    <s v="Female"/>
    <s v="Master"/>
    <x v="1"/>
    <s v="Machine Operator"/>
    <n v="12"/>
    <x v="2"/>
    <s v="High"/>
    <s v="Yes"/>
    <n v="109064"/>
    <n v="115654"/>
    <x v="1"/>
    <n v="50"/>
    <x v="1"/>
    <n v="9"/>
    <n v="29.17"/>
    <n v="6590"/>
    <n v="6.0423237731973884"/>
    <s v="Intermediate"/>
    <s v="Medium Impact"/>
  </r>
  <r>
    <s v="E1045"/>
    <n v="53"/>
    <s v="Other"/>
    <s v="PhD"/>
    <x v="3"/>
    <s v="Auditor"/>
    <n v="30"/>
    <x v="0"/>
    <s v="Medium"/>
    <s v="Yes"/>
    <n v="30453"/>
    <n v="30407"/>
    <x v="1"/>
    <n v="35"/>
    <x v="1"/>
    <n v="5"/>
    <n v="29.15"/>
    <n v="-46"/>
    <n v="-0.15105244146717894"/>
    <s v="Expert"/>
    <s v="Medium Impact"/>
  </r>
  <r>
    <s v="E0208"/>
    <n v="38"/>
    <s v="Other"/>
    <s v="PhD"/>
    <x v="6"/>
    <s v="Nurse"/>
    <n v="15"/>
    <x v="0"/>
    <s v="High"/>
    <s v="No"/>
    <n v="42987"/>
    <n v="40896"/>
    <x v="0"/>
    <n v="50"/>
    <x v="1"/>
    <n v="8"/>
    <n v="29.12"/>
    <n v="-2091"/>
    <n v="-4.8642612882964622"/>
    <s v="Expert"/>
    <s v="Low Impact"/>
  </r>
  <r>
    <s v="E1062"/>
    <n v="54"/>
    <s v="Female"/>
    <s v="Master"/>
    <x v="1"/>
    <s v="Quality Inspector"/>
    <n v="32"/>
    <x v="1"/>
    <s v="Medium"/>
    <s v="No"/>
    <n v="40702"/>
    <n v="42280"/>
    <x v="1"/>
    <n v="41"/>
    <x v="0"/>
    <n v="8"/>
    <n v="29.1"/>
    <n v="1578"/>
    <n v="3.8769593631762564"/>
    <s v="Expert"/>
    <s v="Medium Impact"/>
  </r>
  <r>
    <s v="E0510"/>
    <n v="34"/>
    <s v="Male"/>
    <s v="High School"/>
    <x v="6"/>
    <s v="Nurse"/>
    <n v="11"/>
    <x v="1"/>
    <s v="Low"/>
    <s v="Yes"/>
    <n v="87649"/>
    <n v="102445"/>
    <x v="0"/>
    <n v="50"/>
    <x v="0"/>
    <n v="5"/>
    <n v="29.08"/>
    <n v="14796"/>
    <n v="16.880968408082236"/>
    <s v="Intermediate"/>
    <s v="Low Impact"/>
  </r>
  <r>
    <s v="E0021"/>
    <n v="54"/>
    <s v="Other"/>
    <s v="High School"/>
    <x v="1"/>
    <s v="Quality Inspector"/>
    <n v="32"/>
    <x v="0"/>
    <s v="Medium"/>
    <s v="Yes"/>
    <n v="96842"/>
    <n v="98204"/>
    <x v="1"/>
    <n v="43"/>
    <x v="0"/>
    <n v="5"/>
    <n v="29.08"/>
    <n v="1362"/>
    <n v="1.4064145721897525"/>
    <s v="Expert"/>
    <s v="Medium Impact"/>
  </r>
  <r>
    <s v="E1167"/>
    <n v="48"/>
    <s v="Male"/>
    <s v="PhD"/>
    <x v="0"/>
    <s v="DevOps Engineer"/>
    <n v="26"/>
    <x v="0"/>
    <s v="Medium"/>
    <s v="Yes"/>
    <n v="45893"/>
    <n v="46760"/>
    <x v="1"/>
    <n v="43"/>
    <x v="1"/>
    <n v="6"/>
    <n v="29.08"/>
    <n v="867"/>
    <n v="1.8891769986708211"/>
    <s v="Expert"/>
    <s v="Medium Impact"/>
  </r>
  <r>
    <s v="E1263"/>
    <n v="42"/>
    <s v="Male"/>
    <s v="PhD"/>
    <x v="2"/>
    <s v="SEO Specialist"/>
    <n v="16"/>
    <x v="1"/>
    <s v="Medium"/>
    <s v="Yes"/>
    <n v="54714"/>
    <n v="54590"/>
    <x v="1"/>
    <n v="40"/>
    <x v="1"/>
    <n v="7"/>
    <n v="29.02"/>
    <n v="-124"/>
    <n v="-0.22663303724823627"/>
    <s v="Expert"/>
    <s v="Medium Impact"/>
  </r>
  <r>
    <s v="E0429"/>
    <n v="45"/>
    <s v="Male"/>
    <s v="Master"/>
    <x v="4"/>
    <s v="Store Manager"/>
    <n v="19"/>
    <x v="1"/>
    <s v="Medium"/>
    <s v="No"/>
    <n v="85778"/>
    <n v="81073"/>
    <x v="1"/>
    <n v="38"/>
    <x v="1"/>
    <n v="5"/>
    <n v="29.01"/>
    <n v="-4705"/>
    <n v="-5.4850894168667956"/>
    <s v="Expert"/>
    <s v="Medium Impact"/>
  </r>
  <r>
    <s v="E0524"/>
    <n v="41"/>
    <s v="Other"/>
    <s v="High School"/>
    <x v="4"/>
    <s v="Sales Associate"/>
    <n v="16"/>
    <x v="1"/>
    <s v="High"/>
    <s v="No"/>
    <n v="57798"/>
    <n v="57506"/>
    <x v="0"/>
    <n v="39"/>
    <x v="1"/>
    <n v="9"/>
    <n v="28.98"/>
    <n v="-292"/>
    <n v="-0.5052077926571853"/>
    <s v="Expert"/>
    <s v="Low Impact"/>
  </r>
  <r>
    <s v="E0954"/>
    <n v="47"/>
    <s v="Female"/>
    <s v="High School"/>
    <x v="3"/>
    <s v="Auditor"/>
    <n v="23"/>
    <x v="2"/>
    <s v="Low"/>
    <s v="No"/>
    <n v="81638"/>
    <n v="107543"/>
    <x v="0"/>
    <n v="46"/>
    <x v="1"/>
    <n v="7"/>
    <n v="28.97"/>
    <n v="25905"/>
    <n v="31.731546583698766"/>
    <s v="Expert"/>
    <s v="Low Impact"/>
  </r>
  <r>
    <s v="E1015"/>
    <n v="24"/>
    <s v="Male"/>
    <s v="Bachelor"/>
    <x v="1"/>
    <s v="Quality Inspector"/>
    <n v="0"/>
    <x v="0"/>
    <s v="High"/>
    <s v="Yes"/>
    <n v="72498"/>
    <n v="74033"/>
    <x v="0"/>
    <n v="40"/>
    <x v="1"/>
    <n v="5"/>
    <n v="28.96"/>
    <n v="1535"/>
    <n v="2.1172997875803472"/>
    <s v="Beginner"/>
    <s v="Low Impact"/>
  </r>
  <r>
    <s v="E0828"/>
    <n v="34"/>
    <s v="Male"/>
    <s v="High School"/>
    <x v="6"/>
    <s v="Doctor"/>
    <n v="12"/>
    <x v="0"/>
    <s v="Medium"/>
    <s v="No"/>
    <n v="30228"/>
    <n v="31829"/>
    <x v="1"/>
    <n v="51"/>
    <x v="1"/>
    <n v="9"/>
    <n v="28.9"/>
    <n v="1601"/>
    <n v="5.2964139208680692"/>
    <s v="Intermediate"/>
    <s v="Medium Impact"/>
  </r>
  <r>
    <s v="E1597"/>
    <n v="34"/>
    <s v="Female"/>
    <s v="Bachelor"/>
    <x v="3"/>
    <s v="Investment Analyst"/>
    <n v="8"/>
    <x v="1"/>
    <s v="Low"/>
    <s v="Yes"/>
    <n v="66776"/>
    <n v="79208"/>
    <x v="0"/>
    <n v="49"/>
    <x v="1"/>
    <n v="6"/>
    <n v="28.85"/>
    <n v="12432"/>
    <n v="18.617467353540192"/>
    <s v="Intermediate"/>
    <s v="Low Impact"/>
  </r>
  <r>
    <s v="E0902"/>
    <n v="55"/>
    <s v="Other"/>
    <s v="Bachelor"/>
    <x v="5"/>
    <s v="Teacher"/>
    <n v="29"/>
    <x v="2"/>
    <s v="High"/>
    <s v="No"/>
    <n v="114585"/>
    <n v="125226"/>
    <x v="2"/>
    <n v="45"/>
    <x v="0"/>
    <n v="4"/>
    <n v="28.78"/>
    <n v="10641"/>
    <n v="9.2865558319151713"/>
    <s v="Expert"/>
    <s v="High Impact"/>
  </r>
  <r>
    <s v="E1124"/>
    <n v="51"/>
    <s v="Other"/>
    <s v="PhD"/>
    <x v="4"/>
    <s v="Store Manager"/>
    <n v="29"/>
    <x v="2"/>
    <s v="High"/>
    <s v="Yes"/>
    <n v="104554"/>
    <n v="100458"/>
    <x v="1"/>
    <n v="52"/>
    <x v="1"/>
    <n v="7"/>
    <n v="28.69"/>
    <n v="-4096"/>
    <n v="-3.9175928228475239"/>
    <s v="Expert"/>
    <s v="Medium Impact"/>
  </r>
  <r>
    <s v="E1449"/>
    <n v="48"/>
    <s v="Other"/>
    <s v="Master"/>
    <x v="1"/>
    <s v="Machine Operator"/>
    <n v="25"/>
    <x v="0"/>
    <s v="Low"/>
    <s v="Yes"/>
    <n v="112336"/>
    <n v="119407"/>
    <x v="0"/>
    <n v="46"/>
    <x v="0"/>
    <n v="9"/>
    <n v="28.67"/>
    <n v="7071"/>
    <n v="6.2945093291553915"/>
    <s v="Expert"/>
    <s v="Low Impact"/>
  </r>
  <r>
    <s v="E1506"/>
    <n v="59"/>
    <s v="Male"/>
    <s v="PhD"/>
    <x v="3"/>
    <s v="Auditor"/>
    <n v="33"/>
    <x v="1"/>
    <s v="Low"/>
    <s v="No"/>
    <n v="102790"/>
    <n v="100288"/>
    <x v="0"/>
    <n v="44"/>
    <x v="0"/>
    <n v="9"/>
    <n v="28.64"/>
    <n v="-2502"/>
    <n v="-2.4340889191555597"/>
    <s v="Expert"/>
    <s v="Low Impact"/>
  </r>
  <r>
    <s v="E0754"/>
    <n v="58"/>
    <s v="Female"/>
    <s v="Bachelor"/>
    <x v="0"/>
    <s v="Data Analyst"/>
    <n v="36"/>
    <x v="1"/>
    <s v="High"/>
    <s v="No"/>
    <n v="95449"/>
    <n v="99685"/>
    <x v="0"/>
    <n v="41"/>
    <x v="1"/>
    <n v="3"/>
    <n v="28.58"/>
    <n v="4236"/>
    <n v="4.4379721107607208"/>
    <s v="Expert"/>
    <s v="Low Impact"/>
  </r>
  <r>
    <s v="E1629"/>
    <n v="45"/>
    <s v="Female"/>
    <s v="Bachelor"/>
    <x v="4"/>
    <s v="Store Manager"/>
    <n v="20"/>
    <x v="1"/>
    <s v="High"/>
    <s v="No"/>
    <n v="58114"/>
    <n v="66296"/>
    <x v="0"/>
    <n v="44"/>
    <x v="0"/>
    <n v="6"/>
    <n v="28.54"/>
    <n v="8182"/>
    <n v="14.079223595002926"/>
    <s v="Expert"/>
    <s v="Low Impact"/>
  </r>
  <r>
    <s v="E1685"/>
    <n v="25"/>
    <s v="Male"/>
    <s v="High School"/>
    <x v="0"/>
    <s v="Data Analyst"/>
    <n v="0"/>
    <x v="0"/>
    <s v="Medium"/>
    <s v="Yes"/>
    <n v="48226"/>
    <n v="49663"/>
    <x v="1"/>
    <n v="35"/>
    <x v="1"/>
    <n v="9"/>
    <n v="28.54"/>
    <n v="1437"/>
    <n v="2.9797204827271595"/>
    <s v="Beginner"/>
    <s v="Medium Impact"/>
  </r>
  <r>
    <s v="E0846"/>
    <n v="44"/>
    <s v="Male"/>
    <s v="Master"/>
    <x v="2"/>
    <s v="Digital Marketer"/>
    <n v="20"/>
    <x v="2"/>
    <s v="High"/>
    <s v="No"/>
    <n v="86633"/>
    <n v="101816"/>
    <x v="2"/>
    <n v="41"/>
    <x v="0"/>
    <n v="3"/>
    <n v="28.5"/>
    <n v="15183"/>
    <n v="17.525654196437848"/>
    <s v="Expert"/>
    <s v="High Impact"/>
  </r>
  <r>
    <s v="E0960"/>
    <n v="44"/>
    <s v="Male"/>
    <s v="Bachelor"/>
    <x v="3"/>
    <s v="Accountant"/>
    <n v="20"/>
    <x v="2"/>
    <s v="Low"/>
    <s v="No"/>
    <n v="83997"/>
    <n v="106300"/>
    <x v="0"/>
    <n v="54"/>
    <x v="0"/>
    <n v="3"/>
    <n v="28.48"/>
    <n v="22303"/>
    <n v="26.552138766860722"/>
    <s v="Expert"/>
    <s v="Low Impact"/>
  </r>
  <r>
    <s v="E1331"/>
    <n v="43"/>
    <s v="Other"/>
    <s v="PhD"/>
    <x v="6"/>
    <s v="Nurse"/>
    <n v="19"/>
    <x v="2"/>
    <s v="Low"/>
    <s v="No"/>
    <n v="31868"/>
    <n v="41018"/>
    <x v="0"/>
    <n v="46"/>
    <x v="0"/>
    <n v="6"/>
    <n v="28.48"/>
    <n v="9150"/>
    <n v="28.712187774570104"/>
    <s v="Expert"/>
    <s v="Low Impact"/>
  </r>
  <r>
    <s v="E0511"/>
    <n v="35"/>
    <s v="Other"/>
    <s v="Bachelor"/>
    <x v="4"/>
    <s v="Sales Associate"/>
    <n v="13"/>
    <x v="0"/>
    <s v="Medium"/>
    <s v="No"/>
    <n v="116511"/>
    <n v="126448"/>
    <x v="1"/>
    <n v="41"/>
    <x v="1"/>
    <n v="8"/>
    <n v="28.4"/>
    <n v="9937"/>
    <n v="8.528808438688193"/>
    <s v="Intermediate"/>
    <s v="Medium Impact"/>
  </r>
  <r>
    <s v="E1200"/>
    <n v="35"/>
    <s v="Male"/>
    <s v="Master"/>
    <x v="6"/>
    <s v="Technician"/>
    <n v="12"/>
    <x v="2"/>
    <s v="Low"/>
    <s v="Yes"/>
    <n v="46304"/>
    <n v="61942"/>
    <x v="0"/>
    <n v="44"/>
    <x v="0"/>
    <n v="4"/>
    <n v="28.4"/>
    <n v="15638"/>
    <n v="33.772460262612306"/>
    <s v="Intermediate"/>
    <s v="Low Impact"/>
  </r>
  <r>
    <s v="E1714"/>
    <n v="58"/>
    <s v="Female"/>
    <s v="Bachelor"/>
    <x v="4"/>
    <s v="Cashier"/>
    <n v="36"/>
    <x v="2"/>
    <s v="High"/>
    <s v="Yes"/>
    <n v="49455"/>
    <n v="67257"/>
    <x v="1"/>
    <n v="41"/>
    <x v="0"/>
    <n v="3"/>
    <n v="28.36"/>
    <n v="17802"/>
    <n v="35.996360327570521"/>
    <s v="Expert"/>
    <s v="Medium Impact"/>
  </r>
  <r>
    <s v="E1220"/>
    <n v="33"/>
    <s v="Other"/>
    <s v="Bachelor"/>
    <x v="2"/>
    <s v="Content Creator"/>
    <n v="8"/>
    <x v="1"/>
    <s v="Medium"/>
    <s v="Yes"/>
    <n v="60628"/>
    <n v="59121"/>
    <x v="1"/>
    <n v="41"/>
    <x v="1"/>
    <n v="4"/>
    <n v="28.35"/>
    <n v="-1507"/>
    <n v="-2.4856501946295442"/>
    <s v="Intermediate"/>
    <s v="Medium Impact"/>
  </r>
  <r>
    <s v="E1055"/>
    <n v="40"/>
    <s v="Other"/>
    <s v="Master"/>
    <x v="3"/>
    <s v="Accountant"/>
    <n v="14"/>
    <x v="1"/>
    <s v="Medium"/>
    <s v="No"/>
    <n v="37526"/>
    <n v="37611"/>
    <x v="1"/>
    <n v="48"/>
    <x v="0"/>
    <n v="3"/>
    <n v="28.33"/>
    <n v="85"/>
    <n v="0.22650961999680219"/>
    <s v="Intermediate"/>
    <s v="Medium Impact"/>
  </r>
  <r>
    <s v="E0098"/>
    <n v="36"/>
    <s v="Male"/>
    <s v="High School"/>
    <x v="6"/>
    <s v="Doctor"/>
    <n v="10"/>
    <x v="2"/>
    <s v="Low"/>
    <s v="No"/>
    <n v="69764"/>
    <n v="82573"/>
    <x v="0"/>
    <n v="41"/>
    <x v="0"/>
    <n v="8"/>
    <n v="28.3"/>
    <n v="12809"/>
    <n v="18.3604724499742"/>
    <s v="Intermediate"/>
    <s v="Low Impact"/>
  </r>
  <r>
    <s v="E1429"/>
    <n v="33"/>
    <s v="Female"/>
    <s v="High School"/>
    <x v="5"/>
    <s v="Professor"/>
    <n v="7"/>
    <x v="1"/>
    <s v="High"/>
    <s v="No"/>
    <n v="44633"/>
    <n v="52605"/>
    <x v="0"/>
    <n v="36"/>
    <x v="0"/>
    <n v="9"/>
    <n v="28.26"/>
    <n v="7972"/>
    <n v="17.861223758205814"/>
    <s v="Intermediate"/>
    <s v="Low Impact"/>
  </r>
  <r>
    <s v="E0775"/>
    <n v="33"/>
    <s v="Male"/>
    <s v="High School"/>
    <x v="1"/>
    <s v="Supervisor"/>
    <n v="8"/>
    <x v="2"/>
    <s v="Medium"/>
    <s v="Yes"/>
    <n v="113232"/>
    <n v="147152"/>
    <x v="1"/>
    <n v="51"/>
    <x v="1"/>
    <n v="7"/>
    <n v="28.25"/>
    <n v="33920"/>
    <n v="29.956196128302953"/>
    <s v="Intermediate"/>
    <s v="Medium Impact"/>
  </r>
  <r>
    <s v="E0452"/>
    <n v="35"/>
    <s v="Female"/>
    <s v="Bachelor"/>
    <x v="2"/>
    <s v="SEO Specialist"/>
    <n v="12"/>
    <x v="1"/>
    <s v="Low"/>
    <s v="Yes"/>
    <n v="46237"/>
    <n v="53022"/>
    <x v="0"/>
    <n v="38"/>
    <x v="0"/>
    <n v="7"/>
    <n v="28.24"/>
    <n v="6785"/>
    <n v="14.674394965071263"/>
    <s v="Intermediate"/>
    <s v="Low Impact"/>
  </r>
  <r>
    <s v="E0574"/>
    <n v="32"/>
    <s v="Male"/>
    <s v="High School"/>
    <x v="1"/>
    <s v="Supervisor"/>
    <n v="6"/>
    <x v="0"/>
    <s v="Low"/>
    <s v="No"/>
    <n v="73949"/>
    <n v="74553"/>
    <x v="0"/>
    <n v="53"/>
    <x v="0"/>
    <n v="4"/>
    <n v="28.21"/>
    <n v="604"/>
    <n v="0.81677913156364512"/>
    <s v="Intermediate"/>
    <s v="Low Impact"/>
  </r>
  <r>
    <s v="E1469"/>
    <n v="44"/>
    <s v="Female"/>
    <s v="Bachelor"/>
    <x v="4"/>
    <s v="Cashier"/>
    <n v="18"/>
    <x v="2"/>
    <s v="High"/>
    <s v="No"/>
    <n v="65367"/>
    <n v="62898"/>
    <x v="1"/>
    <n v="41"/>
    <x v="0"/>
    <n v="9"/>
    <n v="28.21"/>
    <n v="-2469"/>
    <n v="-3.7771352517325254"/>
    <s v="Expert"/>
    <s v="Medium Impact"/>
  </r>
  <r>
    <s v="E0316"/>
    <n v="29"/>
    <s v="Male"/>
    <s v="High School"/>
    <x v="5"/>
    <s v="Administrator"/>
    <n v="7"/>
    <x v="1"/>
    <s v="Medium"/>
    <s v="Yes"/>
    <n v="93530"/>
    <n v="102668"/>
    <x v="1"/>
    <n v="37"/>
    <x v="0"/>
    <n v="3"/>
    <n v="28.13"/>
    <n v="9138"/>
    <n v="9.7701272319042012"/>
    <s v="Intermediate"/>
    <s v="Medium Impact"/>
  </r>
  <r>
    <s v="E1069"/>
    <n v="25"/>
    <s v="Female"/>
    <s v="High School"/>
    <x v="0"/>
    <s v="Software Engineer"/>
    <n v="2"/>
    <x v="2"/>
    <s v="High"/>
    <s v="No"/>
    <n v="82389"/>
    <n v="97420"/>
    <x v="2"/>
    <n v="45"/>
    <x v="1"/>
    <n v="6"/>
    <n v="28.11"/>
    <n v="15031"/>
    <n v="18.243940331840417"/>
    <s v="Beginner"/>
    <s v="High Impact"/>
  </r>
  <r>
    <s v="E0594"/>
    <n v="41"/>
    <s v="Male"/>
    <s v="PhD"/>
    <x v="5"/>
    <s v="Teacher"/>
    <n v="16"/>
    <x v="1"/>
    <s v="Low"/>
    <s v="Yes"/>
    <n v="71258"/>
    <n v="84089"/>
    <x v="0"/>
    <n v="44"/>
    <x v="0"/>
    <n v="5"/>
    <n v="28.08"/>
    <n v="12831"/>
    <n v="18.006399281484185"/>
    <s v="Expert"/>
    <s v="Low Impact"/>
  </r>
  <r>
    <s v="E1410"/>
    <n v="47"/>
    <s v="Female"/>
    <s v="Master"/>
    <x v="1"/>
    <s v="Machine Operator"/>
    <n v="24"/>
    <x v="0"/>
    <s v="Low"/>
    <s v="No"/>
    <n v="103048"/>
    <n v="98628"/>
    <x v="0"/>
    <n v="41"/>
    <x v="0"/>
    <n v="4"/>
    <n v="28.07"/>
    <n v="-4420"/>
    <n v="-4.2892632559583888"/>
    <s v="Expert"/>
    <s v="Low Impact"/>
  </r>
  <r>
    <s v="E1025"/>
    <n v="47"/>
    <s v="Male"/>
    <s v="Master"/>
    <x v="6"/>
    <s v="Nurse"/>
    <n v="25"/>
    <x v="0"/>
    <s v="High"/>
    <s v="No"/>
    <n v="91313"/>
    <n v="99304"/>
    <x v="0"/>
    <n v="40"/>
    <x v="0"/>
    <n v="4"/>
    <n v="28.05"/>
    <n v="7991"/>
    <n v="8.7512183369290248"/>
    <s v="Expert"/>
    <s v="Low Impact"/>
  </r>
  <r>
    <s v="E1971"/>
    <n v="31"/>
    <s v="Male"/>
    <s v="PhD"/>
    <x v="3"/>
    <s v="Auditor"/>
    <n v="6"/>
    <x v="0"/>
    <s v="Medium"/>
    <s v="Yes"/>
    <n v="68805"/>
    <n v="72785"/>
    <x v="1"/>
    <n v="53"/>
    <x v="0"/>
    <n v="3"/>
    <n v="28.05"/>
    <n v="3980"/>
    <n v="5.7844633384201734"/>
    <s v="Intermediate"/>
    <s v="Medium Impact"/>
  </r>
  <r>
    <s v="E0717"/>
    <n v="35"/>
    <s v="Male"/>
    <s v="Master"/>
    <x v="3"/>
    <s v="Auditor"/>
    <n v="9"/>
    <x v="1"/>
    <s v="Low"/>
    <s v="No"/>
    <n v="119745"/>
    <n v="112350"/>
    <x v="0"/>
    <n v="46"/>
    <x v="0"/>
    <n v="8"/>
    <n v="28.01"/>
    <n v="-7395"/>
    <n v="-6.1756231992985091"/>
    <s v="Intermediate"/>
    <s v="Low Impact"/>
  </r>
  <r>
    <s v="E1184"/>
    <n v="53"/>
    <s v="Female"/>
    <s v="Master"/>
    <x v="4"/>
    <s v="Store Manager"/>
    <n v="29"/>
    <x v="0"/>
    <s v="Medium"/>
    <s v="No"/>
    <n v="85612"/>
    <n v="86895"/>
    <x v="1"/>
    <n v="49"/>
    <x v="0"/>
    <n v="3"/>
    <n v="27.98"/>
    <n v="1283"/>
    <n v="1.4986216885483343"/>
    <s v="Expert"/>
    <s v="Medium Impact"/>
  </r>
  <r>
    <s v="E0792"/>
    <n v="30"/>
    <s v="Female"/>
    <s v="Bachelor"/>
    <x v="4"/>
    <s v="Sales Associate"/>
    <n v="5"/>
    <x v="2"/>
    <s v="Medium"/>
    <s v="No"/>
    <n v="96727"/>
    <n v="116200"/>
    <x v="1"/>
    <n v="38"/>
    <x v="0"/>
    <n v="3"/>
    <n v="27.92"/>
    <n v="19473"/>
    <n v="20.131917665181387"/>
    <s v="Intermediate"/>
    <s v="Medium Impact"/>
  </r>
  <r>
    <s v="E0772"/>
    <n v="26"/>
    <s v="Female"/>
    <s v="PhD"/>
    <x v="1"/>
    <s v="Supervisor"/>
    <n v="4"/>
    <x v="1"/>
    <s v="Medium"/>
    <s v="Yes"/>
    <n v="75203"/>
    <n v="71721"/>
    <x v="1"/>
    <n v="36"/>
    <x v="1"/>
    <n v="4"/>
    <n v="27.85"/>
    <n v="-3482"/>
    <n v="-4.6301344361262178"/>
    <s v="Beginner"/>
    <s v="Medium Impact"/>
  </r>
  <r>
    <s v="E0520"/>
    <n v="40"/>
    <s v="Other"/>
    <s v="Bachelor"/>
    <x v="6"/>
    <s v="Doctor"/>
    <n v="16"/>
    <x v="1"/>
    <s v="Medium"/>
    <s v="No"/>
    <n v="64675"/>
    <n v="60620"/>
    <x v="1"/>
    <n v="35"/>
    <x v="1"/>
    <n v="8"/>
    <n v="27.85"/>
    <n v="-4055"/>
    <n v="-6.2698105914186311"/>
    <s v="Expert"/>
    <s v="Medium Impact"/>
  </r>
  <r>
    <s v="E1431"/>
    <n v="27"/>
    <s v="Other"/>
    <s v="Bachelor"/>
    <x v="4"/>
    <s v="Cashier"/>
    <n v="2"/>
    <x v="0"/>
    <s v="Low"/>
    <s v="Yes"/>
    <n v="86151"/>
    <n v="87682"/>
    <x v="0"/>
    <n v="39"/>
    <x v="0"/>
    <n v="8"/>
    <n v="27.82"/>
    <n v="1531"/>
    <n v="1.7771122796020939"/>
    <s v="Beginner"/>
    <s v="Low Impact"/>
  </r>
  <r>
    <s v="E1439"/>
    <n v="37"/>
    <s v="Other"/>
    <s v="Bachelor"/>
    <x v="4"/>
    <s v="Cashier"/>
    <n v="13"/>
    <x v="0"/>
    <s v="Medium"/>
    <s v="No"/>
    <n v="37910"/>
    <n v="40622"/>
    <x v="1"/>
    <n v="46"/>
    <x v="0"/>
    <n v="7"/>
    <n v="27.81"/>
    <n v="2712"/>
    <n v="7.1537852809285152"/>
    <s v="Intermediate"/>
    <s v="Medium Impact"/>
  </r>
  <r>
    <s v="E0936"/>
    <n v="49"/>
    <s v="Male"/>
    <s v="PhD"/>
    <x v="5"/>
    <s v="Professor"/>
    <n v="24"/>
    <x v="2"/>
    <s v="Low"/>
    <s v="No"/>
    <n v="64812"/>
    <n v="71832"/>
    <x v="0"/>
    <n v="47"/>
    <x v="0"/>
    <n v="6"/>
    <n v="27.8"/>
    <n v="7020"/>
    <n v="10.83132753193853"/>
    <s v="Expert"/>
    <s v="Low Impact"/>
  </r>
  <r>
    <s v="E0222"/>
    <n v="45"/>
    <s v="Male"/>
    <s v="Bachelor"/>
    <x v="4"/>
    <s v="Sales Associate"/>
    <n v="20"/>
    <x v="0"/>
    <s v="Medium"/>
    <s v="Yes"/>
    <n v="83625"/>
    <n v="87178"/>
    <x v="1"/>
    <n v="48"/>
    <x v="1"/>
    <n v="9"/>
    <n v="27.79"/>
    <n v="3553"/>
    <n v="4.2487294469357249"/>
    <s v="Expert"/>
    <s v="Medium Impact"/>
  </r>
  <r>
    <s v="E0963"/>
    <n v="31"/>
    <s v="Other"/>
    <s v="Bachelor"/>
    <x v="5"/>
    <s v="Administrator"/>
    <n v="8"/>
    <x v="2"/>
    <s v="High"/>
    <s v="No"/>
    <n v="45994"/>
    <n v="55882"/>
    <x v="2"/>
    <n v="35"/>
    <x v="1"/>
    <n v="8"/>
    <n v="27.7"/>
    <n v="9888"/>
    <n v="21.498456320389618"/>
    <s v="Intermediate"/>
    <s v="High Impact"/>
  </r>
  <r>
    <s v="E1398"/>
    <n v="39"/>
    <s v="Other"/>
    <s v="Bachelor"/>
    <x v="6"/>
    <s v="Doctor"/>
    <n v="15"/>
    <x v="0"/>
    <s v="Low"/>
    <s v="Yes"/>
    <n v="78888"/>
    <n v="76236"/>
    <x v="0"/>
    <n v="48"/>
    <x v="1"/>
    <n v="5"/>
    <n v="27.66"/>
    <n v="-2652"/>
    <n v="-3.3617280194706418"/>
    <s v="Expert"/>
    <s v="Low Impact"/>
  </r>
  <r>
    <s v="E1156"/>
    <n v="31"/>
    <s v="Other"/>
    <s v="High School"/>
    <x v="1"/>
    <s v="Quality Inspector"/>
    <n v="6"/>
    <x v="0"/>
    <s v="Medium"/>
    <s v="Yes"/>
    <n v="65201"/>
    <n v="69338"/>
    <x v="1"/>
    <n v="40"/>
    <x v="1"/>
    <n v="5"/>
    <n v="27.65"/>
    <n v="4137"/>
    <n v="6.3449947086701126"/>
    <s v="Intermediate"/>
    <s v="Medium Impact"/>
  </r>
  <r>
    <s v="E0275"/>
    <n v="34"/>
    <s v="Male"/>
    <s v="Bachelor"/>
    <x v="1"/>
    <s v="Machine Operator"/>
    <n v="8"/>
    <x v="2"/>
    <s v="Medium"/>
    <s v="Yes"/>
    <n v="118789"/>
    <n v="137334"/>
    <x v="1"/>
    <n v="49"/>
    <x v="1"/>
    <n v="4"/>
    <n v="27.62"/>
    <n v="18545"/>
    <n v="15.611714889425787"/>
    <s v="Intermediate"/>
    <s v="Medium Impact"/>
  </r>
  <r>
    <s v="E0662"/>
    <n v="29"/>
    <s v="Other"/>
    <s v="Master"/>
    <x v="1"/>
    <s v="Machine Operator"/>
    <n v="3"/>
    <x v="2"/>
    <s v="High"/>
    <s v="No"/>
    <n v="92901"/>
    <n v="97929"/>
    <x v="1"/>
    <n v="41"/>
    <x v="0"/>
    <n v="9"/>
    <n v="27.61"/>
    <n v="5028"/>
    <n v="5.4122130009364806"/>
    <s v="Beginner"/>
    <s v="Medium Impact"/>
  </r>
  <r>
    <s v="E1542"/>
    <n v="26"/>
    <s v="Female"/>
    <s v="Master"/>
    <x v="6"/>
    <s v="Nurse"/>
    <n v="2"/>
    <x v="2"/>
    <s v="High"/>
    <s v="Yes"/>
    <n v="100202"/>
    <n v="89409"/>
    <x v="1"/>
    <n v="49"/>
    <x v="1"/>
    <n v="9"/>
    <n v="27.61"/>
    <n v="-10793"/>
    <n v="-10.771242090976228"/>
    <s v="Beginner"/>
    <s v="Medium Impact"/>
  </r>
  <r>
    <s v="E0369"/>
    <n v="39"/>
    <s v="Other"/>
    <s v="PhD"/>
    <x v="0"/>
    <s v="Software Engineer"/>
    <n v="16"/>
    <x v="1"/>
    <s v="Low"/>
    <s v="Yes"/>
    <n v="36971"/>
    <n v="40992"/>
    <x v="0"/>
    <n v="41"/>
    <x v="0"/>
    <n v="5"/>
    <n v="27.6"/>
    <n v="4021"/>
    <n v="10.876092072164671"/>
    <s v="Expert"/>
    <s v="Low Impact"/>
  </r>
  <r>
    <s v="E0570"/>
    <n v="28"/>
    <s v="Female"/>
    <s v="Bachelor"/>
    <x v="3"/>
    <s v="Investment Analyst"/>
    <n v="5"/>
    <x v="2"/>
    <s v="High"/>
    <s v="Yes"/>
    <n v="30192"/>
    <n v="24481"/>
    <x v="1"/>
    <n v="37"/>
    <x v="0"/>
    <n v="9"/>
    <n v="27.57"/>
    <n v="-5711"/>
    <n v="-18.915606783253843"/>
    <s v="Intermediate"/>
    <s v="Medium Impact"/>
  </r>
  <r>
    <s v="E0359"/>
    <n v="55"/>
    <s v="Other"/>
    <s v="Master"/>
    <x v="4"/>
    <s v="Sales Associate"/>
    <n v="30"/>
    <x v="0"/>
    <s v="Medium"/>
    <s v="No"/>
    <n v="53481"/>
    <n v="55159"/>
    <x v="1"/>
    <n v="51"/>
    <x v="0"/>
    <n v="3"/>
    <n v="27.5"/>
    <n v="1678"/>
    <n v="3.1375628727959457"/>
    <s v="Expert"/>
    <s v="Medium Impact"/>
  </r>
  <r>
    <s v="E1982"/>
    <n v="30"/>
    <s v="Female"/>
    <s v="Bachelor"/>
    <x v="2"/>
    <s v="Content Creator"/>
    <n v="8"/>
    <x v="1"/>
    <s v="Medium"/>
    <s v="No"/>
    <n v="119043"/>
    <n v="117743"/>
    <x v="1"/>
    <n v="40"/>
    <x v="1"/>
    <n v="8"/>
    <n v="27.49"/>
    <n v="-1300"/>
    <n v="-1.0920423712440044"/>
    <s v="Intermediate"/>
    <s v="Medium Impact"/>
  </r>
  <r>
    <s v="E1510"/>
    <n v="55"/>
    <s v="Female"/>
    <s v="Master"/>
    <x v="2"/>
    <s v="Content Creator"/>
    <n v="33"/>
    <x v="2"/>
    <s v="Low"/>
    <s v="Yes"/>
    <n v="74331"/>
    <n v="60556"/>
    <x v="0"/>
    <n v="36"/>
    <x v="1"/>
    <n v="5"/>
    <n v="27.44"/>
    <n v="-13775"/>
    <n v="-18.531971855618785"/>
    <s v="Expert"/>
    <s v="Low Impact"/>
  </r>
  <r>
    <s v="E1367"/>
    <n v="57"/>
    <s v="Other"/>
    <s v="PhD"/>
    <x v="4"/>
    <s v="Cashier"/>
    <n v="35"/>
    <x v="2"/>
    <s v="Medium"/>
    <s v="No"/>
    <n v="61017"/>
    <n v="74367"/>
    <x v="1"/>
    <n v="42"/>
    <x v="0"/>
    <n v="5"/>
    <n v="27.42"/>
    <n v="13350"/>
    <n v="21.879148434042971"/>
    <s v="Expert"/>
    <s v="Medium Impact"/>
  </r>
  <r>
    <s v="E0013"/>
    <n v="32"/>
    <s v="Other"/>
    <s v="Bachelor"/>
    <x v="6"/>
    <s v="Nurse"/>
    <n v="8"/>
    <x v="2"/>
    <s v="High"/>
    <s v="No"/>
    <n v="69504"/>
    <n v="85267"/>
    <x v="1"/>
    <n v="39"/>
    <x v="0"/>
    <n v="4"/>
    <n v="27.41"/>
    <n v="15763"/>
    <n v="22.679270257826889"/>
    <s v="Intermediate"/>
    <s v="Medium Impact"/>
  </r>
  <r>
    <s v="E0234"/>
    <n v="40"/>
    <s v="Male"/>
    <s v="High School"/>
    <x v="0"/>
    <s v="DevOps Engineer"/>
    <n v="15"/>
    <x v="0"/>
    <s v="Low"/>
    <s v="Yes"/>
    <n v="100316"/>
    <n v="98040"/>
    <x v="0"/>
    <n v="53"/>
    <x v="0"/>
    <n v="6"/>
    <n v="27.38"/>
    <n v="-2276"/>
    <n v="-2.2688304956337975"/>
    <s v="Expert"/>
    <s v="Low Impact"/>
  </r>
  <r>
    <s v="E0113"/>
    <n v="38"/>
    <s v="Other"/>
    <s v="Bachelor"/>
    <x v="0"/>
    <s v="Software Engineer"/>
    <n v="12"/>
    <x v="0"/>
    <s v="Medium"/>
    <s v="No"/>
    <n v="36168"/>
    <n v="38043"/>
    <x v="1"/>
    <n v="47"/>
    <x v="0"/>
    <n v="4"/>
    <n v="27.35"/>
    <n v="1875"/>
    <n v="5.1841406768414071"/>
    <s v="Intermediate"/>
    <s v="Medium Impact"/>
  </r>
  <r>
    <s v="E0383"/>
    <n v="57"/>
    <s v="Female"/>
    <s v="PhD"/>
    <x v="5"/>
    <s v="Administrator"/>
    <n v="32"/>
    <x v="2"/>
    <s v="Low"/>
    <s v="Yes"/>
    <n v="53952"/>
    <n v="67960"/>
    <x v="0"/>
    <n v="47"/>
    <x v="1"/>
    <n v="9"/>
    <n v="27.31"/>
    <n v="14008"/>
    <n v="25.963819691577701"/>
    <s v="Expert"/>
    <s v="Low Impact"/>
  </r>
  <r>
    <s v="E1627"/>
    <n v="47"/>
    <s v="Other"/>
    <s v="Bachelor"/>
    <x v="3"/>
    <s v="Investment Analyst"/>
    <n v="25"/>
    <x v="0"/>
    <s v="High"/>
    <s v="Yes"/>
    <n v="68745"/>
    <n v="66114"/>
    <x v="0"/>
    <n v="46"/>
    <x v="0"/>
    <n v="8"/>
    <n v="27.29"/>
    <n v="-2631"/>
    <n v="-3.8271874318132229"/>
    <s v="Expert"/>
    <s v="Low Impact"/>
  </r>
  <r>
    <s v="E1669"/>
    <n v="34"/>
    <s v="Male"/>
    <s v="PhD"/>
    <x v="4"/>
    <s v="Store Manager"/>
    <n v="9"/>
    <x v="2"/>
    <s v="Low"/>
    <s v="Yes"/>
    <n v="63800"/>
    <n v="70945"/>
    <x v="0"/>
    <n v="36"/>
    <x v="0"/>
    <n v="9"/>
    <n v="27.28"/>
    <n v="7145"/>
    <n v="11.199059561128527"/>
    <s v="Intermediate"/>
    <s v="Low Impact"/>
  </r>
  <r>
    <s v="E0551"/>
    <n v="49"/>
    <s v="Female"/>
    <s v="Bachelor"/>
    <x v="1"/>
    <s v="Machine Operator"/>
    <n v="27"/>
    <x v="0"/>
    <s v="High"/>
    <s v="No"/>
    <n v="116664"/>
    <n v="111443"/>
    <x v="0"/>
    <n v="36"/>
    <x v="1"/>
    <n v="7"/>
    <n v="27.24"/>
    <n v="-5221"/>
    <n v="-4.4752451484605364"/>
    <s v="Expert"/>
    <s v="Low Impact"/>
  </r>
  <r>
    <s v="E1710"/>
    <n v="37"/>
    <s v="Male"/>
    <s v="Bachelor"/>
    <x v="3"/>
    <s v="Auditor"/>
    <n v="15"/>
    <x v="1"/>
    <s v="Medium"/>
    <s v="No"/>
    <n v="76111"/>
    <n v="91252"/>
    <x v="1"/>
    <n v="48"/>
    <x v="1"/>
    <n v="6"/>
    <n v="27.24"/>
    <n v="15141"/>
    <n v="19.893313712866735"/>
    <s v="Expert"/>
    <s v="Medium Impact"/>
  </r>
  <r>
    <s v="E1481"/>
    <n v="36"/>
    <s v="Female"/>
    <s v="Bachelor"/>
    <x v="2"/>
    <s v="SEO Specialist"/>
    <n v="10"/>
    <x v="0"/>
    <s v="Medium"/>
    <s v="No"/>
    <n v="36050"/>
    <n v="37259"/>
    <x v="1"/>
    <n v="44"/>
    <x v="1"/>
    <n v="9"/>
    <n v="27.24"/>
    <n v="1209"/>
    <n v="3.3536754507628297"/>
    <s v="Intermediate"/>
    <s v="Medium Impact"/>
  </r>
  <r>
    <s v="E0351"/>
    <n v="51"/>
    <s v="Other"/>
    <s v="PhD"/>
    <x v="0"/>
    <s v="Data Analyst"/>
    <n v="26"/>
    <x v="2"/>
    <s v="Low"/>
    <s v="No"/>
    <n v="30162"/>
    <n v="29117"/>
    <x v="0"/>
    <n v="44"/>
    <x v="0"/>
    <n v="8"/>
    <n v="27.23"/>
    <n v="-1045"/>
    <n v="-3.4646243617797232"/>
    <s v="Expert"/>
    <s v="Low Impact"/>
  </r>
  <r>
    <s v="E1726"/>
    <n v="39"/>
    <s v="Female"/>
    <s v="Master"/>
    <x v="0"/>
    <s v="DevOps Engineer"/>
    <n v="14"/>
    <x v="1"/>
    <s v="Low"/>
    <s v="Yes"/>
    <n v="85038"/>
    <n v="86385"/>
    <x v="0"/>
    <n v="47"/>
    <x v="1"/>
    <n v="9"/>
    <n v="27.22"/>
    <n v="1347"/>
    <n v="1.5839977421858462"/>
    <s v="Intermediate"/>
    <s v="Low Impact"/>
  </r>
  <r>
    <s v="E1308"/>
    <n v="52"/>
    <s v="Female"/>
    <s v="Bachelor"/>
    <x v="6"/>
    <s v="Nurse"/>
    <n v="27"/>
    <x v="1"/>
    <s v="Low"/>
    <s v="Yes"/>
    <n v="86361"/>
    <n v="83922"/>
    <x v="0"/>
    <n v="37"/>
    <x v="0"/>
    <n v="6"/>
    <n v="27.22"/>
    <n v="-2439"/>
    <n v="-2.8241914753187203"/>
    <s v="Expert"/>
    <s v="Low Impact"/>
  </r>
  <r>
    <s v="E0548"/>
    <n v="40"/>
    <s v="Male"/>
    <s v="Master"/>
    <x v="5"/>
    <s v="Administrator"/>
    <n v="15"/>
    <x v="2"/>
    <s v="Low"/>
    <s v="Yes"/>
    <n v="37610"/>
    <n v="36481"/>
    <x v="0"/>
    <n v="37"/>
    <x v="1"/>
    <n v="4"/>
    <n v="27.21"/>
    <n v="-1129"/>
    <n v="-3.0018612071257644"/>
    <s v="Expert"/>
    <s v="Low Impact"/>
  </r>
  <r>
    <s v="E0519"/>
    <n v="22"/>
    <s v="Other"/>
    <s v="Master"/>
    <x v="4"/>
    <s v="Sales Associate"/>
    <n v="0"/>
    <x v="2"/>
    <s v="High"/>
    <s v="No"/>
    <n v="105225"/>
    <n v="94473"/>
    <x v="2"/>
    <n v="38"/>
    <x v="0"/>
    <n v="4"/>
    <n v="27.17"/>
    <n v="-10752"/>
    <n v="-10.218104062722738"/>
    <s v="Beginner"/>
    <s v="High Impact"/>
  </r>
  <r>
    <s v="E1620"/>
    <n v="46"/>
    <s v="Other"/>
    <s v="Bachelor"/>
    <x v="0"/>
    <s v="Data Analyst"/>
    <n v="23"/>
    <x v="0"/>
    <s v="High"/>
    <s v="No"/>
    <n v="104420"/>
    <n v="106921"/>
    <x v="0"/>
    <n v="42"/>
    <x v="1"/>
    <n v="5"/>
    <n v="27.15"/>
    <n v="2501"/>
    <n v="2.3951350316031412"/>
    <s v="Expert"/>
    <s v="Low Impact"/>
  </r>
  <r>
    <s v="E0343"/>
    <n v="54"/>
    <s v="Other"/>
    <s v="Bachelor"/>
    <x v="1"/>
    <s v="Machine Operator"/>
    <n v="32"/>
    <x v="2"/>
    <s v="Medium"/>
    <s v="No"/>
    <n v="75253"/>
    <n v="88926"/>
    <x v="1"/>
    <n v="49"/>
    <x v="0"/>
    <n v="8"/>
    <n v="27.14"/>
    <n v="13673"/>
    <n v="18.169375307296718"/>
    <s v="Expert"/>
    <s v="Medium Impact"/>
  </r>
  <r>
    <s v="E0553"/>
    <n v="49"/>
    <s v="Male"/>
    <s v="Master"/>
    <x v="5"/>
    <s v="Administrator"/>
    <n v="26"/>
    <x v="2"/>
    <s v="Medium"/>
    <s v="Yes"/>
    <n v="54417"/>
    <n v="59861"/>
    <x v="1"/>
    <n v="47"/>
    <x v="0"/>
    <n v="6"/>
    <n v="27.11"/>
    <n v="5444"/>
    <n v="10.00422662035761"/>
    <s v="Expert"/>
    <s v="Medium Impact"/>
  </r>
  <r>
    <s v="E1448"/>
    <n v="25"/>
    <s v="Male"/>
    <s v="Master"/>
    <x v="5"/>
    <s v="Administrator"/>
    <n v="1"/>
    <x v="0"/>
    <s v="Low"/>
    <s v="Yes"/>
    <n v="77632"/>
    <n v="79137"/>
    <x v="0"/>
    <n v="45"/>
    <x v="1"/>
    <n v="6"/>
    <n v="27.1"/>
    <n v="1505"/>
    <n v="1.9386335531739491"/>
    <s v="Beginner"/>
    <s v="Low Impact"/>
  </r>
  <r>
    <s v="E0312"/>
    <n v="50"/>
    <s v="Female"/>
    <s v="PhD"/>
    <x v="3"/>
    <s v="Accountant"/>
    <n v="25"/>
    <x v="0"/>
    <s v="High"/>
    <s v="Yes"/>
    <n v="60620"/>
    <n v="61766"/>
    <x v="0"/>
    <n v="47"/>
    <x v="0"/>
    <n v="3"/>
    <n v="27.1"/>
    <n v="1146"/>
    <n v="1.8904651930056087"/>
    <s v="Expert"/>
    <s v="Low Impact"/>
  </r>
  <r>
    <s v="E0718"/>
    <n v="27"/>
    <s v="Female"/>
    <s v="High School"/>
    <x v="0"/>
    <s v="DevOps Engineer"/>
    <n v="2"/>
    <x v="1"/>
    <s v="Medium"/>
    <s v="Yes"/>
    <n v="109267"/>
    <n v="122166"/>
    <x v="1"/>
    <n v="38"/>
    <x v="0"/>
    <n v="3"/>
    <n v="27.09"/>
    <n v="12899"/>
    <n v="11.805028050555062"/>
    <s v="Beginner"/>
    <s v="Medium Impact"/>
  </r>
  <r>
    <s v="E0660"/>
    <n v="50"/>
    <s v="Female"/>
    <s v="High School"/>
    <x v="0"/>
    <s v="DevOps Engineer"/>
    <n v="24"/>
    <x v="1"/>
    <s v="Medium"/>
    <s v="Yes"/>
    <n v="46968"/>
    <n v="54891"/>
    <x v="1"/>
    <n v="42"/>
    <x v="0"/>
    <n v="6"/>
    <n v="27.01"/>
    <n v="7923"/>
    <n v="16.868932038834952"/>
    <s v="Expert"/>
    <s v="Medium Impact"/>
  </r>
  <r>
    <s v="E1462"/>
    <n v="53"/>
    <s v="Female"/>
    <s v="High School"/>
    <x v="0"/>
    <s v="Software Engineer"/>
    <n v="30"/>
    <x v="0"/>
    <s v="Low"/>
    <s v="No"/>
    <n v="119710"/>
    <n v="121249"/>
    <x v="0"/>
    <n v="42"/>
    <x v="1"/>
    <n v="5"/>
    <n v="27"/>
    <n v="1539"/>
    <n v="1.2856068833013115"/>
    <s v="Expert"/>
    <s v="Low Impact"/>
  </r>
  <r>
    <s v="E1865"/>
    <n v="46"/>
    <s v="Female"/>
    <s v="High School"/>
    <x v="1"/>
    <s v="Quality Inspector"/>
    <n v="24"/>
    <x v="0"/>
    <s v="Medium"/>
    <s v="No"/>
    <n v="36066"/>
    <n v="36870"/>
    <x v="1"/>
    <n v="54"/>
    <x v="1"/>
    <n v="5"/>
    <n v="26.99"/>
    <n v="804"/>
    <n v="2.2292463816336716"/>
    <s v="Expert"/>
    <s v="Medium Impact"/>
  </r>
  <r>
    <s v="E1254"/>
    <n v="45"/>
    <s v="Male"/>
    <s v="Bachelor"/>
    <x v="5"/>
    <s v="Professor"/>
    <n v="22"/>
    <x v="0"/>
    <s v="Low"/>
    <s v="No"/>
    <n v="112215"/>
    <n v="120983"/>
    <x v="0"/>
    <n v="45"/>
    <x v="0"/>
    <n v="7"/>
    <n v="26.9"/>
    <n v="8768"/>
    <n v="7.8135721605845916"/>
    <s v="Expert"/>
    <s v="Low Impact"/>
  </r>
  <r>
    <s v="E0667"/>
    <n v="56"/>
    <s v="Male"/>
    <s v="High School"/>
    <x v="0"/>
    <s v="DevOps Engineer"/>
    <n v="30"/>
    <x v="1"/>
    <s v="Medium"/>
    <s v="Yes"/>
    <n v="95333"/>
    <n v="107589"/>
    <x v="1"/>
    <n v="37"/>
    <x v="1"/>
    <n v="6"/>
    <n v="26.89"/>
    <n v="12256"/>
    <n v="12.855989006954568"/>
    <s v="Expert"/>
    <s v="Medium Impact"/>
  </r>
  <r>
    <s v="E0148"/>
    <n v="27"/>
    <s v="Female"/>
    <s v="High School"/>
    <x v="2"/>
    <s v="Content Creator"/>
    <n v="1"/>
    <x v="1"/>
    <s v="Medium"/>
    <s v="Yes"/>
    <n v="117895"/>
    <n v="117121"/>
    <x v="1"/>
    <n v="45"/>
    <x v="0"/>
    <n v="8"/>
    <n v="26.83"/>
    <n v="-774"/>
    <n v="-0.65651639170448273"/>
    <s v="Beginner"/>
    <s v="Medium Impact"/>
  </r>
  <r>
    <s v="E0475"/>
    <n v="30"/>
    <s v="Other"/>
    <s v="High School"/>
    <x v="5"/>
    <s v="Professor"/>
    <n v="6"/>
    <x v="1"/>
    <s v="Low"/>
    <s v="No"/>
    <n v="118839"/>
    <n v="134877"/>
    <x v="0"/>
    <n v="42"/>
    <x v="0"/>
    <n v="7"/>
    <n v="26.82"/>
    <n v="16038"/>
    <n v="13.495569636230531"/>
    <s v="Intermediate"/>
    <s v="Low Impact"/>
  </r>
  <r>
    <s v="E0723"/>
    <n v="48"/>
    <s v="Male"/>
    <s v="Bachelor"/>
    <x v="3"/>
    <s v="Investment Analyst"/>
    <n v="23"/>
    <x v="1"/>
    <s v="High"/>
    <s v="No"/>
    <n v="53382"/>
    <n v="59717"/>
    <x v="0"/>
    <n v="49"/>
    <x v="0"/>
    <n v="5"/>
    <n v="26.79"/>
    <n v="6335"/>
    <n v="11.867296092315762"/>
    <s v="Expert"/>
    <s v="Low Impact"/>
  </r>
  <r>
    <s v="E0034"/>
    <n v="37"/>
    <s v="Female"/>
    <s v="PhD"/>
    <x v="6"/>
    <s v="Nurse"/>
    <n v="13"/>
    <x v="1"/>
    <s v="Low"/>
    <s v="No"/>
    <n v="34499"/>
    <n v="40230"/>
    <x v="0"/>
    <n v="54"/>
    <x v="0"/>
    <n v="5"/>
    <n v="26.79"/>
    <n v="5731"/>
    <n v="16.61207571233949"/>
    <s v="Intermediate"/>
    <s v="Low Impact"/>
  </r>
  <r>
    <s v="E1330"/>
    <n v="57"/>
    <s v="Male"/>
    <s v="Bachelor"/>
    <x v="5"/>
    <s v="Administrator"/>
    <n v="35"/>
    <x v="1"/>
    <s v="Low"/>
    <s v="Yes"/>
    <n v="70136"/>
    <n v="77544"/>
    <x v="0"/>
    <n v="52"/>
    <x v="1"/>
    <n v="7"/>
    <n v="26.74"/>
    <n v="7408"/>
    <n v="10.562336032850462"/>
    <s v="Expert"/>
    <s v="Low Impact"/>
  </r>
  <r>
    <s v="E1284"/>
    <n v="30"/>
    <s v="Other"/>
    <s v="High School"/>
    <x v="4"/>
    <s v="Store Manager"/>
    <n v="6"/>
    <x v="1"/>
    <s v="High"/>
    <s v="Yes"/>
    <n v="89372"/>
    <n v="93889"/>
    <x v="0"/>
    <n v="36"/>
    <x v="0"/>
    <n v="4"/>
    <n v="26.68"/>
    <n v="4517"/>
    <n v="5.054155663966343"/>
    <s v="Intermediate"/>
    <s v="Low Impact"/>
  </r>
  <r>
    <s v="E0619"/>
    <n v="58"/>
    <s v="Female"/>
    <s v="Master"/>
    <x v="3"/>
    <s v="Auditor"/>
    <n v="35"/>
    <x v="2"/>
    <s v="Medium"/>
    <s v="Yes"/>
    <n v="41349"/>
    <n v="55363"/>
    <x v="1"/>
    <n v="40"/>
    <x v="0"/>
    <n v="9"/>
    <n v="26.61"/>
    <n v="14014"/>
    <n v="33.891992551210429"/>
    <s v="Expert"/>
    <s v="Medium Impact"/>
  </r>
  <r>
    <s v="E0613"/>
    <n v="52"/>
    <s v="Other"/>
    <s v="High School"/>
    <x v="2"/>
    <s v="SEO Specialist"/>
    <n v="30"/>
    <x v="2"/>
    <s v="Low"/>
    <s v="No"/>
    <n v="86583"/>
    <n v="118139"/>
    <x v="0"/>
    <n v="48"/>
    <x v="0"/>
    <n v="6"/>
    <n v="26.55"/>
    <n v="31556"/>
    <n v="36.445953593661571"/>
    <s v="Expert"/>
    <s v="Low Impact"/>
  </r>
  <r>
    <s v="E0395"/>
    <n v="44"/>
    <s v="Female"/>
    <s v="PhD"/>
    <x v="0"/>
    <s v="Software Engineer"/>
    <n v="19"/>
    <x v="1"/>
    <s v="Low"/>
    <s v="No"/>
    <n v="36581"/>
    <n v="37692"/>
    <x v="0"/>
    <n v="43"/>
    <x v="1"/>
    <n v="5"/>
    <n v="26.43"/>
    <n v="1111"/>
    <n v="3.0370957600940378"/>
    <s v="Expert"/>
    <s v="Low Impact"/>
  </r>
  <r>
    <s v="E0012"/>
    <n v="36"/>
    <s v="Other"/>
    <s v="Master"/>
    <x v="6"/>
    <s v="Nurse"/>
    <n v="10"/>
    <x v="2"/>
    <s v="Low"/>
    <s v="Yes"/>
    <n v="78984"/>
    <n v="109956"/>
    <x v="0"/>
    <n v="46"/>
    <x v="0"/>
    <n v="9"/>
    <n v="26.33"/>
    <n v="30972"/>
    <n v="39.213005165603157"/>
    <s v="Intermediate"/>
    <s v="Low Impact"/>
  </r>
  <r>
    <s v="E1295"/>
    <n v="35"/>
    <s v="Male"/>
    <s v="High School"/>
    <x v="6"/>
    <s v="Technician"/>
    <n v="12"/>
    <x v="1"/>
    <s v="Low"/>
    <s v="Yes"/>
    <n v="80906"/>
    <n v="96010"/>
    <x v="0"/>
    <n v="43"/>
    <x v="0"/>
    <n v="9"/>
    <n v="26.33"/>
    <n v="15104"/>
    <n v="18.668578350184166"/>
    <s v="Intermediate"/>
    <s v="Low Impact"/>
  </r>
  <r>
    <s v="E1039"/>
    <n v="48"/>
    <s v="Female"/>
    <s v="PhD"/>
    <x v="2"/>
    <s v="Content Creator"/>
    <n v="25"/>
    <x v="2"/>
    <s v="Medium"/>
    <s v="No"/>
    <n v="116394"/>
    <n v="121501"/>
    <x v="1"/>
    <n v="38"/>
    <x v="0"/>
    <n v="6"/>
    <n v="26.31"/>
    <n v="5107"/>
    <n v="4.3876832139113695"/>
    <s v="Expert"/>
    <s v="Medium Impact"/>
  </r>
  <r>
    <s v="E1272"/>
    <n v="38"/>
    <s v="Male"/>
    <s v="Master"/>
    <x v="2"/>
    <s v="SEO Specialist"/>
    <n v="15"/>
    <x v="2"/>
    <s v="Medium"/>
    <s v="No"/>
    <n v="62813"/>
    <n v="66902"/>
    <x v="1"/>
    <n v="45"/>
    <x v="1"/>
    <n v="9"/>
    <n v="26.24"/>
    <n v="4089"/>
    <n v="6.5097989269737155"/>
    <s v="Expert"/>
    <s v="Medium Impact"/>
  </r>
  <r>
    <s v="E0472"/>
    <n v="33"/>
    <s v="Male"/>
    <s v="High School"/>
    <x v="6"/>
    <s v="Technician"/>
    <n v="9"/>
    <x v="0"/>
    <s v="Medium"/>
    <s v="Yes"/>
    <n v="62245"/>
    <n v="59290"/>
    <x v="1"/>
    <n v="43"/>
    <x v="1"/>
    <n v="4"/>
    <n v="26.21"/>
    <n v="-2955"/>
    <n v="-4.7473692666077589"/>
    <s v="Intermediate"/>
    <s v="Medium Impact"/>
  </r>
  <r>
    <s v="E0276"/>
    <n v="45"/>
    <s v="Other"/>
    <s v="Master"/>
    <x v="0"/>
    <s v="Data Analyst"/>
    <n v="22"/>
    <x v="2"/>
    <s v="Medium"/>
    <s v="No"/>
    <n v="105388"/>
    <n v="141592"/>
    <x v="1"/>
    <n v="51"/>
    <x v="0"/>
    <n v="4"/>
    <n v="26.2"/>
    <n v="36204"/>
    <n v="34.353057274072953"/>
    <s v="Expert"/>
    <s v="Medium Impact"/>
  </r>
  <r>
    <s v="E0703"/>
    <n v="42"/>
    <s v="Male"/>
    <s v="PhD"/>
    <x v="2"/>
    <s v="Digital Marketer"/>
    <n v="16"/>
    <x v="2"/>
    <s v="High"/>
    <s v="Yes"/>
    <n v="76418"/>
    <n v="106305"/>
    <x v="2"/>
    <n v="54"/>
    <x v="0"/>
    <n v="4"/>
    <n v="26.08"/>
    <n v="29887"/>
    <n v="39.109895574341124"/>
    <s v="Expert"/>
    <s v="High Impact"/>
  </r>
  <r>
    <s v="E1752"/>
    <n v="37"/>
    <s v="Male"/>
    <s v="Bachelor"/>
    <x v="2"/>
    <s v="Content Creator"/>
    <n v="15"/>
    <x v="0"/>
    <s v="Medium"/>
    <s v="Yes"/>
    <n v="47358"/>
    <n v="50097"/>
    <x v="1"/>
    <n v="48"/>
    <x v="0"/>
    <n v="8"/>
    <n v="26.02"/>
    <n v="2739"/>
    <n v="5.7836057265931835"/>
    <s v="Expert"/>
    <s v="Medium Impact"/>
  </r>
  <r>
    <s v="E1125"/>
    <n v="48"/>
    <s v="Other"/>
    <s v="PhD"/>
    <x v="6"/>
    <s v="Doctor"/>
    <n v="24"/>
    <x v="2"/>
    <s v="Low"/>
    <s v="Yes"/>
    <n v="91245"/>
    <n v="124131"/>
    <x v="0"/>
    <n v="44"/>
    <x v="1"/>
    <n v="5"/>
    <n v="25.98"/>
    <n v="32886"/>
    <n v="36.041426927502876"/>
    <s v="Expert"/>
    <s v="Low Impact"/>
  </r>
  <r>
    <s v="E1239"/>
    <n v="43"/>
    <s v="Male"/>
    <s v="Bachelor"/>
    <x v="3"/>
    <s v="Auditor"/>
    <n v="19"/>
    <x v="2"/>
    <s v="Medium"/>
    <s v="Yes"/>
    <n v="116457"/>
    <n v="98925"/>
    <x v="1"/>
    <n v="51"/>
    <x v="0"/>
    <n v="3"/>
    <n v="25.94"/>
    <n v="-17532"/>
    <n v="-15.054483629150672"/>
    <s v="Expert"/>
    <s v="Medium Impact"/>
  </r>
  <r>
    <s v="E0153"/>
    <n v="49"/>
    <s v="Female"/>
    <s v="Master"/>
    <x v="4"/>
    <s v="Sales Associate"/>
    <n v="27"/>
    <x v="1"/>
    <s v="High"/>
    <s v="Yes"/>
    <n v="56737"/>
    <n v="59522"/>
    <x v="0"/>
    <n v="38"/>
    <x v="1"/>
    <n v="3"/>
    <n v="25.92"/>
    <n v="2785"/>
    <n v="4.9086134268643038"/>
    <s v="Expert"/>
    <s v="Low Impact"/>
  </r>
  <r>
    <s v="E0268"/>
    <n v="58"/>
    <s v="Male"/>
    <s v="PhD"/>
    <x v="4"/>
    <s v="Cashier"/>
    <n v="33"/>
    <x v="1"/>
    <s v="High"/>
    <s v="No"/>
    <n v="76819"/>
    <n v="83146"/>
    <x v="0"/>
    <n v="40"/>
    <x v="1"/>
    <n v="8"/>
    <n v="25.89"/>
    <n v="6327"/>
    <n v="8.2362436376417296"/>
    <s v="Expert"/>
    <s v="Low Impact"/>
  </r>
  <r>
    <s v="E0961"/>
    <n v="36"/>
    <s v="Male"/>
    <s v="PhD"/>
    <x v="2"/>
    <s v="SEO Specialist"/>
    <n v="11"/>
    <x v="2"/>
    <s v="Medium"/>
    <s v="Yes"/>
    <n v="50316"/>
    <n v="55333"/>
    <x v="1"/>
    <n v="35"/>
    <x v="1"/>
    <n v="8"/>
    <n v="25.89"/>
    <n v="5017"/>
    <n v="9.9709833850067575"/>
    <s v="Intermediate"/>
    <s v="Medium Impact"/>
  </r>
  <r>
    <s v="E0502"/>
    <n v="28"/>
    <s v="Female"/>
    <s v="Master"/>
    <x v="1"/>
    <s v="Machine Operator"/>
    <n v="5"/>
    <x v="1"/>
    <s v="Medium"/>
    <s v="No"/>
    <n v="75607"/>
    <n v="77140"/>
    <x v="1"/>
    <n v="44"/>
    <x v="0"/>
    <n v="6"/>
    <n v="25.79"/>
    <n v="1533"/>
    <n v="2.027590037959448"/>
    <s v="Intermediate"/>
    <s v="Medium Impact"/>
  </r>
  <r>
    <s v="E0922"/>
    <n v="40"/>
    <s v="Male"/>
    <s v="Master"/>
    <x v="5"/>
    <s v="Professor"/>
    <n v="15"/>
    <x v="2"/>
    <s v="Low"/>
    <s v="No"/>
    <n v="94817"/>
    <n v="76451"/>
    <x v="0"/>
    <n v="35"/>
    <x v="1"/>
    <n v="8"/>
    <n v="25.71"/>
    <n v="-18366"/>
    <n v="-19.369944208317076"/>
    <s v="Expert"/>
    <s v="Low Impact"/>
  </r>
  <r>
    <s v="E1996"/>
    <n v="55"/>
    <s v="Other"/>
    <s v="PhD"/>
    <x v="6"/>
    <s v="Technician"/>
    <n v="30"/>
    <x v="1"/>
    <s v="Low"/>
    <s v="Yes"/>
    <n v="99082"/>
    <n v="101090"/>
    <x v="0"/>
    <n v="52"/>
    <x v="1"/>
    <n v="7"/>
    <n v="25.67"/>
    <n v="2008"/>
    <n v="2.0266042268020428"/>
    <s v="Expert"/>
    <s v="Low Impact"/>
  </r>
  <r>
    <s v="E1253"/>
    <n v="40"/>
    <s v="Other"/>
    <s v="Master"/>
    <x v="6"/>
    <s v="Technician"/>
    <n v="14"/>
    <x v="2"/>
    <s v="High"/>
    <s v="Yes"/>
    <n v="112806"/>
    <n v="119931"/>
    <x v="2"/>
    <n v="54"/>
    <x v="1"/>
    <n v="4"/>
    <n v="25.62"/>
    <n v="7125"/>
    <n v="6.3161533960959524"/>
    <s v="Intermediate"/>
    <s v="High Impact"/>
  </r>
  <r>
    <s v="E0896"/>
    <n v="36"/>
    <s v="Other"/>
    <s v="PhD"/>
    <x v="1"/>
    <s v="Machine Operator"/>
    <n v="13"/>
    <x v="1"/>
    <s v="Medium"/>
    <s v="No"/>
    <n v="47143"/>
    <n v="55282"/>
    <x v="1"/>
    <n v="37"/>
    <x v="1"/>
    <n v="9"/>
    <n v="25.62"/>
    <n v="8139"/>
    <n v="17.264493137899581"/>
    <s v="Intermediate"/>
    <s v="Medium Impact"/>
  </r>
  <r>
    <s v="E0797"/>
    <n v="58"/>
    <s v="Female"/>
    <s v="High School"/>
    <x v="0"/>
    <s v="Software Engineer"/>
    <n v="35"/>
    <x v="0"/>
    <s v="High"/>
    <s v="No"/>
    <n v="86827"/>
    <n v="92358"/>
    <x v="0"/>
    <n v="36"/>
    <x v="1"/>
    <n v="8"/>
    <n v="25.6"/>
    <n v="5531"/>
    <n v="6.3701383210291729"/>
    <s v="Expert"/>
    <s v="Low Impact"/>
  </r>
  <r>
    <s v="E0979"/>
    <n v="29"/>
    <s v="Male"/>
    <s v="Bachelor"/>
    <x v="4"/>
    <s v="Cashier"/>
    <n v="5"/>
    <x v="0"/>
    <s v="Medium"/>
    <s v="Yes"/>
    <n v="59685"/>
    <n v="64046"/>
    <x v="1"/>
    <n v="54"/>
    <x v="1"/>
    <n v="4"/>
    <n v="25.6"/>
    <n v="4361"/>
    <n v="7.3066934740722118"/>
    <s v="Intermediate"/>
    <s v="Medium Impact"/>
  </r>
  <r>
    <s v="E1738"/>
    <n v="30"/>
    <s v="Other"/>
    <s v="Bachelor"/>
    <x v="3"/>
    <s v="Investment Analyst"/>
    <n v="8"/>
    <x v="0"/>
    <s v="Low"/>
    <s v="No"/>
    <n v="106882"/>
    <n v="113769"/>
    <x v="0"/>
    <n v="45"/>
    <x v="0"/>
    <n v="8"/>
    <n v="25.57"/>
    <n v="6887"/>
    <n v="6.4435545742033264"/>
    <s v="Intermediate"/>
    <s v="Low Impact"/>
  </r>
  <r>
    <s v="E0582"/>
    <n v="49"/>
    <s v="Other"/>
    <s v="High School"/>
    <x v="4"/>
    <s v="Store Manager"/>
    <n v="23"/>
    <x v="2"/>
    <s v="Low"/>
    <s v="No"/>
    <n v="107241"/>
    <n v="144232"/>
    <x v="0"/>
    <n v="37"/>
    <x v="1"/>
    <n v="7"/>
    <n v="25.52"/>
    <n v="36991"/>
    <n v="34.493337436241731"/>
    <s v="Expert"/>
    <s v="Low Impact"/>
  </r>
  <r>
    <s v="E0330"/>
    <n v="45"/>
    <s v="Female"/>
    <s v="Master"/>
    <x v="5"/>
    <s v="Teacher"/>
    <n v="20"/>
    <x v="2"/>
    <s v="High"/>
    <s v="No"/>
    <n v="87804"/>
    <n v="92022"/>
    <x v="2"/>
    <n v="35"/>
    <x v="1"/>
    <n v="5"/>
    <n v="25.49"/>
    <n v="4218"/>
    <n v="4.803881372147055"/>
    <s v="Expert"/>
    <s v="High Impact"/>
  </r>
  <r>
    <s v="E1989"/>
    <n v="45"/>
    <s v="Other"/>
    <s v="High School"/>
    <x v="5"/>
    <s v="Administrator"/>
    <n v="21"/>
    <x v="0"/>
    <s v="Low"/>
    <s v="No"/>
    <n v="37532"/>
    <n v="38005"/>
    <x v="0"/>
    <n v="49"/>
    <x v="1"/>
    <n v="7"/>
    <n v="25.48"/>
    <n v="473"/>
    <n v="1.2602579132473624"/>
    <s v="Expert"/>
    <s v="Low Impact"/>
  </r>
  <r>
    <s v="E0363"/>
    <n v="42"/>
    <s v="Other"/>
    <s v="Bachelor"/>
    <x v="0"/>
    <s v="DevOps Engineer"/>
    <n v="17"/>
    <x v="1"/>
    <s v="Low"/>
    <s v="No"/>
    <n v="104905"/>
    <n v="104806"/>
    <x v="0"/>
    <n v="49"/>
    <x v="0"/>
    <n v="7"/>
    <n v="25.41"/>
    <n v="-99"/>
    <n v="-9.437109765978742E-2"/>
    <s v="Expert"/>
    <s v="Low Impact"/>
  </r>
  <r>
    <s v="E1070"/>
    <n v="23"/>
    <s v="Female"/>
    <s v="PhD"/>
    <x v="2"/>
    <s v="Digital Marketer"/>
    <n v="0"/>
    <x v="0"/>
    <s v="High"/>
    <s v="No"/>
    <n v="105164"/>
    <n v="101767"/>
    <x v="0"/>
    <n v="52"/>
    <x v="1"/>
    <n v="8"/>
    <n v="25.39"/>
    <n v="-3397"/>
    <n v="-3.2301928416568404"/>
    <s v="Beginner"/>
    <s v="Low Impact"/>
  </r>
  <r>
    <s v="E1393"/>
    <n v="32"/>
    <s v="Other"/>
    <s v="Bachelor"/>
    <x v="5"/>
    <s v="Teacher"/>
    <n v="6"/>
    <x v="1"/>
    <s v="Medium"/>
    <s v="No"/>
    <n v="83526"/>
    <n v="84287"/>
    <x v="1"/>
    <n v="47"/>
    <x v="0"/>
    <n v="4"/>
    <n v="25.39"/>
    <n v="761"/>
    <n v="0.91109355170845008"/>
    <s v="Intermediate"/>
    <s v="Medium Impact"/>
  </r>
  <r>
    <s v="E1892"/>
    <n v="37"/>
    <s v="Female"/>
    <s v="Master"/>
    <x v="0"/>
    <s v="Software Engineer"/>
    <n v="12"/>
    <x v="2"/>
    <s v="High"/>
    <s v="No"/>
    <n v="78599"/>
    <n v="90844"/>
    <x v="1"/>
    <n v="38"/>
    <x v="0"/>
    <n v="3"/>
    <n v="25.36"/>
    <n v="12245"/>
    <n v="15.579078614231733"/>
    <s v="Intermediate"/>
    <s v="Medium Impact"/>
  </r>
  <r>
    <s v="E1141"/>
    <n v="35"/>
    <s v="Other"/>
    <s v="High School"/>
    <x v="3"/>
    <s v="Accountant"/>
    <n v="11"/>
    <x v="1"/>
    <s v="Low"/>
    <s v="Yes"/>
    <n v="93888"/>
    <n v="85990"/>
    <x v="0"/>
    <n v="39"/>
    <x v="1"/>
    <n v="4"/>
    <n v="25.3"/>
    <n v="-7898"/>
    <n v="-8.4121506475800949"/>
    <s v="Intermediate"/>
    <s v="Low Impact"/>
  </r>
  <r>
    <s v="E0287"/>
    <n v="57"/>
    <s v="Male"/>
    <s v="Master"/>
    <x v="2"/>
    <s v="Digital Marketer"/>
    <n v="31"/>
    <x v="2"/>
    <s v="Medium"/>
    <s v="Yes"/>
    <n v="72828"/>
    <n v="86008"/>
    <x v="1"/>
    <n v="50"/>
    <x v="1"/>
    <n v="4"/>
    <n v="25.29"/>
    <n v="13180"/>
    <n v="18.097435052452354"/>
    <s v="Expert"/>
    <s v="Medium Impact"/>
  </r>
  <r>
    <s v="E1933"/>
    <n v="34"/>
    <s v="Male"/>
    <s v="PhD"/>
    <x v="6"/>
    <s v="Nurse"/>
    <n v="9"/>
    <x v="1"/>
    <s v="Low"/>
    <s v="No"/>
    <n v="34920"/>
    <n v="36967"/>
    <x v="0"/>
    <n v="39"/>
    <x v="1"/>
    <n v="6"/>
    <n v="25.23"/>
    <n v="2047"/>
    <n v="5.8619702176403203"/>
    <s v="Intermediate"/>
    <s v="Low Impact"/>
  </r>
  <r>
    <s v="E0567"/>
    <n v="54"/>
    <s v="Other"/>
    <s v="Bachelor"/>
    <x v="5"/>
    <s v="Teacher"/>
    <n v="30"/>
    <x v="2"/>
    <s v="Medium"/>
    <s v="No"/>
    <n v="110201"/>
    <n v="115393"/>
    <x v="1"/>
    <n v="52"/>
    <x v="0"/>
    <n v="4"/>
    <n v="25.22"/>
    <n v="5192"/>
    <n v="4.7113910037114"/>
    <s v="Expert"/>
    <s v="Medium Impact"/>
  </r>
  <r>
    <s v="E1649"/>
    <n v="24"/>
    <s v="Female"/>
    <s v="PhD"/>
    <x v="2"/>
    <s v="Content Creator"/>
    <n v="0"/>
    <x v="1"/>
    <s v="High"/>
    <s v="No"/>
    <n v="105017"/>
    <n v="94760"/>
    <x v="0"/>
    <n v="49"/>
    <x v="1"/>
    <n v="3"/>
    <n v="25.18"/>
    <n v="-10257"/>
    <n v="-9.7669901063637319"/>
    <s v="Beginner"/>
    <s v="Low Impact"/>
  </r>
  <r>
    <s v="E1210"/>
    <n v="34"/>
    <s v="Female"/>
    <s v="PhD"/>
    <x v="4"/>
    <s v="Cashier"/>
    <n v="10"/>
    <x v="1"/>
    <s v="High"/>
    <s v="Yes"/>
    <n v="66142"/>
    <n v="59927"/>
    <x v="0"/>
    <n v="45"/>
    <x v="0"/>
    <n v="6"/>
    <n v="25.16"/>
    <n v="-6215"/>
    <n v="-9.3964500619878439"/>
    <s v="Intermediate"/>
    <s v="Low Impact"/>
  </r>
  <r>
    <s v="E1737"/>
    <n v="53"/>
    <s v="Male"/>
    <s v="Master"/>
    <x v="2"/>
    <s v="Digital Marketer"/>
    <n v="28"/>
    <x v="1"/>
    <s v="Medium"/>
    <s v="Yes"/>
    <n v="57684"/>
    <n v="67740"/>
    <x v="1"/>
    <n v="53"/>
    <x v="0"/>
    <n v="9"/>
    <n v="25.07"/>
    <n v="10056"/>
    <n v="17.432910339088828"/>
    <s v="Expert"/>
    <s v="Medium Impact"/>
  </r>
  <r>
    <s v="E0069"/>
    <n v="53"/>
    <s v="Other"/>
    <s v="High School"/>
    <x v="5"/>
    <s v="Professor"/>
    <n v="27"/>
    <x v="1"/>
    <s v="Medium"/>
    <s v="Yes"/>
    <n v="74811"/>
    <n v="76957"/>
    <x v="1"/>
    <n v="37"/>
    <x v="1"/>
    <n v="3"/>
    <n v="25.05"/>
    <n v="2146"/>
    <n v="2.8685621098501555"/>
    <s v="Expert"/>
    <s v="Medium Impact"/>
  </r>
  <r>
    <s v="E1020"/>
    <n v="48"/>
    <s v="Male"/>
    <s v="Bachelor"/>
    <x v="4"/>
    <s v="Cashier"/>
    <n v="24"/>
    <x v="1"/>
    <s v="High"/>
    <s v="Yes"/>
    <n v="72879"/>
    <n v="69955"/>
    <x v="0"/>
    <n v="43"/>
    <x v="1"/>
    <n v="3"/>
    <n v="25.03"/>
    <n v="-2924"/>
    <n v="-4.0121296944250062"/>
    <s v="Expert"/>
    <s v="Low Impact"/>
  </r>
  <r>
    <s v="E0884"/>
    <n v="45"/>
    <s v="Female"/>
    <s v="Master"/>
    <x v="1"/>
    <s v="Quality Inspector"/>
    <n v="23"/>
    <x v="2"/>
    <s v="High"/>
    <s v="No"/>
    <n v="78570"/>
    <n v="99768"/>
    <x v="2"/>
    <n v="54"/>
    <x v="1"/>
    <n v="6"/>
    <n v="25.01"/>
    <n v="21198"/>
    <n v="26.979763268423063"/>
    <s v="Expert"/>
    <s v="High Impact"/>
  </r>
  <r>
    <s v="E1899"/>
    <n v="51"/>
    <s v="Female"/>
    <s v="High School"/>
    <x v="1"/>
    <s v="Supervisor"/>
    <n v="28"/>
    <x v="1"/>
    <s v="Low"/>
    <s v="Yes"/>
    <n v="42318"/>
    <n v="38408"/>
    <x v="0"/>
    <n v="51"/>
    <x v="0"/>
    <n v="4"/>
    <n v="25.01"/>
    <n v="-3910"/>
    <n v="-9.2395670872914604"/>
    <s v="Expert"/>
    <s v="Low Impact"/>
  </r>
  <r>
    <s v="E0788"/>
    <n v="50"/>
    <s v="Female"/>
    <s v="PhD"/>
    <x v="5"/>
    <s v="Administrator"/>
    <n v="26"/>
    <x v="0"/>
    <s v="High"/>
    <s v="Yes"/>
    <n v="93382"/>
    <n v="94731"/>
    <x v="0"/>
    <n v="53"/>
    <x v="1"/>
    <n v="3"/>
    <n v="24.99"/>
    <n v="1349"/>
    <n v="1.4446038851170462"/>
    <s v="Expert"/>
    <s v="Low Impact"/>
  </r>
  <r>
    <s v="E0409"/>
    <n v="54"/>
    <s v="Male"/>
    <s v="High School"/>
    <x v="1"/>
    <s v="Supervisor"/>
    <n v="29"/>
    <x v="2"/>
    <s v="Low"/>
    <s v="Yes"/>
    <n v="74409"/>
    <n v="73861"/>
    <x v="0"/>
    <n v="36"/>
    <x v="1"/>
    <n v="9"/>
    <n v="24.99"/>
    <n v="-548"/>
    <n v="-0.73647005066591409"/>
    <s v="Expert"/>
    <s v="Low Impact"/>
  </r>
  <r>
    <s v="E0092"/>
    <n v="27"/>
    <s v="Other"/>
    <s v="PhD"/>
    <x v="0"/>
    <s v="Software Engineer"/>
    <n v="2"/>
    <x v="2"/>
    <s v="Low"/>
    <s v="No"/>
    <n v="48384"/>
    <n v="54219"/>
    <x v="0"/>
    <n v="37"/>
    <x v="0"/>
    <n v="7"/>
    <n v="24.99"/>
    <n v="5835"/>
    <n v="12.059771825396826"/>
    <s v="Beginner"/>
    <s v="Low Impact"/>
  </r>
  <r>
    <s v="E0108"/>
    <n v="38"/>
    <s v="Female"/>
    <s v="PhD"/>
    <x v="4"/>
    <s v="Cashier"/>
    <n v="15"/>
    <x v="1"/>
    <s v="Low"/>
    <s v="No"/>
    <n v="94291"/>
    <n v="107667"/>
    <x v="0"/>
    <n v="54"/>
    <x v="0"/>
    <n v="9"/>
    <n v="24.9"/>
    <n v="13376"/>
    <n v="14.185871398118591"/>
    <s v="Expert"/>
    <s v="Low Impact"/>
  </r>
  <r>
    <s v="E1409"/>
    <n v="32"/>
    <s v="Other"/>
    <s v="Bachelor"/>
    <x v="0"/>
    <s v="Data Analyst"/>
    <n v="6"/>
    <x v="2"/>
    <s v="High"/>
    <s v="Yes"/>
    <n v="31843"/>
    <n v="33292"/>
    <x v="1"/>
    <n v="35"/>
    <x v="0"/>
    <n v="6"/>
    <n v="24.89"/>
    <n v="1449"/>
    <n v="4.5504506484941745"/>
    <s v="Intermediate"/>
    <s v="Medium Impact"/>
  </r>
  <r>
    <s v="E1618"/>
    <n v="42"/>
    <s v="Other"/>
    <s v="Master"/>
    <x v="2"/>
    <s v="Content Creator"/>
    <n v="18"/>
    <x v="2"/>
    <s v="Medium"/>
    <s v="Yes"/>
    <n v="106762"/>
    <n v="117769"/>
    <x v="1"/>
    <n v="36"/>
    <x v="0"/>
    <n v="6"/>
    <n v="24.88"/>
    <n v="11007"/>
    <n v="10.309848073284501"/>
    <s v="Expert"/>
    <s v="Medium Impact"/>
  </r>
  <r>
    <s v="E0130"/>
    <n v="35"/>
    <s v="Female"/>
    <s v="High School"/>
    <x v="3"/>
    <s v="Accountant"/>
    <n v="11"/>
    <x v="2"/>
    <s v="Low"/>
    <s v="No"/>
    <n v="103340"/>
    <n v="101358"/>
    <x v="0"/>
    <n v="49"/>
    <x v="0"/>
    <n v="3"/>
    <n v="24.86"/>
    <n v="-1982"/>
    <n v="-1.9179407780143216"/>
    <s v="Intermediate"/>
    <s v="Low Impact"/>
  </r>
  <r>
    <s v="E1337"/>
    <n v="24"/>
    <s v="Female"/>
    <s v="Master"/>
    <x v="6"/>
    <s v="Nurse"/>
    <n v="0"/>
    <x v="0"/>
    <s v="Medium"/>
    <s v="No"/>
    <n v="55117"/>
    <n v="58711"/>
    <x v="1"/>
    <n v="51"/>
    <x v="0"/>
    <n v="6"/>
    <n v="24.83"/>
    <n v="3594"/>
    <n v="6.5206742021517865"/>
    <s v="Beginner"/>
    <s v="Medium Impact"/>
  </r>
  <r>
    <s v="E1457"/>
    <n v="28"/>
    <s v="Male"/>
    <s v="High School"/>
    <x v="6"/>
    <s v="Technician"/>
    <n v="2"/>
    <x v="2"/>
    <s v="Medium"/>
    <s v="Yes"/>
    <n v="37045"/>
    <n v="51186"/>
    <x v="1"/>
    <n v="53"/>
    <x v="0"/>
    <n v="3"/>
    <n v="24.78"/>
    <n v="14141"/>
    <n v="38.172492914023486"/>
    <s v="Beginner"/>
    <s v="Medium Impact"/>
  </r>
  <r>
    <s v="E1578"/>
    <n v="33"/>
    <s v="Female"/>
    <s v="High School"/>
    <x v="2"/>
    <s v="SEO Specialist"/>
    <n v="11"/>
    <x v="2"/>
    <s v="Low"/>
    <s v="No"/>
    <n v="55976"/>
    <n v="68475"/>
    <x v="0"/>
    <n v="47"/>
    <x v="0"/>
    <n v="4"/>
    <n v="24.75"/>
    <n v="12499"/>
    <n v="22.329212519651279"/>
    <s v="Intermediate"/>
    <s v="Low Impact"/>
  </r>
  <r>
    <s v="E0801"/>
    <n v="56"/>
    <s v="Female"/>
    <s v="PhD"/>
    <x v="5"/>
    <s v="Teacher"/>
    <n v="33"/>
    <x v="2"/>
    <s v="High"/>
    <s v="No"/>
    <n v="62330"/>
    <n v="73993"/>
    <x v="1"/>
    <n v="53"/>
    <x v="0"/>
    <n v="8"/>
    <n v="24.71"/>
    <n v="11663"/>
    <n v="18.711695812610298"/>
    <s v="Expert"/>
    <s v="Medium Impact"/>
  </r>
  <r>
    <s v="E0861"/>
    <n v="28"/>
    <s v="Female"/>
    <s v="Master"/>
    <x v="0"/>
    <s v="DevOps Engineer"/>
    <n v="3"/>
    <x v="1"/>
    <s v="Low"/>
    <s v="Yes"/>
    <n v="86207"/>
    <n v="78648"/>
    <x v="0"/>
    <n v="35"/>
    <x v="0"/>
    <n v="3"/>
    <n v="24.69"/>
    <n v="-7559"/>
    <n v="-8.7684294778846255"/>
    <s v="Beginner"/>
    <s v="Low Impact"/>
  </r>
  <r>
    <s v="E1095"/>
    <n v="38"/>
    <s v="Other"/>
    <s v="Bachelor"/>
    <x v="5"/>
    <s v="Teacher"/>
    <n v="16"/>
    <x v="0"/>
    <s v="Medium"/>
    <s v="No"/>
    <n v="54161"/>
    <n v="53914"/>
    <x v="1"/>
    <n v="52"/>
    <x v="1"/>
    <n v="9"/>
    <n v="24.68"/>
    <n v="-247"/>
    <n v="-0.45604770960654345"/>
    <s v="Expert"/>
    <s v="Medium Impact"/>
  </r>
  <r>
    <s v="E1926"/>
    <n v="36"/>
    <s v="Female"/>
    <s v="High School"/>
    <x v="0"/>
    <s v="Data Analyst"/>
    <n v="11"/>
    <x v="2"/>
    <s v="Medium"/>
    <s v="Yes"/>
    <n v="110291"/>
    <n v="124484"/>
    <x v="1"/>
    <n v="47"/>
    <x v="1"/>
    <n v="5"/>
    <n v="24.6"/>
    <n v="14193"/>
    <n v="12.868683754794136"/>
    <s v="Intermediate"/>
    <s v="Medium Impact"/>
  </r>
  <r>
    <s v="E1072"/>
    <n v="35"/>
    <s v="Other"/>
    <s v="High School"/>
    <x v="0"/>
    <s v="Software Engineer"/>
    <n v="10"/>
    <x v="2"/>
    <s v="Low"/>
    <s v="No"/>
    <n v="71034"/>
    <n v="58211"/>
    <x v="0"/>
    <n v="45"/>
    <x v="0"/>
    <n v="9"/>
    <n v="24.6"/>
    <n v="-12823"/>
    <n v="-18.051918799448153"/>
    <s v="Intermediate"/>
    <s v="Low Impact"/>
  </r>
  <r>
    <s v="E0390"/>
    <n v="46"/>
    <s v="Male"/>
    <s v="Master"/>
    <x v="3"/>
    <s v="Investment Analyst"/>
    <n v="22"/>
    <x v="2"/>
    <s v="High"/>
    <s v="Yes"/>
    <n v="41240"/>
    <n v="40413"/>
    <x v="1"/>
    <n v="38"/>
    <x v="0"/>
    <n v="5"/>
    <n v="24.59"/>
    <n v="-827"/>
    <n v="-2.0053346265761394"/>
    <s v="Expert"/>
    <s v="Medium Impact"/>
  </r>
  <r>
    <s v="E1970"/>
    <n v="47"/>
    <s v="Female"/>
    <s v="High School"/>
    <x v="5"/>
    <s v="Administrator"/>
    <n v="24"/>
    <x v="1"/>
    <s v="Medium"/>
    <s v="Yes"/>
    <n v="74858"/>
    <n v="80629"/>
    <x v="1"/>
    <n v="50"/>
    <x v="0"/>
    <n v="4"/>
    <n v="24.58"/>
    <n v="5771"/>
    <n v="7.7092628710358282"/>
    <s v="Expert"/>
    <s v="Medium Impact"/>
  </r>
  <r>
    <s v="E1720"/>
    <n v="50"/>
    <s v="Male"/>
    <s v="Bachelor"/>
    <x v="3"/>
    <s v="Investment Analyst"/>
    <n v="28"/>
    <x v="0"/>
    <s v="High"/>
    <s v="No"/>
    <n v="117579"/>
    <n v="126906"/>
    <x v="0"/>
    <n v="43"/>
    <x v="1"/>
    <n v="9"/>
    <n v="24.56"/>
    <n v="9327"/>
    <n v="7.9325389737963405"/>
    <s v="Expert"/>
    <s v="Low Impact"/>
  </r>
  <r>
    <s v="E0965"/>
    <n v="26"/>
    <s v="Male"/>
    <s v="Bachelor"/>
    <x v="6"/>
    <s v="Doctor"/>
    <n v="1"/>
    <x v="1"/>
    <s v="High"/>
    <s v="Yes"/>
    <n v="110052"/>
    <n v="103308"/>
    <x v="0"/>
    <n v="47"/>
    <x v="1"/>
    <n v="5"/>
    <n v="24.54"/>
    <n v="-6744"/>
    <n v="-6.12801221240868"/>
    <s v="Beginner"/>
    <s v="Low Impact"/>
  </r>
  <r>
    <s v="E0907"/>
    <n v="35"/>
    <s v="Female"/>
    <s v="High School"/>
    <x v="0"/>
    <s v="Data Analyst"/>
    <n v="10"/>
    <x v="2"/>
    <s v="High"/>
    <s v="No"/>
    <n v="86574"/>
    <n v="92352"/>
    <x v="1"/>
    <n v="44"/>
    <x v="1"/>
    <n v="6"/>
    <n v="24.54"/>
    <n v="5778"/>
    <n v="6.6740591863608003"/>
    <s v="Intermediate"/>
    <s v="Medium Impact"/>
  </r>
  <r>
    <s v="E0628"/>
    <n v="25"/>
    <s v="Female"/>
    <s v="PhD"/>
    <x v="4"/>
    <s v="Sales Associate"/>
    <n v="0"/>
    <x v="2"/>
    <s v="Medium"/>
    <s v="Yes"/>
    <n v="113494"/>
    <n v="154283"/>
    <x v="1"/>
    <n v="40"/>
    <x v="0"/>
    <n v="9"/>
    <n v="24.5"/>
    <n v="40789"/>
    <n v="35.939344811179446"/>
    <s v="Beginner"/>
    <s v="Medium Impact"/>
  </r>
  <r>
    <s v="E2000"/>
    <n v="23"/>
    <s v="Other"/>
    <s v="Master"/>
    <x v="2"/>
    <s v="SEO Specialist"/>
    <n v="0"/>
    <x v="2"/>
    <s v="High"/>
    <s v="Yes"/>
    <n v="33830"/>
    <n v="34809"/>
    <x v="1"/>
    <n v="37"/>
    <x v="1"/>
    <n v="9"/>
    <n v="24.4"/>
    <n v="979"/>
    <n v="2.8938811705586756"/>
    <s v="Beginner"/>
    <s v="Medium Impact"/>
  </r>
  <r>
    <s v="E1826"/>
    <n v="43"/>
    <s v="Other"/>
    <s v="Bachelor"/>
    <x v="2"/>
    <s v="Digital Marketer"/>
    <n v="19"/>
    <x v="1"/>
    <s v="Low"/>
    <s v="No"/>
    <n v="75891"/>
    <n v="68901"/>
    <x v="0"/>
    <n v="49"/>
    <x v="1"/>
    <n v="6"/>
    <n v="24.35"/>
    <n v="-6990"/>
    <n v="-9.2105783294461805"/>
    <s v="Expert"/>
    <s v="Low Impact"/>
  </r>
  <r>
    <s v="E0188"/>
    <n v="31"/>
    <s v="Male"/>
    <s v="Master"/>
    <x v="6"/>
    <s v="Nurse"/>
    <n v="9"/>
    <x v="1"/>
    <s v="Medium"/>
    <s v="No"/>
    <n v="54574"/>
    <n v="56015"/>
    <x v="1"/>
    <n v="51"/>
    <x v="0"/>
    <n v="5"/>
    <n v="24.25"/>
    <n v="1441"/>
    <n v="2.6404514970498774"/>
    <s v="Intermediate"/>
    <s v="Medium Impact"/>
  </r>
  <r>
    <s v="E0311"/>
    <n v="47"/>
    <s v="Female"/>
    <s v="PhD"/>
    <x v="0"/>
    <s v="Software Engineer"/>
    <n v="22"/>
    <x v="1"/>
    <s v="Low"/>
    <s v="No"/>
    <n v="55121"/>
    <n v="54977"/>
    <x v="0"/>
    <n v="42"/>
    <x v="0"/>
    <n v="5"/>
    <n v="24.24"/>
    <n v="-144"/>
    <n v="-0.26124344623646162"/>
    <s v="Expert"/>
    <s v="Low Impact"/>
  </r>
  <r>
    <s v="E0539"/>
    <n v="46"/>
    <s v="Male"/>
    <s v="Bachelor"/>
    <x v="3"/>
    <s v="Accountant"/>
    <n v="23"/>
    <x v="2"/>
    <s v="High"/>
    <s v="No"/>
    <n v="92260"/>
    <n v="126104"/>
    <x v="1"/>
    <n v="50"/>
    <x v="0"/>
    <n v="7"/>
    <n v="24.19"/>
    <n v="33844"/>
    <n v="36.683286364621722"/>
    <s v="Expert"/>
    <s v="Medium Impact"/>
  </r>
  <r>
    <s v="E0142"/>
    <n v="49"/>
    <s v="Male"/>
    <s v="High School"/>
    <x v="6"/>
    <s v="Doctor"/>
    <n v="26"/>
    <x v="2"/>
    <s v="Low"/>
    <s v="Yes"/>
    <n v="85176"/>
    <n v="89816"/>
    <x v="0"/>
    <n v="42"/>
    <x v="0"/>
    <n v="3"/>
    <n v="24.19"/>
    <n v="4640"/>
    <n v="5.4475439090823707"/>
    <s v="Expert"/>
    <s v="Low Impact"/>
  </r>
  <r>
    <s v="E0627"/>
    <n v="38"/>
    <s v="Female"/>
    <s v="Bachelor"/>
    <x v="1"/>
    <s v="Quality Inspector"/>
    <n v="16"/>
    <x v="2"/>
    <s v="Medium"/>
    <s v="Yes"/>
    <n v="96788"/>
    <n v="107056"/>
    <x v="1"/>
    <n v="48"/>
    <x v="0"/>
    <n v="9"/>
    <n v="24.17"/>
    <n v="10268"/>
    <n v="10.608753151217092"/>
    <s v="Expert"/>
    <s v="Medium Impact"/>
  </r>
  <r>
    <s v="E0967"/>
    <n v="36"/>
    <s v="Male"/>
    <s v="Master"/>
    <x v="2"/>
    <s v="Digital Marketer"/>
    <n v="13"/>
    <x v="1"/>
    <s v="Medium"/>
    <s v="No"/>
    <n v="77663"/>
    <n v="72517"/>
    <x v="1"/>
    <n v="53"/>
    <x v="0"/>
    <n v="9"/>
    <n v="24.16"/>
    <n v="-5146"/>
    <n v="-6.6260638914283509"/>
    <s v="Intermediate"/>
    <s v="Medium Impact"/>
  </r>
  <r>
    <s v="E1482"/>
    <n v="49"/>
    <s v="Other"/>
    <s v="High School"/>
    <x v="6"/>
    <s v="Nurse"/>
    <n v="23"/>
    <x v="1"/>
    <s v="High"/>
    <s v="Yes"/>
    <n v="117363"/>
    <n v="139281"/>
    <x v="0"/>
    <n v="35"/>
    <x v="0"/>
    <n v="6"/>
    <n v="24.05"/>
    <n v="21918"/>
    <n v="18.675391733340149"/>
    <s v="Expert"/>
    <s v="Low Impact"/>
  </r>
  <r>
    <s v="E1688"/>
    <n v="34"/>
    <s v="Other"/>
    <s v="Master"/>
    <x v="2"/>
    <s v="Content Creator"/>
    <n v="11"/>
    <x v="2"/>
    <s v="High"/>
    <s v="Yes"/>
    <n v="75924"/>
    <n v="61533"/>
    <x v="2"/>
    <n v="41"/>
    <x v="1"/>
    <n v="6"/>
    <n v="24.03"/>
    <n v="-14391"/>
    <n v="-18.954480796586061"/>
    <s v="Intermediate"/>
    <s v="High Impact"/>
  </r>
  <r>
    <s v="E0529"/>
    <n v="25"/>
    <s v="Male"/>
    <s v="Master"/>
    <x v="0"/>
    <s v="DevOps Engineer"/>
    <n v="3"/>
    <x v="0"/>
    <s v="High"/>
    <s v="No"/>
    <n v="76220"/>
    <n v="81382"/>
    <x v="0"/>
    <n v="48"/>
    <x v="1"/>
    <n v="9"/>
    <n v="24.01"/>
    <n v="5162"/>
    <n v="6.7725006559958016"/>
    <s v="Beginner"/>
    <s v="Low Impact"/>
  </r>
  <r>
    <s v="E1476"/>
    <n v="36"/>
    <s v="Female"/>
    <s v="PhD"/>
    <x v="5"/>
    <s v="Teacher"/>
    <n v="13"/>
    <x v="0"/>
    <s v="Medium"/>
    <s v="Yes"/>
    <n v="116261"/>
    <n v="113122"/>
    <x v="1"/>
    <n v="51"/>
    <x v="0"/>
    <n v="7"/>
    <n v="24"/>
    <n v="-3139"/>
    <n v="-2.6999595737177557"/>
    <s v="Intermediate"/>
    <s v="Medium Impact"/>
  </r>
  <r>
    <s v="E0333"/>
    <n v="56"/>
    <s v="Male"/>
    <s v="Master"/>
    <x v="6"/>
    <s v="Doctor"/>
    <n v="33"/>
    <x v="2"/>
    <s v="Medium"/>
    <s v="No"/>
    <n v="98056"/>
    <n v="111102"/>
    <x v="1"/>
    <n v="41"/>
    <x v="0"/>
    <n v="5"/>
    <n v="23.98"/>
    <n v="13046"/>
    <n v="13.304642245247614"/>
    <s v="Expert"/>
    <s v="Medium Impact"/>
  </r>
  <r>
    <s v="E0676"/>
    <n v="52"/>
    <s v="Female"/>
    <s v="Master"/>
    <x v="6"/>
    <s v="Doctor"/>
    <n v="28"/>
    <x v="0"/>
    <s v="Medium"/>
    <s v="No"/>
    <n v="58807"/>
    <n v="60298"/>
    <x v="1"/>
    <n v="43"/>
    <x v="0"/>
    <n v="9"/>
    <n v="23.89"/>
    <n v="1491"/>
    <n v="2.5354124508987024"/>
    <s v="Expert"/>
    <s v="Medium Impact"/>
  </r>
  <r>
    <s v="E1244"/>
    <n v="35"/>
    <s v="Other"/>
    <s v="High School"/>
    <x v="1"/>
    <s v="Quality Inspector"/>
    <n v="11"/>
    <x v="2"/>
    <s v="Low"/>
    <s v="Yes"/>
    <n v="87450"/>
    <n v="86669"/>
    <x v="0"/>
    <n v="43"/>
    <x v="0"/>
    <n v="7"/>
    <n v="23.86"/>
    <n v="-781"/>
    <n v="-0.89308176100628933"/>
    <s v="Intermediate"/>
    <s v="Low Impact"/>
  </r>
  <r>
    <s v="E1969"/>
    <n v="35"/>
    <s v="Other"/>
    <s v="High School"/>
    <x v="3"/>
    <s v="Investment Analyst"/>
    <n v="11"/>
    <x v="0"/>
    <s v="Medium"/>
    <s v="Yes"/>
    <n v="69023"/>
    <n v="74750"/>
    <x v="1"/>
    <n v="51"/>
    <x v="0"/>
    <n v="6"/>
    <n v="23.79"/>
    <n v="5727"/>
    <n v="8.2972342552482505"/>
    <s v="Intermediate"/>
    <s v="Medium Impact"/>
  </r>
  <r>
    <s v="E1719"/>
    <n v="33"/>
    <s v="Male"/>
    <s v="PhD"/>
    <x v="0"/>
    <s v="DevOps Engineer"/>
    <n v="10"/>
    <x v="0"/>
    <s v="Medium"/>
    <s v="Yes"/>
    <n v="116426"/>
    <n v="123159"/>
    <x v="1"/>
    <n v="50"/>
    <x v="0"/>
    <n v="7"/>
    <n v="23.78"/>
    <n v="6733"/>
    <n v="5.7830725095768987"/>
    <s v="Intermediate"/>
    <s v="Medium Impact"/>
  </r>
  <r>
    <s v="E1656"/>
    <n v="49"/>
    <s v="Female"/>
    <s v="Master"/>
    <x v="1"/>
    <s v="Machine Operator"/>
    <n v="26"/>
    <x v="0"/>
    <s v="Medium"/>
    <s v="Yes"/>
    <n v="92820"/>
    <n v="93156"/>
    <x v="1"/>
    <n v="54"/>
    <x v="0"/>
    <n v="7"/>
    <n v="23.77"/>
    <n v="336"/>
    <n v="0.36199095022624433"/>
    <s v="Expert"/>
    <s v="Medium Impact"/>
  </r>
  <r>
    <s v="E1383"/>
    <n v="38"/>
    <s v="Other"/>
    <s v="Master"/>
    <x v="4"/>
    <s v="Store Manager"/>
    <n v="16"/>
    <x v="2"/>
    <s v="High"/>
    <s v="Yes"/>
    <n v="53212"/>
    <n v="62522"/>
    <x v="1"/>
    <n v="53"/>
    <x v="0"/>
    <n v="7"/>
    <n v="23.73"/>
    <n v="9310"/>
    <n v="17.496053521762008"/>
    <s v="Expert"/>
    <s v="Medium Impact"/>
  </r>
  <r>
    <s v="E1309"/>
    <n v="47"/>
    <s v="Female"/>
    <s v="Master"/>
    <x v="0"/>
    <s v="Data Analyst"/>
    <n v="25"/>
    <x v="1"/>
    <s v="High"/>
    <s v="Yes"/>
    <n v="85401"/>
    <n v="91217"/>
    <x v="0"/>
    <n v="48"/>
    <x v="1"/>
    <n v="7"/>
    <n v="23.72"/>
    <n v="5816"/>
    <n v="6.8102247046287516"/>
    <s v="Expert"/>
    <s v="Low Impact"/>
  </r>
  <r>
    <s v="E0327"/>
    <n v="42"/>
    <s v="Other"/>
    <s v="Master"/>
    <x v="4"/>
    <s v="Store Manager"/>
    <n v="16"/>
    <x v="0"/>
    <s v="High"/>
    <s v="No"/>
    <n v="45997"/>
    <n v="49506"/>
    <x v="0"/>
    <n v="41"/>
    <x v="0"/>
    <n v="9"/>
    <n v="23.71"/>
    <n v="3509"/>
    <n v="7.628758397286779"/>
    <s v="Expert"/>
    <s v="Low Impact"/>
  </r>
  <r>
    <s v="E0879"/>
    <n v="23"/>
    <s v="Other"/>
    <s v="Master"/>
    <x v="0"/>
    <s v="Data Analyst"/>
    <n v="0"/>
    <x v="1"/>
    <s v="Medium"/>
    <s v="Yes"/>
    <n v="31674"/>
    <n v="29802"/>
    <x v="1"/>
    <n v="54"/>
    <x v="1"/>
    <n v="6"/>
    <n v="23.68"/>
    <n v="-1872"/>
    <n v="-5.9102102670960406"/>
    <s v="Beginner"/>
    <s v="Medium Impact"/>
  </r>
  <r>
    <s v="E0388"/>
    <n v="49"/>
    <s v="Male"/>
    <s v="Master"/>
    <x v="4"/>
    <s v="Sales Associate"/>
    <n v="24"/>
    <x v="2"/>
    <s v="Low"/>
    <s v="Yes"/>
    <n v="105948"/>
    <n v="145963"/>
    <x v="0"/>
    <n v="53"/>
    <x v="0"/>
    <n v="9"/>
    <n v="23.6"/>
    <n v="40015"/>
    <n v="37.76852795711104"/>
    <s v="Expert"/>
    <s v="Low Impact"/>
  </r>
  <r>
    <s v="E0505"/>
    <n v="24"/>
    <s v="Female"/>
    <s v="Bachelor"/>
    <x v="2"/>
    <s v="Content Creator"/>
    <n v="0"/>
    <x v="2"/>
    <s v="Medium"/>
    <s v="Yes"/>
    <n v="75095"/>
    <n v="62222"/>
    <x v="1"/>
    <n v="44"/>
    <x v="1"/>
    <n v="6"/>
    <n v="23.6"/>
    <n v="-12873"/>
    <n v="-17.142286437179571"/>
    <s v="Beginner"/>
    <s v="Medium Impact"/>
  </r>
  <r>
    <s v="E0332"/>
    <n v="29"/>
    <s v="Other"/>
    <s v="Master"/>
    <x v="3"/>
    <s v="Investment Analyst"/>
    <n v="6"/>
    <x v="2"/>
    <s v="Low"/>
    <s v="No"/>
    <n v="95095"/>
    <n v="90150"/>
    <x v="0"/>
    <n v="35"/>
    <x v="0"/>
    <n v="6"/>
    <n v="23.59"/>
    <n v="-4945"/>
    <n v="-5.2000630947999369"/>
    <s v="Intermediate"/>
    <s v="Low Impact"/>
  </r>
  <r>
    <s v="E1332"/>
    <n v="34"/>
    <s v="Female"/>
    <s v="High School"/>
    <x v="0"/>
    <s v="Software Engineer"/>
    <n v="8"/>
    <x v="2"/>
    <s v="Medium"/>
    <s v="Yes"/>
    <n v="52394"/>
    <n v="68634"/>
    <x v="1"/>
    <n v="39"/>
    <x v="1"/>
    <n v="7"/>
    <n v="23.57"/>
    <n v="16240"/>
    <n v="30.995915562850705"/>
    <s v="Intermediate"/>
    <s v="Medium Impact"/>
  </r>
  <r>
    <s v="E1056"/>
    <n v="39"/>
    <s v="Female"/>
    <s v="PhD"/>
    <x v="5"/>
    <s v="Professor"/>
    <n v="17"/>
    <x v="1"/>
    <s v="Low"/>
    <s v="No"/>
    <n v="104656"/>
    <n v="123531"/>
    <x v="0"/>
    <n v="53"/>
    <x v="0"/>
    <n v="5"/>
    <n v="23.56"/>
    <n v="18875"/>
    <n v="18.035277480507567"/>
    <s v="Expert"/>
    <s v="Low Impact"/>
  </r>
  <r>
    <s v="E1152"/>
    <n v="43"/>
    <s v="Other"/>
    <s v="PhD"/>
    <x v="3"/>
    <s v="Auditor"/>
    <n v="21"/>
    <x v="0"/>
    <s v="Medium"/>
    <s v="No"/>
    <n v="45438"/>
    <n v="46585"/>
    <x v="1"/>
    <n v="50"/>
    <x v="1"/>
    <n v="8"/>
    <n v="23.53"/>
    <n v="1147"/>
    <n v="2.5243188520621507"/>
    <s v="Expert"/>
    <s v="Medium Impact"/>
  </r>
  <r>
    <s v="E1777"/>
    <n v="54"/>
    <s v="Other"/>
    <s v="Master"/>
    <x v="6"/>
    <s v="Doctor"/>
    <n v="28"/>
    <x v="0"/>
    <s v="High"/>
    <s v="Yes"/>
    <n v="84862"/>
    <n v="89261"/>
    <x v="0"/>
    <n v="47"/>
    <x v="1"/>
    <n v="8"/>
    <n v="23.51"/>
    <n v="4399"/>
    <n v="5.1837100233319982"/>
    <s v="Expert"/>
    <s v="Low Impact"/>
  </r>
  <r>
    <s v="E0470"/>
    <n v="24"/>
    <s v="Male"/>
    <s v="Bachelor"/>
    <x v="3"/>
    <s v="Auditor"/>
    <n v="2"/>
    <x v="2"/>
    <s v="Low"/>
    <s v="Yes"/>
    <n v="66021"/>
    <n v="63380"/>
    <x v="0"/>
    <n v="38"/>
    <x v="1"/>
    <n v="4"/>
    <n v="23.49"/>
    <n v="-2641"/>
    <n v="-4.000242347131973"/>
    <s v="Beginner"/>
    <s v="Low Impact"/>
  </r>
  <r>
    <s v="E0282"/>
    <n v="32"/>
    <s v="Female"/>
    <s v="High School"/>
    <x v="5"/>
    <s v="Professor"/>
    <n v="7"/>
    <x v="0"/>
    <s v="High"/>
    <s v="Yes"/>
    <n v="81501"/>
    <n v="78698"/>
    <x v="0"/>
    <n v="44"/>
    <x v="1"/>
    <n v="9"/>
    <n v="23.46"/>
    <n v="-2803"/>
    <n v="-3.4392216046428876"/>
    <s v="Intermediate"/>
    <s v="Low Impact"/>
  </r>
  <r>
    <s v="E0306"/>
    <n v="50"/>
    <s v="Male"/>
    <s v="Bachelor"/>
    <x v="4"/>
    <s v="Store Manager"/>
    <n v="25"/>
    <x v="2"/>
    <s v="Medium"/>
    <s v="Yes"/>
    <n v="42411"/>
    <n v="55507"/>
    <x v="1"/>
    <n v="39"/>
    <x v="1"/>
    <n v="6"/>
    <n v="23.46"/>
    <n v="13096"/>
    <n v="30.878781448209192"/>
    <s v="Expert"/>
    <s v="Medium Impact"/>
  </r>
  <r>
    <s v="E1944"/>
    <n v="37"/>
    <s v="Female"/>
    <s v="Master"/>
    <x v="0"/>
    <s v="Software Engineer"/>
    <n v="11"/>
    <x v="0"/>
    <s v="Medium"/>
    <s v="Yes"/>
    <n v="101880"/>
    <n v="97256"/>
    <x v="1"/>
    <n v="43"/>
    <x v="0"/>
    <n v="6"/>
    <n v="23.43"/>
    <n v="-4624"/>
    <n v="-4.5386729485669415"/>
    <s v="Intermediate"/>
    <s v="Medium Impact"/>
  </r>
  <r>
    <s v="E1268"/>
    <n v="29"/>
    <s v="Other"/>
    <s v="PhD"/>
    <x v="4"/>
    <s v="Cashier"/>
    <n v="7"/>
    <x v="1"/>
    <s v="Low"/>
    <s v="No"/>
    <n v="99687"/>
    <n v="114913"/>
    <x v="0"/>
    <n v="40"/>
    <x v="1"/>
    <n v="3"/>
    <n v="23.34"/>
    <n v="15226"/>
    <n v="15.273807015959957"/>
    <s v="Intermediate"/>
    <s v="Low Impact"/>
  </r>
  <r>
    <s v="E0949"/>
    <n v="31"/>
    <s v="Other"/>
    <s v="Master"/>
    <x v="3"/>
    <s v="Auditor"/>
    <n v="9"/>
    <x v="0"/>
    <s v="Low"/>
    <s v="Yes"/>
    <n v="78773"/>
    <n v="83818"/>
    <x v="0"/>
    <n v="43"/>
    <x v="0"/>
    <n v="5"/>
    <n v="23.34"/>
    <n v="5045"/>
    <n v="6.4044786919375927"/>
    <s v="Intermediate"/>
    <s v="Low Impact"/>
  </r>
  <r>
    <s v="E0562"/>
    <n v="43"/>
    <s v="Other"/>
    <s v="Master"/>
    <x v="4"/>
    <s v="Store Manager"/>
    <n v="21"/>
    <x v="2"/>
    <s v="Low"/>
    <s v="Yes"/>
    <n v="31700"/>
    <n v="33179"/>
    <x v="0"/>
    <n v="54"/>
    <x v="1"/>
    <n v="9"/>
    <n v="23.32"/>
    <n v="1479"/>
    <n v="4.6656151419558363"/>
    <s v="Expert"/>
    <s v="Low Impact"/>
  </r>
  <r>
    <s v="E1907"/>
    <n v="51"/>
    <s v="Male"/>
    <s v="Master"/>
    <x v="0"/>
    <s v="Software Engineer"/>
    <n v="28"/>
    <x v="0"/>
    <s v="Medium"/>
    <s v="Yes"/>
    <n v="52525"/>
    <n v="50627"/>
    <x v="1"/>
    <n v="51"/>
    <x v="0"/>
    <n v="8"/>
    <n v="23.3"/>
    <n v="-1898"/>
    <n v="-3.6135173726796763"/>
    <s v="Expert"/>
    <s v="Medium Impact"/>
  </r>
  <r>
    <s v="E1707"/>
    <n v="24"/>
    <s v="Female"/>
    <s v="Bachelor"/>
    <x v="0"/>
    <s v="DevOps Engineer"/>
    <n v="1"/>
    <x v="1"/>
    <s v="High"/>
    <s v="Yes"/>
    <n v="64019"/>
    <n v="70074"/>
    <x v="0"/>
    <n v="50"/>
    <x v="0"/>
    <n v="9"/>
    <n v="23.29"/>
    <n v="6055"/>
    <n v="9.4581296177697247"/>
    <s v="Beginner"/>
    <s v="Low Impact"/>
  </r>
  <r>
    <s v="E0157"/>
    <n v="24"/>
    <s v="Other"/>
    <s v="High School"/>
    <x v="2"/>
    <s v="Content Creator"/>
    <n v="0"/>
    <x v="0"/>
    <s v="Medium"/>
    <s v="Yes"/>
    <n v="54160"/>
    <n v="55974"/>
    <x v="1"/>
    <n v="37"/>
    <x v="1"/>
    <n v="8"/>
    <n v="23.25"/>
    <n v="1814"/>
    <n v="3.3493353028064989"/>
    <s v="Beginner"/>
    <s v="Medium Impact"/>
  </r>
  <r>
    <s v="E0556"/>
    <n v="31"/>
    <s v="Male"/>
    <s v="PhD"/>
    <x v="5"/>
    <s v="Professor"/>
    <n v="6"/>
    <x v="0"/>
    <s v="High"/>
    <s v="Yes"/>
    <n v="48452"/>
    <n v="51456"/>
    <x v="0"/>
    <n v="49"/>
    <x v="0"/>
    <n v="6"/>
    <n v="23.23"/>
    <n v="3004"/>
    <n v="6.1999504664410132"/>
    <s v="Intermediate"/>
    <s v="Low Impact"/>
  </r>
  <r>
    <s v="E0895"/>
    <n v="58"/>
    <s v="Male"/>
    <s v="Bachelor"/>
    <x v="2"/>
    <s v="Digital Marketer"/>
    <n v="32"/>
    <x v="1"/>
    <s v="High"/>
    <s v="Yes"/>
    <n v="35636"/>
    <n v="34124"/>
    <x v="0"/>
    <n v="43"/>
    <x v="0"/>
    <n v="7"/>
    <n v="23.15"/>
    <n v="-1512"/>
    <n v="-4.2429004377595687"/>
    <s v="Expert"/>
    <s v="Low Impact"/>
  </r>
  <r>
    <s v="E0939"/>
    <n v="50"/>
    <s v="Female"/>
    <s v="PhD"/>
    <x v="3"/>
    <s v="Auditor"/>
    <n v="27"/>
    <x v="0"/>
    <s v="High"/>
    <s v="No"/>
    <n v="56183"/>
    <n v="58287"/>
    <x v="0"/>
    <n v="41"/>
    <x v="0"/>
    <n v="6"/>
    <n v="23.08"/>
    <n v="2104"/>
    <n v="3.7449050424505637"/>
    <s v="Expert"/>
    <s v="Low Impact"/>
  </r>
  <r>
    <s v="E0905"/>
    <n v="33"/>
    <s v="Other"/>
    <s v="Bachelor"/>
    <x v="4"/>
    <s v="Sales Associate"/>
    <n v="8"/>
    <x v="1"/>
    <s v="High"/>
    <s v="Yes"/>
    <n v="45198"/>
    <n v="49393"/>
    <x v="0"/>
    <n v="46"/>
    <x v="0"/>
    <n v="4"/>
    <n v="23.06"/>
    <n v="4195"/>
    <n v="9.2813841320412411"/>
    <s v="Intermediate"/>
    <s v="Low Impact"/>
  </r>
  <r>
    <s v="E1773"/>
    <n v="42"/>
    <s v="Male"/>
    <s v="Bachelor"/>
    <x v="1"/>
    <s v="Supervisor"/>
    <n v="18"/>
    <x v="2"/>
    <s v="Medium"/>
    <s v="Yes"/>
    <n v="94274"/>
    <n v="89268"/>
    <x v="1"/>
    <n v="45"/>
    <x v="0"/>
    <n v="5"/>
    <n v="22.99"/>
    <n v="-5006"/>
    <n v="-5.3100536733351715"/>
    <s v="Expert"/>
    <s v="Medium Impact"/>
  </r>
  <r>
    <s v="E1302"/>
    <n v="55"/>
    <s v="Other"/>
    <s v="Master"/>
    <x v="0"/>
    <s v="Software Engineer"/>
    <n v="33"/>
    <x v="2"/>
    <s v="Medium"/>
    <s v="No"/>
    <n v="82635"/>
    <n v="70127"/>
    <x v="1"/>
    <n v="47"/>
    <x v="1"/>
    <n v="3"/>
    <n v="22.99"/>
    <n v="-12508"/>
    <n v="-15.136443395655593"/>
    <s v="Expert"/>
    <s v="Medium Impact"/>
  </r>
  <r>
    <s v="E1582"/>
    <n v="27"/>
    <s v="Male"/>
    <s v="High School"/>
    <x v="5"/>
    <s v="Professor"/>
    <n v="2"/>
    <x v="0"/>
    <s v="High"/>
    <s v="No"/>
    <n v="78478"/>
    <n v="78371"/>
    <x v="0"/>
    <n v="40"/>
    <x v="1"/>
    <n v="4"/>
    <n v="22.97"/>
    <n v="-107"/>
    <n v="-0.13634394352557405"/>
    <s v="Beginner"/>
    <s v="Low Impact"/>
  </r>
  <r>
    <s v="E0155"/>
    <n v="55"/>
    <s v="Male"/>
    <s v="Bachelor"/>
    <x v="2"/>
    <s v="SEO Specialist"/>
    <n v="30"/>
    <x v="2"/>
    <s v="Medium"/>
    <s v="No"/>
    <n v="111974"/>
    <n v="100070"/>
    <x v="1"/>
    <n v="42"/>
    <x v="1"/>
    <n v="3"/>
    <n v="22.96"/>
    <n v="-11904"/>
    <n v="-10.63103934842017"/>
    <s v="Expert"/>
    <s v="Medium Impact"/>
  </r>
  <r>
    <s v="E1362"/>
    <n v="53"/>
    <s v="Male"/>
    <s v="Master"/>
    <x v="1"/>
    <s v="Quality Inspector"/>
    <n v="30"/>
    <x v="0"/>
    <s v="High"/>
    <s v="Yes"/>
    <n v="85184"/>
    <n v="87837"/>
    <x v="0"/>
    <n v="37"/>
    <x v="0"/>
    <n v="8"/>
    <n v="22.92"/>
    <n v="2653"/>
    <n v="3.1144346356123216"/>
    <s v="Expert"/>
    <s v="Low Impact"/>
  </r>
  <r>
    <s v="E1195"/>
    <n v="47"/>
    <s v="Other"/>
    <s v="Master"/>
    <x v="4"/>
    <s v="Cashier"/>
    <n v="24"/>
    <x v="2"/>
    <s v="High"/>
    <s v="No"/>
    <n v="79832"/>
    <n v="73475"/>
    <x v="1"/>
    <n v="36"/>
    <x v="0"/>
    <n v="4"/>
    <n v="22.91"/>
    <n v="-6357"/>
    <n v="-7.9629722417075861"/>
    <s v="Expert"/>
    <s v="Medium Impact"/>
  </r>
  <r>
    <s v="E0152"/>
    <n v="50"/>
    <s v="Male"/>
    <s v="Bachelor"/>
    <x v="4"/>
    <s v="Cashier"/>
    <n v="26"/>
    <x v="0"/>
    <s v="Medium"/>
    <s v="No"/>
    <n v="48449"/>
    <n v="48163"/>
    <x v="1"/>
    <n v="52"/>
    <x v="0"/>
    <n v="4"/>
    <n v="22.84"/>
    <n v="-286"/>
    <n v="-0.59031146153687375"/>
    <s v="Expert"/>
    <s v="Medium Impact"/>
  </r>
  <r>
    <s v="E1920"/>
    <n v="59"/>
    <s v="Other"/>
    <s v="Master"/>
    <x v="3"/>
    <s v="Auditor"/>
    <n v="35"/>
    <x v="2"/>
    <s v="Medium"/>
    <s v="Yes"/>
    <n v="69423"/>
    <n v="94039"/>
    <x v="1"/>
    <n v="36"/>
    <x v="0"/>
    <n v="9"/>
    <n v="22.74"/>
    <n v="24616"/>
    <n v="35.457989427135104"/>
    <s v="Expert"/>
    <s v="Medium Impact"/>
  </r>
  <r>
    <s v="E1379"/>
    <n v="50"/>
    <s v="Male"/>
    <s v="PhD"/>
    <x v="6"/>
    <s v="Technician"/>
    <n v="25"/>
    <x v="2"/>
    <s v="Medium"/>
    <s v="Yes"/>
    <n v="93333"/>
    <n v="110945"/>
    <x v="1"/>
    <n v="54"/>
    <x v="1"/>
    <n v="9"/>
    <n v="22.72"/>
    <n v="17612"/>
    <n v="18.870067393097834"/>
    <s v="Expert"/>
    <s v="Medium Impact"/>
  </r>
  <r>
    <s v="E1105"/>
    <n v="37"/>
    <s v="Male"/>
    <s v="Bachelor"/>
    <x v="5"/>
    <s v="Administrator"/>
    <n v="11"/>
    <x v="1"/>
    <s v="Low"/>
    <s v="Yes"/>
    <n v="111335"/>
    <n v="120116"/>
    <x v="0"/>
    <n v="41"/>
    <x v="1"/>
    <n v="6"/>
    <n v="22.58"/>
    <n v="8781"/>
    <n v="7.8870076795257553"/>
    <s v="Intermediate"/>
    <s v="Low Impact"/>
  </r>
  <r>
    <s v="E1521"/>
    <n v="24"/>
    <s v="Male"/>
    <s v="Bachelor"/>
    <x v="3"/>
    <s v="Auditor"/>
    <n v="0"/>
    <x v="2"/>
    <s v="High"/>
    <s v="Yes"/>
    <n v="59250"/>
    <n v="80517"/>
    <x v="1"/>
    <n v="46"/>
    <x v="1"/>
    <n v="7"/>
    <n v="22.47"/>
    <n v="21267"/>
    <n v="35.893670886075952"/>
    <s v="Beginner"/>
    <s v="Medium Impact"/>
  </r>
  <r>
    <s v="E1374"/>
    <n v="58"/>
    <s v="Other"/>
    <s v="Bachelor"/>
    <x v="6"/>
    <s v="Doctor"/>
    <n v="36"/>
    <x v="2"/>
    <s v="Medium"/>
    <s v="Yes"/>
    <n v="59430"/>
    <n v="50225"/>
    <x v="1"/>
    <n v="37"/>
    <x v="0"/>
    <n v="6"/>
    <n v="22.47"/>
    <n v="-9205"/>
    <n v="-15.488810365135453"/>
    <s v="Expert"/>
    <s v="Medium Impact"/>
  </r>
  <r>
    <s v="E0341"/>
    <n v="40"/>
    <s v="Other"/>
    <s v="Bachelor"/>
    <x v="4"/>
    <s v="Store Manager"/>
    <n v="14"/>
    <x v="1"/>
    <s v="High"/>
    <s v="Yes"/>
    <n v="92539"/>
    <n v="105075"/>
    <x v="0"/>
    <n v="38"/>
    <x v="1"/>
    <n v="5"/>
    <n v="22.46"/>
    <n v="12536"/>
    <n v="13.546720842023364"/>
    <s v="Intermediate"/>
    <s v="Low Impact"/>
  </r>
  <r>
    <s v="E1400"/>
    <n v="36"/>
    <s v="Female"/>
    <s v="Master"/>
    <x v="1"/>
    <s v="Quality Inspector"/>
    <n v="12"/>
    <x v="1"/>
    <s v="High"/>
    <s v="No"/>
    <n v="101200"/>
    <n v="94138"/>
    <x v="0"/>
    <n v="37"/>
    <x v="0"/>
    <n v="3"/>
    <n v="22.45"/>
    <n v="-7062"/>
    <n v="-6.9782608695652169"/>
    <s v="Intermediate"/>
    <s v="Low Impact"/>
  </r>
  <r>
    <s v="E0141"/>
    <n v="57"/>
    <s v="Male"/>
    <s v="PhD"/>
    <x v="0"/>
    <s v="Software Engineer"/>
    <n v="32"/>
    <x v="2"/>
    <s v="Medium"/>
    <s v="No"/>
    <n v="94644"/>
    <n v="128100"/>
    <x v="1"/>
    <n v="44"/>
    <x v="0"/>
    <n v="3"/>
    <n v="22.43"/>
    <n v="33456"/>
    <n v="35.349308989476356"/>
    <s v="Expert"/>
    <s v="Medium Impact"/>
  </r>
  <r>
    <s v="E0455"/>
    <n v="50"/>
    <s v="Other"/>
    <s v="Bachelor"/>
    <x v="3"/>
    <s v="Investment Analyst"/>
    <n v="27"/>
    <x v="1"/>
    <s v="High"/>
    <s v="Yes"/>
    <n v="80961"/>
    <n v="79572"/>
    <x v="0"/>
    <n v="52"/>
    <x v="0"/>
    <n v="3"/>
    <n v="22.42"/>
    <n v="-1389"/>
    <n v="-1.7156408641197614"/>
    <s v="Expert"/>
    <s v="Low Impact"/>
  </r>
  <r>
    <s v="E1144"/>
    <n v="54"/>
    <s v="Other"/>
    <s v="PhD"/>
    <x v="5"/>
    <s v="Teacher"/>
    <n v="29"/>
    <x v="1"/>
    <s v="Medium"/>
    <s v="No"/>
    <n v="77952"/>
    <n v="71978"/>
    <x v="1"/>
    <n v="50"/>
    <x v="1"/>
    <n v="6"/>
    <n v="22.41"/>
    <n v="-5974"/>
    <n v="-7.6636904761904763"/>
    <s v="Expert"/>
    <s v="Medium Impact"/>
  </r>
  <r>
    <s v="E0076"/>
    <n v="34"/>
    <s v="Other"/>
    <s v="High School"/>
    <x v="0"/>
    <s v="Software Engineer"/>
    <n v="11"/>
    <x v="0"/>
    <s v="Low"/>
    <s v="Yes"/>
    <n v="92856"/>
    <n v="99660"/>
    <x v="0"/>
    <n v="39"/>
    <x v="0"/>
    <n v="7"/>
    <n v="22.37"/>
    <n v="6804"/>
    <n v="7.3274747996898428"/>
    <s v="Intermediate"/>
    <s v="Low Impact"/>
  </r>
  <r>
    <s v="E0647"/>
    <n v="34"/>
    <s v="Female"/>
    <s v="High School"/>
    <x v="5"/>
    <s v="Administrator"/>
    <n v="9"/>
    <x v="1"/>
    <s v="Low"/>
    <s v="Yes"/>
    <n v="86889"/>
    <n v="96865"/>
    <x v="0"/>
    <n v="48"/>
    <x v="1"/>
    <n v="5"/>
    <n v="22.37"/>
    <n v="9976"/>
    <n v="11.481315241284857"/>
    <s v="Intermediate"/>
    <s v="Low Impact"/>
  </r>
  <r>
    <s v="E1795"/>
    <n v="45"/>
    <s v="Female"/>
    <s v="PhD"/>
    <x v="4"/>
    <s v="Store Manager"/>
    <n v="22"/>
    <x v="2"/>
    <s v="High"/>
    <s v="Yes"/>
    <n v="56567"/>
    <n v="52839"/>
    <x v="2"/>
    <n v="47"/>
    <x v="1"/>
    <n v="8"/>
    <n v="22.34"/>
    <n v="-3728"/>
    <n v="-6.5904149062174051"/>
    <s v="Expert"/>
    <s v="High Impact"/>
  </r>
  <r>
    <s v="E1392"/>
    <n v="37"/>
    <s v="Other"/>
    <s v="PhD"/>
    <x v="3"/>
    <s v="Investment Analyst"/>
    <n v="13"/>
    <x v="2"/>
    <s v="High"/>
    <s v="Yes"/>
    <n v="57843"/>
    <n v="56422"/>
    <x v="1"/>
    <n v="52"/>
    <x v="0"/>
    <n v="4"/>
    <n v="22.32"/>
    <n v="-1421"/>
    <n v="-2.4566498971353488"/>
    <s v="Intermediate"/>
    <s v="Medium Impact"/>
  </r>
  <r>
    <s v="E1471"/>
    <n v="41"/>
    <s v="Male"/>
    <s v="PhD"/>
    <x v="4"/>
    <s v="Sales Associate"/>
    <n v="15"/>
    <x v="2"/>
    <s v="Medium"/>
    <s v="No"/>
    <n v="70639"/>
    <n v="93522"/>
    <x v="1"/>
    <n v="35"/>
    <x v="0"/>
    <n v="4"/>
    <n v="22.29"/>
    <n v="22883"/>
    <n v="32.394286442333552"/>
    <s v="Expert"/>
    <s v="Medium Impact"/>
  </r>
  <r>
    <s v="E0521"/>
    <n v="55"/>
    <s v="Male"/>
    <s v="Bachelor"/>
    <x v="6"/>
    <s v="Technician"/>
    <n v="29"/>
    <x v="2"/>
    <s v="Low"/>
    <s v="Yes"/>
    <n v="75814"/>
    <n v="71339"/>
    <x v="0"/>
    <n v="53"/>
    <x v="1"/>
    <n v="8"/>
    <n v="22.29"/>
    <n v="-4475"/>
    <n v="-5.9026037407339009"/>
    <s v="Expert"/>
    <s v="Low Impact"/>
  </r>
  <r>
    <s v="E0536"/>
    <n v="56"/>
    <s v="Male"/>
    <s v="Master"/>
    <x v="6"/>
    <s v="Nurse"/>
    <n v="33"/>
    <x v="1"/>
    <s v="Medium"/>
    <s v="Yes"/>
    <n v="60109"/>
    <n v="65668"/>
    <x v="1"/>
    <n v="40"/>
    <x v="1"/>
    <n v="9"/>
    <n v="22.23"/>
    <n v="5559"/>
    <n v="9.2481991049593244"/>
    <s v="Expert"/>
    <s v="Medium Impact"/>
  </r>
  <r>
    <s v="E1292"/>
    <n v="24"/>
    <s v="Female"/>
    <s v="High School"/>
    <x v="0"/>
    <s v="Data Analyst"/>
    <n v="1"/>
    <x v="1"/>
    <s v="High"/>
    <s v="Yes"/>
    <n v="62430"/>
    <n v="72815"/>
    <x v="0"/>
    <n v="35"/>
    <x v="0"/>
    <n v="5"/>
    <n v="22.18"/>
    <n v="10385"/>
    <n v="16.634630786480859"/>
    <s v="Beginner"/>
    <s v="Low Impact"/>
  </r>
  <r>
    <s v="E0046"/>
    <n v="47"/>
    <s v="Male"/>
    <s v="Bachelor"/>
    <x v="1"/>
    <s v="Quality Inspector"/>
    <n v="25"/>
    <x v="2"/>
    <s v="Medium"/>
    <s v="No"/>
    <n v="57751"/>
    <n v="70352"/>
    <x v="1"/>
    <n v="50"/>
    <x v="0"/>
    <n v="9"/>
    <n v="22.15"/>
    <n v="12601"/>
    <n v="21.819535592457274"/>
    <s v="Expert"/>
    <s v="Medium Impact"/>
  </r>
  <r>
    <s v="E0518"/>
    <n v="41"/>
    <s v="Female"/>
    <s v="High School"/>
    <x v="0"/>
    <s v="Data Analyst"/>
    <n v="16"/>
    <x v="2"/>
    <s v="Medium"/>
    <s v="Yes"/>
    <n v="65060"/>
    <n v="85483"/>
    <x v="1"/>
    <n v="46"/>
    <x v="1"/>
    <n v="9"/>
    <n v="22.07"/>
    <n v="20423"/>
    <n v="31.39102367045804"/>
    <s v="Expert"/>
    <s v="Medium Impact"/>
  </r>
  <r>
    <s v="E1640"/>
    <n v="26"/>
    <s v="Female"/>
    <s v="Master"/>
    <x v="0"/>
    <s v="Software Engineer"/>
    <n v="3"/>
    <x v="1"/>
    <s v="High"/>
    <s v="No"/>
    <n v="75499"/>
    <n v="72226"/>
    <x v="0"/>
    <n v="45"/>
    <x v="0"/>
    <n v="8"/>
    <n v="22.07"/>
    <n v="-3273"/>
    <n v="-4.3351567570431397"/>
    <s v="Beginner"/>
    <s v="Low Impact"/>
  </r>
  <r>
    <s v="E1600"/>
    <n v="24"/>
    <s v="Male"/>
    <s v="High School"/>
    <x v="0"/>
    <s v="Data Analyst"/>
    <n v="2"/>
    <x v="2"/>
    <s v="High"/>
    <s v="No"/>
    <n v="48932"/>
    <n v="43900"/>
    <x v="1"/>
    <n v="53"/>
    <x v="1"/>
    <n v="5"/>
    <n v="22.05"/>
    <n v="-5032"/>
    <n v="-10.283658955284885"/>
    <s v="Beginner"/>
    <s v="Medium Impact"/>
  </r>
  <r>
    <s v="E0868"/>
    <n v="41"/>
    <s v="Female"/>
    <s v="Bachelor"/>
    <x v="2"/>
    <s v="Content Creator"/>
    <n v="17"/>
    <x v="0"/>
    <s v="High"/>
    <s v="No"/>
    <n v="34994"/>
    <n v="35828"/>
    <x v="0"/>
    <n v="38"/>
    <x v="0"/>
    <n v="8"/>
    <n v="22.05"/>
    <n v="834"/>
    <n v="2.3832657026918902"/>
    <s v="Expert"/>
    <s v="Low Impact"/>
  </r>
  <r>
    <s v="E1880"/>
    <n v="58"/>
    <s v="Male"/>
    <s v="Bachelor"/>
    <x v="0"/>
    <s v="Data Analyst"/>
    <n v="34"/>
    <x v="2"/>
    <s v="High"/>
    <s v="Yes"/>
    <n v="116623"/>
    <n v="155556"/>
    <x v="2"/>
    <n v="42"/>
    <x v="1"/>
    <n v="6"/>
    <n v="22.02"/>
    <n v="38933"/>
    <n v="33.383637875890692"/>
    <s v="Expert"/>
    <s v="High Impact"/>
  </r>
  <r>
    <s v="E1841"/>
    <n v="51"/>
    <s v="Male"/>
    <s v="Bachelor"/>
    <x v="2"/>
    <s v="Digital Marketer"/>
    <n v="26"/>
    <x v="2"/>
    <s v="Medium"/>
    <s v="No"/>
    <n v="78328"/>
    <n v="103066"/>
    <x v="1"/>
    <n v="54"/>
    <x v="1"/>
    <n v="6"/>
    <n v="22.01"/>
    <n v="24738"/>
    <n v="31.582575834950465"/>
    <s v="Expert"/>
    <s v="Medium Impact"/>
  </r>
  <r>
    <s v="E1871"/>
    <n v="23"/>
    <s v="Male"/>
    <s v="Bachelor"/>
    <x v="5"/>
    <s v="Teacher"/>
    <n v="0"/>
    <x v="2"/>
    <s v="Medium"/>
    <s v="No"/>
    <n v="37903"/>
    <n v="41067"/>
    <x v="1"/>
    <n v="39"/>
    <x v="0"/>
    <n v="9"/>
    <n v="21.9"/>
    <n v="3164"/>
    <n v="8.3476241986122464"/>
    <s v="Beginner"/>
    <s v="Medium Impact"/>
  </r>
  <r>
    <s v="E1680"/>
    <n v="48"/>
    <s v="Other"/>
    <s v="Bachelor"/>
    <x v="4"/>
    <s v="Store Manager"/>
    <n v="26"/>
    <x v="2"/>
    <s v="Medium"/>
    <s v="Yes"/>
    <n v="62210"/>
    <n v="66763"/>
    <x v="1"/>
    <n v="47"/>
    <x v="1"/>
    <n v="5"/>
    <n v="21.88"/>
    <n v="4553"/>
    <n v="7.31875904195467"/>
    <s v="Expert"/>
    <s v="Medium Impact"/>
  </r>
  <r>
    <s v="E1206"/>
    <n v="34"/>
    <s v="Male"/>
    <s v="Bachelor"/>
    <x v="1"/>
    <s v="Quality Inspector"/>
    <n v="8"/>
    <x v="1"/>
    <s v="Low"/>
    <s v="No"/>
    <n v="49971"/>
    <n v="54705"/>
    <x v="0"/>
    <n v="40"/>
    <x v="1"/>
    <n v="4"/>
    <n v="21.88"/>
    <n v="4734"/>
    <n v="9.4734946268835927"/>
    <s v="Intermediate"/>
    <s v="Low Impact"/>
  </r>
  <r>
    <s v="E1706"/>
    <n v="29"/>
    <s v="Male"/>
    <s v="Master"/>
    <x v="4"/>
    <s v="Sales Associate"/>
    <n v="5"/>
    <x v="1"/>
    <s v="Medium"/>
    <s v="No"/>
    <n v="30639"/>
    <n v="36372"/>
    <x v="1"/>
    <n v="46"/>
    <x v="1"/>
    <n v="3"/>
    <n v="21.81"/>
    <n v="5733"/>
    <n v="18.711446196024674"/>
    <s v="Intermediate"/>
    <s v="Medium Impact"/>
  </r>
  <r>
    <s v="E0066"/>
    <n v="55"/>
    <s v="Female"/>
    <s v="Master"/>
    <x v="3"/>
    <s v="Auditor"/>
    <n v="31"/>
    <x v="1"/>
    <s v="Medium"/>
    <s v="No"/>
    <n v="50358"/>
    <n v="47107"/>
    <x v="1"/>
    <n v="47"/>
    <x v="1"/>
    <n v="5"/>
    <n v="21.8"/>
    <n v="-3251"/>
    <n v="-6.4557766392628775"/>
    <s v="Expert"/>
    <s v="Medium Impact"/>
  </r>
  <r>
    <s v="E0044"/>
    <n v="39"/>
    <s v="Female"/>
    <s v="Master"/>
    <x v="0"/>
    <s v="Data Analyst"/>
    <n v="17"/>
    <x v="2"/>
    <s v="Low"/>
    <s v="Yes"/>
    <n v="62745"/>
    <n v="85439"/>
    <x v="0"/>
    <n v="42"/>
    <x v="0"/>
    <n v="8"/>
    <n v="21.76"/>
    <n v="22694"/>
    <n v="36.168619013467207"/>
    <s v="Expert"/>
    <s v="Low Impact"/>
  </r>
  <r>
    <s v="E0535"/>
    <n v="50"/>
    <s v="Female"/>
    <s v="PhD"/>
    <x v="1"/>
    <s v="Supervisor"/>
    <n v="25"/>
    <x v="0"/>
    <s v="Low"/>
    <s v="Yes"/>
    <n v="111882"/>
    <n v="113510"/>
    <x v="0"/>
    <n v="53"/>
    <x v="0"/>
    <n v="6"/>
    <n v="21.75"/>
    <n v="1628"/>
    <n v="1.4551044850824975"/>
    <s v="Expert"/>
    <s v="Low Impact"/>
  </r>
  <r>
    <s v="E1630"/>
    <n v="34"/>
    <s v="Other"/>
    <s v="High School"/>
    <x v="4"/>
    <s v="Cashier"/>
    <n v="9"/>
    <x v="1"/>
    <s v="Medium"/>
    <s v="No"/>
    <n v="105726"/>
    <n v="102977"/>
    <x v="1"/>
    <n v="48"/>
    <x v="1"/>
    <n v="5"/>
    <n v="21.72"/>
    <n v="-2749"/>
    <n v="-2.6001172843009286"/>
    <s v="Intermediate"/>
    <s v="Medium Impact"/>
  </r>
  <r>
    <s v="E1624"/>
    <n v="50"/>
    <s v="Female"/>
    <s v="PhD"/>
    <x v="3"/>
    <s v="Investment Analyst"/>
    <n v="25"/>
    <x v="1"/>
    <s v="High"/>
    <s v="Yes"/>
    <n v="33188"/>
    <n v="35745"/>
    <x v="0"/>
    <n v="45"/>
    <x v="0"/>
    <n v="6"/>
    <n v="21.72"/>
    <n v="2557"/>
    <n v="7.7045920212124859"/>
    <s v="Expert"/>
    <s v="Low Impact"/>
  </r>
  <r>
    <s v="E0281"/>
    <n v="46"/>
    <s v="Other"/>
    <s v="Bachelor"/>
    <x v="1"/>
    <s v="Machine Operator"/>
    <n v="23"/>
    <x v="2"/>
    <s v="Low"/>
    <s v="No"/>
    <n v="47727"/>
    <n v="42088"/>
    <x v="0"/>
    <n v="37"/>
    <x v="0"/>
    <n v="4"/>
    <n v="21.71"/>
    <n v="-5639"/>
    <n v="-11.815115133991242"/>
    <s v="Expert"/>
    <s v="Low Impact"/>
  </r>
  <r>
    <s v="E1467"/>
    <n v="22"/>
    <s v="Male"/>
    <s v="High School"/>
    <x v="6"/>
    <s v="Technician"/>
    <n v="0"/>
    <x v="0"/>
    <s v="Medium"/>
    <s v="Yes"/>
    <n v="111614"/>
    <n v="107958"/>
    <x v="1"/>
    <n v="47"/>
    <x v="1"/>
    <n v="3"/>
    <n v="21.69"/>
    <n v="-3656"/>
    <n v="-3.2755747486874403"/>
    <s v="Beginner"/>
    <s v="Medium Impact"/>
  </r>
  <r>
    <s v="E0516"/>
    <n v="53"/>
    <s v="Male"/>
    <s v="High School"/>
    <x v="1"/>
    <s v="Supervisor"/>
    <n v="29"/>
    <x v="2"/>
    <s v="High"/>
    <s v="No"/>
    <n v="119285"/>
    <n v="161344"/>
    <x v="1"/>
    <n v="41"/>
    <x v="1"/>
    <n v="7"/>
    <n v="21.68"/>
    <n v="42059"/>
    <n v="35.259253049419456"/>
    <s v="Expert"/>
    <s v="Medium Impact"/>
  </r>
  <r>
    <s v="E0730"/>
    <n v="50"/>
    <s v="Other"/>
    <s v="PhD"/>
    <x v="6"/>
    <s v="Nurse"/>
    <n v="25"/>
    <x v="2"/>
    <s v="High"/>
    <s v="No"/>
    <n v="37493"/>
    <n v="43318"/>
    <x v="1"/>
    <n v="35"/>
    <x v="0"/>
    <n v="5"/>
    <n v="21.68"/>
    <n v="5825"/>
    <n v="15.536233430240312"/>
    <s v="Expert"/>
    <s v="Medium Impact"/>
  </r>
  <r>
    <s v="E1559"/>
    <n v="51"/>
    <s v="Other"/>
    <s v="Master"/>
    <x v="0"/>
    <s v="Software Engineer"/>
    <n v="25"/>
    <x v="1"/>
    <s v="Low"/>
    <s v="No"/>
    <n v="59203"/>
    <n v="56270"/>
    <x v="0"/>
    <n v="47"/>
    <x v="1"/>
    <n v="9"/>
    <n v="21.63"/>
    <n v="-2933"/>
    <n v="-4.9541408374575617"/>
    <s v="Expert"/>
    <s v="Low Impact"/>
  </r>
  <r>
    <s v="E1113"/>
    <n v="29"/>
    <s v="Female"/>
    <s v="Bachelor"/>
    <x v="6"/>
    <s v="Nurse"/>
    <n v="7"/>
    <x v="2"/>
    <s v="Medium"/>
    <s v="Yes"/>
    <n v="47459"/>
    <n v="59328"/>
    <x v="1"/>
    <n v="44"/>
    <x v="0"/>
    <n v="6"/>
    <n v="21.6"/>
    <n v="11869"/>
    <n v="25.008955098084662"/>
    <s v="Intermediate"/>
    <s v="Medium Impact"/>
  </r>
  <r>
    <s v="E1238"/>
    <n v="33"/>
    <s v="Male"/>
    <s v="Bachelor"/>
    <x v="3"/>
    <s v="Accountant"/>
    <n v="8"/>
    <x v="0"/>
    <s v="Medium"/>
    <s v="Yes"/>
    <n v="113694"/>
    <n v="109131"/>
    <x v="1"/>
    <n v="47"/>
    <x v="1"/>
    <n v="7"/>
    <n v="21.55"/>
    <n v="-4563"/>
    <n v="-4.0134044012876666"/>
    <s v="Intermediate"/>
    <s v="Medium Impact"/>
  </r>
  <r>
    <s v="E0440"/>
    <n v="53"/>
    <s v="Other"/>
    <s v="PhD"/>
    <x v="4"/>
    <s v="Store Manager"/>
    <n v="27"/>
    <x v="0"/>
    <s v="Medium"/>
    <s v="No"/>
    <n v="35845"/>
    <n v="37938"/>
    <x v="1"/>
    <n v="44"/>
    <x v="1"/>
    <n v="8"/>
    <n v="21.55"/>
    <n v="2093"/>
    <n v="5.8390291532989265"/>
    <s v="Expert"/>
    <s v="Medium Impact"/>
  </r>
  <r>
    <s v="E0710"/>
    <n v="49"/>
    <s v="Female"/>
    <s v="PhD"/>
    <x v="2"/>
    <s v="Content Creator"/>
    <n v="27"/>
    <x v="2"/>
    <s v="Medium"/>
    <s v="Yes"/>
    <n v="92559"/>
    <n v="86613"/>
    <x v="1"/>
    <n v="42"/>
    <x v="0"/>
    <n v="3"/>
    <n v="21.54"/>
    <n v="-5946"/>
    <n v="-6.424010631056948"/>
    <s v="Expert"/>
    <s v="Medium Impact"/>
  </r>
  <r>
    <s v="E0178"/>
    <n v="29"/>
    <s v="Female"/>
    <s v="High School"/>
    <x v="4"/>
    <s v="Cashier"/>
    <n v="3"/>
    <x v="0"/>
    <s v="Medium"/>
    <s v="Yes"/>
    <n v="41344"/>
    <n v="43362"/>
    <x v="1"/>
    <n v="40"/>
    <x v="0"/>
    <n v="3"/>
    <n v="21.54"/>
    <n v="2018"/>
    <n v="4.8809984520123839"/>
    <s v="Beginner"/>
    <s v="Medium Impact"/>
  </r>
  <r>
    <s v="E0663"/>
    <n v="42"/>
    <s v="Male"/>
    <s v="High School"/>
    <x v="0"/>
    <s v="Software Engineer"/>
    <n v="19"/>
    <x v="1"/>
    <s v="Low"/>
    <s v="Yes"/>
    <n v="69454"/>
    <n v="63608"/>
    <x v="0"/>
    <n v="42"/>
    <x v="0"/>
    <n v="7"/>
    <n v="21.52"/>
    <n v="-5846"/>
    <n v="-8.4170818095430082"/>
    <s v="Expert"/>
    <s v="Low Impact"/>
  </r>
  <r>
    <s v="E1606"/>
    <n v="41"/>
    <s v="Other"/>
    <s v="PhD"/>
    <x v="1"/>
    <s v="Quality Inspector"/>
    <n v="17"/>
    <x v="2"/>
    <s v="Medium"/>
    <s v="No"/>
    <n v="116879"/>
    <n v="128301"/>
    <x v="1"/>
    <n v="50"/>
    <x v="1"/>
    <n v="4"/>
    <n v="21.4"/>
    <n v="11422"/>
    <n v="9.7724997647139347"/>
    <s v="Expert"/>
    <s v="Medium Impact"/>
  </r>
  <r>
    <s v="E1019"/>
    <n v="40"/>
    <s v="Other"/>
    <s v="Bachelor"/>
    <x v="3"/>
    <s v="Auditor"/>
    <n v="14"/>
    <x v="2"/>
    <s v="Low"/>
    <s v="Yes"/>
    <n v="36862"/>
    <n v="29912"/>
    <x v="0"/>
    <n v="42"/>
    <x v="1"/>
    <n v="4"/>
    <n v="21.39"/>
    <n v="-6950"/>
    <n v="-18.854104497856873"/>
    <s v="Intermediate"/>
    <s v="Low Impact"/>
  </r>
  <r>
    <s v="E1564"/>
    <n v="53"/>
    <s v="Other"/>
    <s v="High School"/>
    <x v="3"/>
    <s v="Accountant"/>
    <n v="27"/>
    <x v="1"/>
    <s v="Low"/>
    <s v="No"/>
    <n v="31614"/>
    <n v="30831"/>
    <x v="0"/>
    <n v="49"/>
    <x v="0"/>
    <n v="4"/>
    <n v="21.38"/>
    <n v="-783"/>
    <n v="-2.4767508066046688"/>
    <s v="Expert"/>
    <s v="Low Impact"/>
  </r>
  <r>
    <s v="E1453"/>
    <n v="38"/>
    <s v="Female"/>
    <s v="PhD"/>
    <x v="4"/>
    <s v="Cashier"/>
    <n v="14"/>
    <x v="2"/>
    <s v="High"/>
    <s v="No"/>
    <n v="117616"/>
    <n v="127688"/>
    <x v="2"/>
    <n v="49"/>
    <x v="0"/>
    <n v="4"/>
    <n v="21.35"/>
    <n v="10072"/>
    <n v="8.5634607536389602"/>
    <s v="Intermediate"/>
    <s v="High Impact"/>
  </r>
  <r>
    <s v="E0417"/>
    <n v="53"/>
    <s v="Female"/>
    <s v="Bachelor"/>
    <x v="5"/>
    <s v="Administrator"/>
    <n v="30"/>
    <x v="0"/>
    <s v="High"/>
    <s v="No"/>
    <n v="96677"/>
    <n v="102075"/>
    <x v="0"/>
    <n v="41"/>
    <x v="0"/>
    <n v="4"/>
    <n v="21.3"/>
    <n v="5398"/>
    <n v="5.5835410697477172"/>
    <s v="Expert"/>
    <s v="Low Impact"/>
  </r>
  <r>
    <s v="E1237"/>
    <n v="51"/>
    <s v="Female"/>
    <s v="High School"/>
    <x v="4"/>
    <s v="Sales Associate"/>
    <n v="25"/>
    <x v="1"/>
    <s v="High"/>
    <s v="No"/>
    <n v="77734"/>
    <n v="72411"/>
    <x v="0"/>
    <n v="54"/>
    <x v="0"/>
    <n v="7"/>
    <n v="21.3"/>
    <n v="-5323"/>
    <n v="-6.8477114261455734"/>
    <s v="Expert"/>
    <s v="Low Impact"/>
  </r>
  <r>
    <s v="E1182"/>
    <n v="31"/>
    <s v="Female"/>
    <s v="PhD"/>
    <x v="3"/>
    <s v="Accountant"/>
    <n v="6"/>
    <x v="1"/>
    <s v="High"/>
    <s v="No"/>
    <n v="76144"/>
    <n v="70963"/>
    <x v="0"/>
    <n v="49"/>
    <x v="0"/>
    <n v="3"/>
    <n v="21.3"/>
    <n v="-5181"/>
    <n v="-6.8042130699726835"/>
    <s v="Intermediate"/>
    <s v="Low Impact"/>
  </r>
  <r>
    <s v="E1674"/>
    <n v="25"/>
    <s v="Other"/>
    <s v="Bachelor"/>
    <x v="4"/>
    <s v="Sales Associate"/>
    <n v="0"/>
    <x v="1"/>
    <s v="Low"/>
    <s v="Yes"/>
    <n v="60482"/>
    <n v="69738"/>
    <x v="0"/>
    <n v="36"/>
    <x v="1"/>
    <n v="5"/>
    <n v="21.3"/>
    <n v="9256"/>
    <n v="15.303726728613473"/>
    <s v="Beginner"/>
    <s v="Low Impact"/>
  </r>
  <r>
    <s v="E1980"/>
    <n v="43"/>
    <s v="Male"/>
    <s v="Bachelor"/>
    <x v="6"/>
    <s v="Nurse"/>
    <n v="18"/>
    <x v="1"/>
    <s v="Low"/>
    <s v="No"/>
    <n v="84486"/>
    <n v="95392"/>
    <x v="0"/>
    <n v="54"/>
    <x v="0"/>
    <n v="7"/>
    <n v="21.28"/>
    <n v="10906"/>
    <n v="12.908647586582392"/>
    <s v="Expert"/>
    <s v="Low Impact"/>
  </r>
  <r>
    <s v="E0468"/>
    <n v="31"/>
    <s v="Other"/>
    <s v="High School"/>
    <x v="0"/>
    <s v="Data Analyst"/>
    <n v="5"/>
    <x v="0"/>
    <s v="High"/>
    <s v="No"/>
    <n v="92507"/>
    <n v="89267"/>
    <x v="0"/>
    <n v="47"/>
    <x v="0"/>
    <n v="7"/>
    <n v="21.28"/>
    <n v="-3240"/>
    <n v="-3.5024376533667723"/>
    <s v="Intermediate"/>
    <s v="Low Impact"/>
  </r>
  <r>
    <s v="E0210"/>
    <n v="58"/>
    <s v="Male"/>
    <s v="Master"/>
    <x v="5"/>
    <s v="Professor"/>
    <n v="32"/>
    <x v="2"/>
    <s v="Medium"/>
    <s v="Yes"/>
    <n v="112197"/>
    <n v="152850"/>
    <x v="1"/>
    <n v="52"/>
    <x v="0"/>
    <n v="6"/>
    <n v="21.27"/>
    <n v="40653"/>
    <n v="36.233589133399292"/>
    <s v="Expert"/>
    <s v="Medium Impact"/>
  </r>
  <r>
    <s v="E1289"/>
    <n v="33"/>
    <s v="Male"/>
    <s v="High School"/>
    <x v="4"/>
    <s v="Store Manager"/>
    <n v="11"/>
    <x v="0"/>
    <s v="Low"/>
    <s v="Yes"/>
    <n v="32580"/>
    <n v="32440"/>
    <x v="0"/>
    <n v="45"/>
    <x v="0"/>
    <n v="6"/>
    <n v="21.27"/>
    <n v="-140"/>
    <n v="-0.42971147943523635"/>
    <s v="Intermediate"/>
    <s v="Low Impact"/>
  </r>
  <r>
    <s v="E1849"/>
    <n v="37"/>
    <s v="Other"/>
    <s v="PhD"/>
    <x v="3"/>
    <s v="Accountant"/>
    <n v="14"/>
    <x v="0"/>
    <s v="Medium"/>
    <s v="No"/>
    <n v="78155"/>
    <n v="77656"/>
    <x v="1"/>
    <n v="46"/>
    <x v="1"/>
    <n v="5"/>
    <n v="21.25"/>
    <n v="-499"/>
    <n v="-0.63847482566694391"/>
    <s v="Intermediate"/>
    <s v="Medium Impact"/>
  </r>
  <r>
    <s v="E1664"/>
    <n v="22"/>
    <s v="Other"/>
    <s v="Bachelor"/>
    <x v="1"/>
    <s v="Quality Inspector"/>
    <n v="0"/>
    <x v="0"/>
    <s v="High"/>
    <s v="Yes"/>
    <n v="85041"/>
    <n v="83422"/>
    <x v="0"/>
    <n v="44"/>
    <x v="0"/>
    <n v="4"/>
    <n v="21.24"/>
    <n v="-1619"/>
    <n v="-1.903787584812032"/>
    <s v="Beginner"/>
    <s v="Low Impact"/>
  </r>
  <r>
    <s v="E0625"/>
    <n v="37"/>
    <s v="Other"/>
    <s v="Master"/>
    <x v="2"/>
    <s v="SEO Specialist"/>
    <n v="15"/>
    <x v="2"/>
    <s v="Medium"/>
    <s v="Yes"/>
    <n v="95982"/>
    <n v="109011"/>
    <x v="1"/>
    <n v="41"/>
    <x v="1"/>
    <n v="3"/>
    <n v="21.22"/>
    <n v="13029"/>
    <n v="13.574420203788209"/>
    <s v="Expert"/>
    <s v="Medium Impact"/>
  </r>
  <r>
    <s v="E1001"/>
    <n v="35"/>
    <s v="Male"/>
    <s v="High School"/>
    <x v="1"/>
    <s v="Machine Operator"/>
    <n v="11"/>
    <x v="2"/>
    <s v="High"/>
    <s v="Yes"/>
    <n v="87184"/>
    <n v="121304"/>
    <x v="2"/>
    <n v="49"/>
    <x v="0"/>
    <n v="5"/>
    <n v="21.2"/>
    <n v="34120"/>
    <n v="39.135621214901818"/>
    <s v="Intermediate"/>
    <s v="High Impact"/>
  </r>
  <r>
    <s v="E0380"/>
    <n v="41"/>
    <s v="Other"/>
    <s v="High School"/>
    <x v="3"/>
    <s v="Auditor"/>
    <n v="15"/>
    <x v="1"/>
    <s v="Medium"/>
    <s v="No"/>
    <n v="117969"/>
    <n v="117677"/>
    <x v="1"/>
    <n v="49"/>
    <x v="1"/>
    <n v="9"/>
    <n v="21.18"/>
    <n v="-292"/>
    <n v="-0.24752265425662676"/>
    <s v="Expert"/>
    <s v="Medium Impact"/>
  </r>
  <r>
    <s v="E0607"/>
    <n v="54"/>
    <s v="Female"/>
    <s v="High School"/>
    <x v="2"/>
    <s v="Digital Marketer"/>
    <n v="30"/>
    <x v="1"/>
    <s v="High"/>
    <s v="No"/>
    <n v="116795"/>
    <n v="121053"/>
    <x v="0"/>
    <n v="40"/>
    <x v="1"/>
    <n v="5"/>
    <n v="21.14"/>
    <n v="4258"/>
    <n v="3.6457040113018535"/>
    <s v="Expert"/>
    <s v="Low Impact"/>
  </r>
  <r>
    <s v="E1945"/>
    <n v="47"/>
    <s v="Other"/>
    <s v="Master"/>
    <x v="5"/>
    <s v="Professor"/>
    <n v="23"/>
    <x v="1"/>
    <s v="Low"/>
    <s v="Yes"/>
    <n v="66509"/>
    <n v="78192"/>
    <x v="0"/>
    <n v="46"/>
    <x v="1"/>
    <n v="9"/>
    <n v="21.14"/>
    <n v="11683"/>
    <n v="17.566043693334738"/>
    <s v="Expert"/>
    <s v="Low Impact"/>
  </r>
  <r>
    <s v="E0165"/>
    <n v="47"/>
    <s v="Female"/>
    <s v="Master"/>
    <x v="3"/>
    <s v="Auditor"/>
    <n v="24"/>
    <x v="0"/>
    <s v="Medium"/>
    <s v="No"/>
    <n v="106908"/>
    <n v="112647"/>
    <x v="1"/>
    <n v="40"/>
    <x v="1"/>
    <n v="4"/>
    <n v="20.99"/>
    <n v="5739"/>
    <n v="5.3681670221124707"/>
    <s v="Expert"/>
    <s v="Medium Impact"/>
  </r>
  <r>
    <s v="E0129"/>
    <n v="25"/>
    <s v="Male"/>
    <s v="PhD"/>
    <x v="0"/>
    <s v="Data Analyst"/>
    <n v="3"/>
    <x v="2"/>
    <s v="Medium"/>
    <s v="No"/>
    <n v="44060"/>
    <n v="50800"/>
    <x v="1"/>
    <n v="42"/>
    <x v="0"/>
    <n v="9"/>
    <n v="20.98"/>
    <n v="6740"/>
    <n v="15.297321833862915"/>
    <s v="Beginner"/>
    <s v="Medium Impact"/>
  </r>
  <r>
    <s v="E0974"/>
    <n v="27"/>
    <s v="Female"/>
    <s v="High School"/>
    <x v="1"/>
    <s v="Supervisor"/>
    <n v="5"/>
    <x v="1"/>
    <s v="High"/>
    <s v="No"/>
    <n v="58036"/>
    <n v="58418"/>
    <x v="0"/>
    <n v="47"/>
    <x v="1"/>
    <n v="4"/>
    <n v="20.95"/>
    <n v="382"/>
    <n v="0.65821214418636709"/>
    <s v="Intermediate"/>
    <s v="Low Impact"/>
  </r>
  <r>
    <s v="E1415"/>
    <n v="59"/>
    <s v="Other"/>
    <s v="Master"/>
    <x v="0"/>
    <s v="Data Analyst"/>
    <n v="33"/>
    <x v="0"/>
    <s v="Low"/>
    <s v="No"/>
    <n v="100077"/>
    <n v="100681"/>
    <x v="0"/>
    <n v="39"/>
    <x v="1"/>
    <n v="5"/>
    <n v="20.89"/>
    <n v="604"/>
    <n v="0.6035352778360662"/>
    <s v="Expert"/>
    <s v="Low Impact"/>
  </r>
  <r>
    <s v="E1784"/>
    <n v="51"/>
    <s v="Other"/>
    <s v="Master"/>
    <x v="3"/>
    <s v="Accountant"/>
    <n v="27"/>
    <x v="2"/>
    <s v="Medium"/>
    <s v="Yes"/>
    <n v="104486"/>
    <n v="88855"/>
    <x v="1"/>
    <n v="41"/>
    <x v="1"/>
    <n v="3"/>
    <n v="20.89"/>
    <n v="-15631"/>
    <n v="-14.959898933828455"/>
    <s v="Expert"/>
    <s v="Medium Impact"/>
  </r>
  <r>
    <s v="E0124"/>
    <n v="34"/>
    <s v="Female"/>
    <s v="High School"/>
    <x v="2"/>
    <s v="Digital Marketer"/>
    <n v="11"/>
    <x v="0"/>
    <s v="Medium"/>
    <s v="Yes"/>
    <n v="64387"/>
    <n v="63626"/>
    <x v="1"/>
    <n v="51"/>
    <x v="1"/>
    <n v="3"/>
    <n v="20.89"/>
    <n v="-761"/>
    <n v="-1.1819156040815693"/>
    <s v="Intermediate"/>
    <s v="Medium Impact"/>
  </r>
  <r>
    <s v="E1326"/>
    <n v="33"/>
    <s v="Female"/>
    <s v="Bachelor"/>
    <x v="5"/>
    <s v="Teacher"/>
    <n v="11"/>
    <x v="2"/>
    <s v="High"/>
    <s v="No"/>
    <n v="72722"/>
    <n v="73330"/>
    <x v="1"/>
    <n v="46"/>
    <x v="1"/>
    <n v="3"/>
    <n v="20.86"/>
    <n v="608"/>
    <n v="0.83606061439454371"/>
    <s v="Intermediate"/>
    <s v="Medium Impact"/>
  </r>
  <r>
    <s v="E1775"/>
    <n v="42"/>
    <s v="Other"/>
    <s v="High School"/>
    <x v="1"/>
    <s v="Quality Inspector"/>
    <n v="17"/>
    <x v="1"/>
    <s v="Low"/>
    <s v="Yes"/>
    <n v="31942"/>
    <n v="36904"/>
    <x v="0"/>
    <n v="41"/>
    <x v="0"/>
    <n v="4"/>
    <n v="20.86"/>
    <n v="4962"/>
    <n v="15.534406111076326"/>
    <s v="Expert"/>
    <s v="Low Impact"/>
  </r>
  <r>
    <s v="E1378"/>
    <n v="22"/>
    <s v="Male"/>
    <s v="Bachelor"/>
    <x v="1"/>
    <s v="Machine Operator"/>
    <n v="0"/>
    <x v="1"/>
    <s v="High"/>
    <s v="Yes"/>
    <n v="116576"/>
    <n v="113479"/>
    <x v="0"/>
    <n v="47"/>
    <x v="1"/>
    <n v="5"/>
    <n v="20.83"/>
    <n v="-3097"/>
    <n v="-2.6566360142739502"/>
    <s v="Beginner"/>
    <s v="Low Impact"/>
  </r>
  <r>
    <s v="E0285"/>
    <n v="53"/>
    <s v="Other"/>
    <s v="High School"/>
    <x v="1"/>
    <s v="Quality Inspector"/>
    <n v="27"/>
    <x v="2"/>
    <s v="Low"/>
    <s v="No"/>
    <n v="86549"/>
    <n v="100023"/>
    <x v="0"/>
    <n v="46"/>
    <x v="1"/>
    <n v="7"/>
    <n v="20.81"/>
    <n v="13474"/>
    <n v="15.568059711839535"/>
    <s v="Expert"/>
    <s v="Low Impact"/>
  </r>
  <r>
    <s v="E0204"/>
    <n v="34"/>
    <s v="Male"/>
    <s v="PhD"/>
    <x v="0"/>
    <s v="Software Engineer"/>
    <n v="10"/>
    <x v="2"/>
    <s v="High"/>
    <s v="Yes"/>
    <n v="81756"/>
    <n v="99618"/>
    <x v="1"/>
    <n v="40"/>
    <x v="1"/>
    <n v="6"/>
    <n v="20.81"/>
    <n v="17862"/>
    <n v="21.847937766035518"/>
    <s v="Intermediate"/>
    <s v="Medium Impact"/>
  </r>
  <r>
    <s v="E1480"/>
    <n v="29"/>
    <s v="Male"/>
    <s v="Bachelor"/>
    <x v="2"/>
    <s v="Digital Marketer"/>
    <n v="7"/>
    <x v="2"/>
    <s v="Low"/>
    <s v="Yes"/>
    <n v="109834"/>
    <n v="139358"/>
    <x v="0"/>
    <n v="42"/>
    <x v="0"/>
    <n v="3"/>
    <n v="20.8"/>
    <n v="29524"/>
    <n v="26.880565216599596"/>
    <s v="Intermediate"/>
    <s v="Low Impact"/>
  </r>
  <r>
    <s v="E1772"/>
    <n v="39"/>
    <s v="Other"/>
    <s v="Bachelor"/>
    <x v="5"/>
    <s v="Professor"/>
    <n v="13"/>
    <x v="1"/>
    <s v="High"/>
    <s v="Yes"/>
    <n v="104095"/>
    <n v="109924"/>
    <x v="0"/>
    <n v="54"/>
    <x v="1"/>
    <n v="7"/>
    <n v="20.8"/>
    <n v="5829"/>
    <n v="5.599692588500889"/>
    <s v="Intermediate"/>
    <s v="Low Impact"/>
  </r>
  <r>
    <s v="E1562"/>
    <n v="38"/>
    <s v="Other"/>
    <s v="High School"/>
    <x v="5"/>
    <s v="Professor"/>
    <n v="14"/>
    <x v="0"/>
    <s v="High"/>
    <s v="Yes"/>
    <n v="95408"/>
    <n v="99829"/>
    <x v="0"/>
    <n v="38"/>
    <x v="1"/>
    <n v="9"/>
    <n v="20.79"/>
    <n v="4421"/>
    <n v="4.6337833305383196"/>
    <s v="Intermediate"/>
    <s v="Low Impact"/>
  </r>
  <r>
    <s v="E0190"/>
    <n v="36"/>
    <s v="Female"/>
    <s v="High School"/>
    <x v="3"/>
    <s v="Investment Analyst"/>
    <n v="14"/>
    <x v="0"/>
    <s v="High"/>
    <s v="Yes"/>
    <n v="34494"/>
    <n v="34757"/>
    <x v="0"/>
    <n v="46"/>
    <x v="0"/>
    <n v="5"/>
    <n v="20.78"/>
    <n v="263"/>
    <n v="0.76245144083028926"/>
    <s v="Intermediate"/>
    <s v="Low Impact"/>
  </r>
  <r>
    <s v="E1770"/>
    <n v="28"/>
    <s v="Male"/>
    <s v="Master"/>
    <x v="4"/>
    <s v="Sales Associate"/>
    <n v="5"/>
    <x v="0"/>
    <s v="Low"/>
    <s v="Yes"/>
    <n v="113749"/>
    <n v="120476"/>
    <x v="0"/>
    <n v="41"/>
    <x v="1"/>
    <n v="4"/>
    <n v="20.76"/>
    <n v="6727"/>
    <n v="5.9138981441595098"/>
    <s v="Intermediate"/>
    <s v="Low Impact"/>
  </r>
  <r>
    <s v="E1587"/>
    <n v="38"/>
    <s v="Female"/>
    <s v="High School"/>
    <x v="2"/>
    <s v="SEO Specialist"/>
    <n v="13"/>
    <x v="0"/>
    <s v="Low"/>
    <s v="No"/>
    <n v="58804"/>
    <n v="61946"/>
    <x v="0"/>
    <n v="44"/>
    <x v="0"/>
    <n v="8"/>
    <n v="20.75"/>
    <n v="3142"/>
    <n v="5.3431739337460034"/>
    <s v="Intermediate"/>
    <s v="Low Impact"/>
  </r>
  <r>
    <s v="E0752"/>
    <n v="33"/>
    <s v="Male"/>
    <s v="Bachelor"/>
    <x v="1"/>
    <s v="Supervisor"/>
    <n v="8"/>
    <x v="0"/>
    <s v="Low"/>
    <s v="No"/>
    <n v="30692"/>
    <n v="30056"/>
    <x v="0"/>
    <n v="47"/>
    <x v="1"/>
    <n v="8"/>
    <n v="20.71"/>
    <n v="-636"/>
    <n v="-2.072201225074938"/>
    <s v="Intermediate"/>
    <s v="Low Impact"/>
  </r>
  <r>
    <s v="E0678"/>
    <n v="51"/>
    <s v="Other"/>
    <s v="PhD"/>
    <x v="3"/>
    <s v="Auditor"/>
    <n v="28"/>
    <x v="0"/>
    <s v="High"/>
    <s v="Yes"/>
    <n v="57877"/>
    <n v="59595"/>
    <x v="0"/>
    <n v="41"/>
    <x v="0"/>
    <n v="6"/>
    <n v="20.65"/>
    <n v="1718"/>
    <n v="2.9683639442265495"/>
    <s v="Expert"/>
    <s v="Low Impact"/>
  </r>
  <r>
    <s v="E1432"/>
    <n v="25"/>
    <s v="Other"/>
    <s v="Bachelor"/>
    <x v="1"/>
    <s v="Machine Operator"/>
    <n v="2"/>
    <x v="1"/>
    <s v="High"/>
    <s v="No"/>
    <n v="47634"/>
    <n v="53019"/>
    <x v="0"/>
    <n v="36"/>
    <x v="1"/>
    <n v="7"/>
    <n v="20.64"/>
    <n v="5385"/>
    <n v="11.304950245622875"/>
    <s v="Beginner"/>
    <s v="Low Impact"/>
  </r>
  <r>
    <s v="E0708"/>
    <n v="32"/>
    <s v="Male"/>
    <s v="PhD"/>
    <x v="2"/>
    <s v="SEO Specialist"/>
    <n v="6"/>
    <x v="0"/>
    <s v="High"/>
    <s v="No"/>
    <n v="70130"/>
    <n v="70035"/>
    <x v="0"/>
    <n v="51"/>
    <x v="1"/>
    <n v="8"/>
    <n v="20.59"/>
    <n v="-95"/>
    <n v="-0.13546271210608871"/>
    <s v="Intermediate"/>
    <s v="Low Impact"/>
  </r>
  <r>
    <s v="E1142"/>
    <n v="38"/>
    <s v="Male"/>
    <s v="High School"/>
    <x v="2"/>
    <s v="SEO Specialist"/>
    <n v="12"/>
    <x v="0"/>
    <s v="Low"/>
    <s v="Yes"/>
    <n v="53704"/>
    <n v="54268"/>
    <x v="0"/>
    <n v="38"/>
    <x v="1"/>
    <n v="6"/>
    <n v="20.59"/>
    <n v="564"/>
    <n v="1.0502011023387456"/>
    <s v="Intermediate"/>
    <s v="Low Impact"/>
  </r>
  <r>
    <s v="E0212"/>
    <n v="47"/>
    <s v="Male"/>
    <s v="Master"/>
    <x v="2"/>
    <s v="Content Creator"/>
    <n v="23"/>
    <x v="1"/>
    <s v="Medium"/>
    <s v="No"/>
    <n v="97889"/>
    <n v="117177"/>
    <x v="1"/>
    <n v="46"/>
    <x v="1"/>
    <n v="6"/>
    <n v="20.56"/>
    <n v="19288"/>
    <n v="19.703950392791835"/>
    <s v="Expert"/>
    <s v="Medium Impact"/>
  </r>
  <r>
    <s v="E1282"/>
    <n v="32"/>
    <s v="Male"/>
    <s v="Bachelor"/>
    <x v="0"/>
    <s v="DevOps Engineer"/>
    <n v="6"/>
    <x v="0"/>
    <s v="Medium"/>
    <s v="No"/>
    <n v="108287"/>
    <n v="117506"/>
    <x v="1"/>
    <n v="46"/>
    <x v="0"/>
    <n v="5"/>
    <n v="20.45"/>
    <n v="9219"/>
    <n v="8.5134873068789414"/>
    <s v="Intermediate"/>
    <s v="Medium Impact"/>
  </r>
  <r>
    <s v="E1513"/>
    <n v="54"/>
    <s v="Other"/>
    <s v="High School"/>
    <x v="3"/>
    <s v="Auditor"/>
    <n v="29"/>
    <x v="2"/>
    <s v="Low"/>
    <s v="Yes"/>
    <n v="31626"/>
    <n v="41687"/>
    <x v="0"/>
    <n v="45"/>
    <x v="1"/>
    <n v="7"/>
    <n v="20.440000000000001"/>
    <n v="10061"/>
    <n v="31.812432808448744"/>
    <s v="Expert"/>
    <s v="Low Impact"/>
  </r>
  <r>
    <s v="E1985"/>
    <n v="27"/>
    <s v="Female"/>
    <s v="Bachelor"/>
    <x v="1"/>
    <s v="Quality Inspector"/>
    <n v="4"/>
    <x v="1"/>
    <s v="Medium"/>
    <s v="Yes"/>
    <n v="51159"/>
    <n v="47581"/>
    <x v="1"/>
    <n v="38"/>
    <x v="1"/>
    <n v="7"/>
    <n v="20.420000000000002"/>
    <n v="-3578"/>
    <n v="-6.9938818194257122"/>
    <s v="Beginner"/>
    <s v="Medium Impact"/>
  </r>
  <r>
    <s v="E0477"/>
    <n v="49"/>
    <s v="Female"/>
    <s v="Master"/>
    <x v="0"/>
    <s v="Data Analyst"/>
    <n v="23"/>
    <x v="0"/>
    <s v="Medium"/>
    <s v="No"/>
    <n v="63870"/>
    <n v="61248"/>
    <x v="1"/>
    <n v="38"/>
    <x v="1"/>
    <n v="4"/>
    <n v="20.3"/>
    <n v="-2622"/>
    <n v="-4.1052137153593238"/>
    <s v="Expert"/>
    <s v="Medium Impact"/>
  </r>
  <r>
    <s v="E0277"/>
    <n v="48"/>
    <s v="Male"/>
    <s v="PhD"/>
    <x v="6"/>
    <s v="Doctor"/>
    <n v="22"/>
    <x v="1"/>
    <s v="Low"/>
    <s v="Yes"/>
    <n v="85826"/>
    <n v="99159"/>
    <x v="0"/>
    <n v="52"/>
    <x v="1"/>
    <n v="5"/>
    <n v="20.29"/>
    <n v="13333"/>
    <n v="15.53491948826696"/>
    <s v="Expert"/>
    <s v="Low Impact"/>
  </r>
  <r>
    <s v="E1323"/>
    <n v="52"/>
    <s v="Male"/>
    <s v="Master"/>
    <x v="1"/>
    <s v="Machine Operator"/>
    <n v="30"/>
    <x v="1"/>
    <s v="High"/>
    <s v="Yes"/>
    <n v="85918"/>
    <n v="85578"/>
    <x v="0"/>
    <n v="50"/>
    <x v="1"/>
    <n v="9"/>
    <n v="20.22"/>
    <n v="-340"/>
    <n v="-0.39572615749901069"/>
    <s v="Expert"/>
    <s v="Low Impact"/>
  </r>
  <r>
    <s v="E0284"/>
    <n v="25"/>
    <s v="Female"/>
    <s v="Bachelor"/>
    <x v="4"/>
    <s v="Cashier"/>
    <n v="0"/>
    <x v="0"/>
    <s v="Low"/>
    <s v="Yes"/>
    <n v="102240"/>
    <n v="109885"/>
    <x v="0"/>
    <n v="46"/>
    <x v="0"/>
    <n v="5"/>
    <n v="20.18"/>
    <n v="7645"/>
    <n v="7.4775039123630673"/>
    <s v="Beginner"/>
    <s v="Low Impact"/>
  </r>
  <r>
    <s v="E1023"/>
    <n v="47"/>
    <s v="Female"/>
    <s v="Bachelor"/>
    <x v="4"/>
    <s v="Store Manager"/>
    <n v="21"/>
    <x v="2"/>
    <s v="High"/>
    <s v="Yes"/>
    <n v="65790"/>
    <n v="86856"/>
    <x v="1"/>
    <n v="35"/>
    <x v="0"/>
    <n v="5"/>
    <n v="20.16"/>
    <n v="21066"/>
    <n v="32.020063839489282"/>
    <s v="Expert"/>
    <s v="Medium Impact"/>
  </r>
  <r>
    <s v="E0158"/>
    <n v="53"/>
    <s v="Male"/>
    <s v="High School"/>
    <x v="0"/>
    <s v="DevOps Engineer"/>
    <n v="29"/>
    <x v="1"/>
    <s v="High"/>
    <s v="No"/>
    <n v="42175"/>
    <n v="42982"/>
    <x v="0"/>
    <n v="48"/>
    <x v="0"/>
    <n v="9"/>
    <n v="20.09"/>
    <n v="807"/>
    <n v="1.9134558387670419"/>
    <s v="Expert"/>
    <s v="Low Impact"/>
  </r>
  <r>
    <s v="E1872"/>
    <n v="33"/>
    <s v="Female"/>
    <s v="Master"/>
    <x v="2"/>
    <s v="SEO Specialist"/>
    <n v="9"/>
    <x v="1"/>
    <s v="High"/>
    <s v="Yes"/>
    <n v="53901"/>
    <n v="52876"/>
    <x v="0"/>
    <n v="50"/>
    <x v="0"/>
    <n v="6"/>
    <n v="20.079999999999998"/>
    <n v="-1025"/>
    <n v="-1.9016344780245265"/>
    <s v="Intermediate"/>
    <s v="Low Impact"/>
  </r>
  <r>
    <s v="E1044"/>
    <n v="42"/>
    <s v="Male"/>
    <s v="High School"/>
    <x v="2"/>
    <s v="Content Creator"/>
    <n v="16"/>
    <x v="1"/>
    <s v="Medium"/>
    <s v="Yes"/>
    <n v="53806"/>
    <n v="61631"/>
    <x v="1"/>
    <n v="36"/>
    <x v="0"/>
    <n v="3"/>
    <n v="20.04"/>
    <n v="7825"/>
    <n v="14.542987770880572"/>
    <s v="Expert"/>
    <s v="Medium Impact"/>
  </r>
  <r>
    <s v="E1067"/>
    <n v="57"/>
    <s v="Male"/>
    <s v="Master"/>
    <x v="6"/>
    <s v="Doctor"/>
    <n v="33"/>
    <x v="1"/>
    <s v="Low"/>
    <s v="Yes"/>
    <n v="112315"/>
    <n v="120900"/>
    <x v="0"/>
    <n v="39"/>
    <x v="0"/>
    <n v="9"/>
    <n v="20.02"/>
    <n v="8585"/>
    <n v="7.6436807194052436"/>
    <s v="Expert"/>
    <s v="Low Impact"/>
  </r>
  <r>
    <s v="E0491"/>
    <n v="53"/>
    <s v="Female"/>
    <s v="Bachelor"/>
    <x v="4"/>
    <s v="Store Manager"/>
    <n v="28"/>
    <x v="2"/>
    <s v="Low"/>
    <s v="Yes"/>
    <n v="93069"/>
    <n v="110228"/>
    <x v="0"/>
    <n v="54"/>
    <x v="1"/>
    <n v="4"/>
    <n v="20"/>
    <n v="17159"/>
    <n v="18.436858674746691"/>
    <s v="Expert"/>
    <s v="Low Impact"/>
  </r>
  <r>
    <s v="E0878"/>
    <n v="31"/>
    <s v="Male"/>
    <s v="Master"/>
    <x v="3"/>
    <s v="Accountant"/>
    <n v="8"/>
    <x v="2"/>
    <s v="Medium"/>
    <s v="Yes"/>
    <n v="63541"/>
    <n v="58153"/>
    <x v="1"/>
    <n v="46"/>
    <x v="0"/>
    <n v="3"/>
    <n v="20"/>
    <n v="-5388"/>
    <n v="-8.479564375757386"/>
    <s v="Intermediate"/>
    <s v="Medium Impact"/>
  </r>
  <r>
    <s v="E1535"/>
    <n v="33"/>
    <s v="Other"/>
    <s v="Bachelor"/>
    <x v="2"/>
    <s v="SEO Specialist"/>
    <n v="9"/>
    <x v="2"/>
    <s v="Low"/>
    <s v="Yes"/>
    <n v="32365"/>
    <n v="41038"/>
    <x v="0"/>
    <n v="47"/>
    <x v="0"/>
    <n v="7"/>
    <n v="20"/>
    <n v="8673"/>
    <n v="26.797466398887686"/>
    <s v="Intermediate"/>
    <s v="Low Impact"/>
  </r>
  <r>
    <s v="E0288"/>
    <n v="51"/>
    <s v="Other"/>
    <s v="PhD"/>
    <x v="5"/>
    <s v="Teacher"/>
    <n v="29"/>
    <x v="2"/>
    <s v="Low"/>
    <s v="No"/>
    <n v="98619"/>
    <n v="99461"/>
    <x v="0"/>
    <n v="54"/>
    <x v="0"/>
    <n v="5"/>
    <n v="19.89"/>
    <n v="842"/>
    <n v="0.85379085166144464"/>
    <s v="Expert"/>
    <s v="Low Impact"/>
  </r>
  <r>
    <s v="E1964"/>
    <n v="34"/>
    <s v="Male"/>
    <s v="Bachelor"/>
    <x v="4"/>
    <s v="Cashier"/>
    <n v="12"/>
    <x v="2"/>
    <s v="Low"/>
    <s v="Yes"/>
    <n v="111032"/>
    <n v="97608"/>
    <x v="0"/>
    <n v="35"/>
    <x v="0"/>
    <n v="4"/>
    <n v="19.86"/>
    <n v="-13424"/>
    <n v="-12.09020822825852"/>
    <s v="Intermediate"/>
    <s v="Low Impact"/>
  </r>
  <r>
    <s v="E1426"/>
    <n v="56"/>
    <s v="Female"/>
    <s v="Master"/>
    <x v="1"/>
    <s v="Quality Inspector"/>
    <n v="34"/>
    <x v="2"/>
    <s v="Medium"/>
    <s v="Yes"/>
    <n v="113108"/>
    <n v="116088"/>
    <x v="1"/>
    <n v="48"/>
    <x v="0"/>
    <n v="3"/>
    <n v="19.84"/>
    <n v="2980"/>
    <n v="2.6346500689606396"/>
    <s v="Expert"/>
    <s v="Medium Impact"/>
  </r>
  <r>
    <s v="E0908"/>
    <n v="26"/>
    <s v="Other"/>
    <s v="PhD"/>
    <x v="3"/>
    <s v="Accountant"/>
    <n v="3"/>
    <x v="1"/>
    <s v="Medium"/>
    <s v="Yes"/>
    <n v="49177"/>
    <n v="49708"/>
    <x v="1"/>
    <n v="51"/>
    <x v="1"/>
    <n v="5"/>
    <n v="19.82"/>
    <n v="531"/>
    <n v="1.0797730646440409"/>
    <s v="Beginner"/>
    <s v="Medium Impact"/>
  </r>
  <r>
    <s v="E1940"/>
    <n v="53"/>
    <s v="Male"/>
    <s v="Master"/>
    <x v="3"/>
    <s v="Accountant"/>
    <n v="27"/>
    <x v="2"/>
    <s v="Medium"/>
    <s v="Yes"/>
    <n v="103678"/>
    <n v="94116"/>
    <x v="1"/>
    <n v="51"/>
    <x v="0"/>
    <n v="6"/>
    <n v="19.760000000000002"/>
    <n v="-9562"/>
    <n v="-9.2227859333706288"/>
    <s v="Expert"/>
    <s v="Medium Impact"/>
  </r>
  <r>
    <s v="E1349"/>
    <n v="46"/>
    <s v="Male"/>
    <s v="Master"/>
    <x v="1"/>
    <s v="Quality Inspector"/>
    <n v="21"/>
    <x v="2"/>
    <s v="High"/>
    <s v="Yes"/>
    <n v="31212"/>
    <n v="30637"/>
    <x v="1"/>
    <n v="46"/>
    <x v="1"/>
    <n v="3"/>
    <n v="19.739999999999998"/>
    <n v="-575"/>
    <n v="-1.8422401640394721"/>
    <s v="Expert"/>
    <s v="Medium Impact"/>
  </r>
  <r>
    <s v="E0202"/>
    <n v="50"/>
    <s v="Male"/>
    <s v="Bachelor"/>
    <x v="6"/>
    <s v="Doctor"/>
    <n v="26"/>
    <x v="2"/>
    <s v="Low"/>
    <s v="No"/>
    <n v="49129"/>
    <n v="56144"/>
    <x v="0"/>
    <n v="42"/>
    <x v="0"/>
    <n v="5"/>
    <n v="19.73"/>
    <n v="7015"/>
    <n v="14.278735573693746"/>
    <s v="Expert"/>
    <s v="Low Impact"/>
  </r>
  <r>
    <s v="E0671"/>
    <n v="36"/>
    <s v="Male"/>
    <s v="High School"/>
    <x v="3"/>
    <s v="Accountant"/>
    <n v="12"/>
    <x v="0"/>
    <s v="High"/>
    <s v="No"/>
    <n v="83822"/>
    <n v="91430"/>
    <x v="0"/>
    <n v="51"/>
    <x v="0"/>
    <n v="5"/>
    <n v="19.71"/>
    <n v="7608"/>
    <n v="9.0763761303715018"/>
    <s v="Intermediate"/>
    <s v="Low Impact"/>
  </r>
  <r>
    <s v="E1364"/>
    <n v="52"/>
    <s v="Other"/>
    <s v="PhD"/>
    <x v="2"/>
    <s v="Digital Marketer"/>
    <n v="27"/>
    <x v="2"/>
    <s v="Low"/>
    <s v="Yes"/>
    <n v="47573"/>
    <n v="53135"/>
    <x v="0"/>
    <n v="37"/>
    <x v="0"/>
    <n v="7"/>
    <n v="19.71"/>
    <n v="5562"/>
    <n v="11.69150568599836"/>
    <s v="Expert"/>
    <s v="Low Impact"/>
  </r>
  <r>
    <s v="E1479"/>
    <n v="36"/>
    <s v="Male"/>
    <s v="Bachelor"/>
    <x v="2"/>
    <s v="Content Creator"/>
    <n v="10"/>
    <x v="1"/>
    <s v="Low"/>
    <s v="Yes"/>
    <n v="79725"/>
    <n v="90739"/>
    <x v="0"/>
    <n v="41"/>
    <x v="1"/>
    <n v="4"/>
    <n v="19.68"/>
    <n v="11014"/>
    <n v="13.814989024772656"/>
    <s v="Intermediate"/>
    <s v="Low Impact"/>
  </r>
  <r>
    <s v="E1577"/>
    <n v="48"/>
    <s v="Male"/>
    <s v="Bachelor"/>
    <x v="2"/>
    <s v="Digital Marketer"/>
    <n v="22"/>
    <x v="1"/>
    <s v="Medium"/>
    <s v="No"/>
    <n v="102356"/>
    <n v="95402"/>
    <x v="1"/>
    <n v="41"/>
    <x v="1"/>
    <n v="4"/>
    <n v="19.61"/>
    <n v="-6954"/>
    <n v="-6.7939348938997224"/>
    <s v="Expert"/>
    <s v="Medium Impact"/>
  </r>
  <r>
    <s v="E1390"/>
    <n v="34"/>
    <s v="Female"/>
    <s v="Bachelor"/>
    <x v="1"/>
    <s v="Supervisor"/>
    <n v="8"/>
    <x v="0"/>
    <s v="Low"/>
    <s v="No"/>
    <n v="93138"/>
    <n v="92639"/>
    <x v="0"/>
    <n v="43"/>
    <x v="0"/>
    <n v="8"/>
    <n v="19.59"/>
    <n v="-499"/>
    <n v="-0.53576413493955211"/>
    <s v="Intermediate"/>
    <s v="Low Impact"/>
  </r>
  <r>
    <s v="E1860"/>
    <n v="55"/>
    <s v="Other"/>
    <s v="High School"/>
    <x v="1"/>
    <s v="Machine Operator"/>
    <n v="31"/>
    <x v="2"/>
    <s v="Medium"/>
    <s v="Yes"/>
    <n v="96480"/>
    <n v="82620"/>
    <x v="1"/>
    <n v="41"/>
    <x v="0"/>
    <n v="5"/>
    <n v="19.559999999999999"/>
    <n v="-13860"/>
    <n v="-14.365671641791044"/>
    <s v="Expert"/>
    <s v="Medium Impact"/>
  </r>
  <r>
    <s v="E1833"/>
    <n v="41"/>
    <s v="Female"/>
    <s v="High School"/>
    <x v="1"/>
    <s v="Quality Inspector"/>
    <n v="19"/>
    <x v="0"/>
    <s v="Low"/>
    <s v="No"/>
    <n v="65200"/>
    <n v="65076"/>
    <x v="0"/>
    <n v="43"/>
    <x v="0"/>
    <n v="8"/>
    <n v="19.53"/>
    <n v="-124"/>
    <n v="-0.19018404907975459"/>
    <s v="Expert"/>
    <s v="Low Impact"/>
  </r>
  <r>
    <s v="E0203"/>
    <n v="34"/>
    <s v="Female"/>
    <s v="Master"/>
    <x v="2"/>
    <s v="SEO Specialist"/>
    <n v="8"/>
    <x v="0"/>
    <s v="Medium"/>
    <s v="No"/>
    <n v="116231"/>
    <n v="124322"/>
    <x v="1"/>
    <n v="35"/>
    <x v="1"/>
    <n v="5"/>
    <n v="19.510000000000002"/>
    <n v="8091"/>
    <n v="6.9611377343393759"/>
    <s v="Intermediate"/>
    <s v="Medium Impact"/>
  </r>
  <r>
    <s v="E1806"/>
    <n v="33"/>
    <s v="Female"/>
    <s v="PhD"/>
    <x v="4"/>
    <s v="Sales Associate"/>
    <n v="10"/>
    <x v="1"/>
    <s v="High"/>
    <s v="Yes"/>
    <n v="62400"/>
    <n v="72167"/>
    <x v="0"/>
    <n v="43"/>
    <x v="0"/>
    <n v="5"/>
    <n v="19.489999999999998"/>
    <n v="9767"/>
    <n v="15.652243589743589"/>
    <s v="Intermediate"/>
    <s v="Low Impact"/>
  </r>
  <r>
    <s v="E1486"/>
    <n v="44"/>
    <s v="Male"/>
    <s v="Master"/>
    <x v="5"/>
    <s v="Teacher"/>
    <n v="18"/>
    <x v="2"/>
    <s v="Low"/>
    <s v="Yes"/>
    <n v="95587"/>
    <n v="127938"/>
    <x v="0"/>
    <n v="54"/>
    <x v="1"/>
    <n v="5"/>
    <n v="19.37"/>
    <n v="32351"/>
    <n v="33.844560452781238"/>
    <s v="Expert"/>
    <s v="Low Impact"/>
  </r>
  <r>
    <s v="E1895"/>
    <n v="40"/>
    <s v="Other"/>
    <s v="Master"/>
    <x v="2"/>
    <s v="Digital Marketer"/>
    <n v="18"/>
    <x v="0"/>
    <s v="Medium"/>
    <s v="Yes"/>
    <n v="102489"/>
    <n v="109507"/>
    <x v="1"/>
    <n v="40"/>
    <x v="1"/>
    <n v="6"/>
    <n v="19.37"/>
    <n v="7018"/>
    <n v="6.8475641288333389"/>
    <s v="Expert"/>
    <s v="Medium Impact"/>
  </r>
  <r>
    <s v="E1241"/>
    <n v="30"/>
    <s v="Male"/>
    <s v="PhD"/>
    <x v="6"/>
    <s v="Doctor"/>
    <n v="8"/>
    <x v="2"/>
    <s v="High"/>
    <s v="Yes"/>
    <n v="37436"/>
    <n v="47339"/>
    <x v="2"/>
    <n v="54"/>
    <x v="0"/>
    <n v="4"/>
    <n v="19.37"/>
    <n v="9903"/>
    <n v="26.45314670370766"/>
    <s v="Intermediate"/>
    <s v="High Impact"/>
  </r>
  <r>
    <s v="E0998"/>
    <n v="57"/>
    <s v="Male"/>
    <s v="Master"/>
    <x v="1"/>
    <s v="Supervisor"/>
    <n v="32"/>
    <x v="1"/>
    <s v="Low"/>
    <s v="Yes"/>
    <n v="103169"/>
    <n v="103810"/>
    <x v="0"/>
    <n v="36"/>
    <x v="0"/>
    <n v="7"/>
    <n v="19.350000000000001"/>
    <n v="641"/>
    <n v="0.62131066502534682"/>
    <s v="Expert"/>
    <s v="Low Impact"/>
  </r>
  <r>
    <s v="E0975"/>
    <n v="59"/>
    <s v="Other"/>
    <s v="Master"/>
    <x v="2"/>
    <s v="SEO Specialist"/>
    <n v="34"/>
    <x v="2"/>
    <s v="Medium"/>
    <s v="Yes"/>
    <n v="45620"/>
    <n v="39924"/>
    <x v="1"/>
    <n v="35"/>
    <x v="1"/>
    <n v="7"/>
    <n v="19.329999999999998"/>
    <n v="-5696"/>
    <n v="-12.485751863217887"/>
    <s v="Expert"/>
    <s v="Medium Impact"/>
  </r>
  <r>
    <s v="E1413"/>
    <n v="46"/>
    <s v="Female"/>
    <s v="Bachelor"/>
    <x v="3"/>
    <s v="Auditor"/>
    <n v="23"/>
    <x v="1"/>
    <s v="Low"/>
    <s v="Yes"/>
    <n v="116612"/>
    <n v="109076"/>
    <x v="0"/>
    <n v="47"/>
    <x v="1"/>
    <n v="5"/>
    <n v="19.3"/>
    <n v="-7536"/>
    <n v="-6.4624566939937562"/>
    <s v="Expert"/>
    <s v="Low Impact"/>
  </r>
  <r>
    <s v="E1273"/>
    <n v="41"/>
    <s v="Other"/>
    <s v="High School"/>
    <x v="6"/>
    <s v="Doctor"/>
    <n v="15"/>
    <x v="2"/>
    <s v="High"/>
    <s v="No"/>
    <n v="33775"/>
    <n v="27816"/>
    <x v="1"/>
    <n v="35"/>
    <x v="0"/>
    <n v="3"/>
    <n v="19.29"/>
    <n v="-5959"/>
    <n v="-17.643227239082162"/>
    <s v="Expert"/>
    <s v="Medium Impact"/>
  </r>
  <r>
    <s v="E0669"/>
    <n v="26"/>
    <s v="Female"/>
    <s v="Bachelor"/>
    <x v="1"/>
    <s v="Supervisor"/>
    <n v="3"/>
    <x v="1"/>
    <s v="Medium"/>
    <s v="No"/>
    <n v="41795"/>
    <n v="40747"/>
    <x v="1"/>
    <n v="52"/>
    <x v="0"/>
    <n v="4"/>
    <n v="19.25"/>
    <n v="-1048"/>
    <n v="-2.5074769709295368"/>
    <s v="Beginner"/>
    <s v="Medium Impact"/>
  </r>
  <r>
    <s v="E1371"/>
    <n v="38"/>
    <s v="Other"/>
    <s v="PhD"/>
    <x v="6"/>
    <s v="Doctor"/>
    <n v="15"/>
    <x v="2"/>
    <s v="High"/>
    <s v="No"/>
    <n v="108798"/>
    <n v="122523"/>
    <x v="2"/>
    <n v="54"/>
    <x v="0"/>
    <n v="8"/>
    <n v="19.23"/>
    <n v="13725"/>
    <n v="12.615121601500029"/>
    <s v="Expert"/>
    <s v="High Impact"/>
  </r>
  <r>
    <s v="E0958"/>
    <n v="32"/>
    <s v="Female"/>
    <s v="Master"/>
    <x v="5"/>
    <s v="Administrator"/>
    <n v="6"/>
    <x v="1"/>
    <s v="High"/>
    <s v="Yes"/>
    <n v="33880"/>
    <n v="31758"/>
    <x v="0"/>
    <n v="36"/>
    <x v="0"/>
    <n v="4"/>
    <n v="19.149999999999999"/>
    <n v="-2122"/>
    <n v="-6.2632821723730814"/>
    <s v="Intermediate"/>
    <s v="Low Impact"/>
  </r>
  <r>
    <s v="E1477"/>
    <n v="43"/>
    <s v="Female"/>
    <s v="Bachelor"/>
    <x v="5"/>
    <s v="Administrator"/>
    <n v="17"/>
    <x v="1"/>
    <s v="High"/>
    <s v="Yes"/>
    <n v="105088"/>
    <n v="100428"/>
    <x v="0"/>
    <n v="41"/>
    <x v="0"/>
    <n v="4"/>
    <n v="19.100000000000001"/>
    <n v="-4660"/>
    <n v="-4.434378806333739"/>
    <s v="Expert"/>
    <s v="Low Impact"/>
  </r>
  <r>
    <s v="E0219"/>
    <n v="55"/>
    <s v="Other"/>
    <s v="Master"/>
    <x v="6"/>
    <s v="Technician"/>
    <n v="29"/>
    <x v="2"/>
    <s v="High"/>
    <s v="Yes"/>
    <n v="78290"/>
    <n v="64094"/>
    <x v="1"/>
    <n v="46"/>
    <x v="1"/>
    <n v="4"/>
    <n v="19.100000000000001"/>
    <n v="-14196"/>
    <n v="-18.132583982628688"/>
    <s v="Expert"/>
    <s v="Medium Impact"/>
  </r>
  <r>
    <s v="E0002"/>
    <n v="45"/>
    <s v="Male"/>
    <s v="High School"/>
    <x v="1"/>
    <s v="Quality Inspector"/>
    <n v="19"/>
    <x v="0"/>
    <s v="Low"/>
    <s v="Yes"/>
    <n v="74131"/>
    <n v="72013"/>
    <x v="0"/>
    <n v="36"/>
    <x v="1"/>
    <n v="6"/>
    <n v="19.05"/>
    <n v="-2118"/>
    <n v="-2.8571043153336659"/>
    <s v="Expert"/>
    <s v="Low Impact"/>
  </r>
  <r>
    <s v="E1452"/>
    <n v="37"/>
    <s v="Other"/>
    <s v="Bachelor"/>
    <x v="1"/>
    <s v="Machine Operator"/>
    <n v="11"/>
    <x v="1"/>
    <s v="Low"/>
    <s v="No"/>
    <n v="32260"/>
    <n v="35846"/>
    <x v="0"/>
    <n v="43"/>
    <x v="0"/>
    <n v="6"/>
    <n v="19.05"/>
    <n v="3586"/>
    <n v="11.115933044017359"/>
    <s v="Intermediate"/>
    <s v="Low Impact"/>
  </r>
  <r>
    <s v="E1421"/>
    <n v="56"/>
    <s v="Male"/>
    <s v="Bachelor"/>
    <x v="4"/>
    <s v="Cashier"/>
    <n v="30"/>
    <x v="1"/>
    <s v="Low"/>
    <s v="Yes"/>
    <n v="30442"/>
    <n v="33054"/>
    <x v="0"/>
    <n v="42"/>
    <x v="0"/>
    <n v="5"/>
    <n v="19.05"/>
    <n v="2612"/>
    <n v="8.5802509690559088"/>
    <s v="Expert"/>
    <s v="Low Impact"/>
  </r>
  <r>
    <s v="E0552"/>
    <n v="59"/>
    <s v="Male"/>
    <s v="Master"/>
    <x v="3"/>
    <s v="Investment Analyst"/>
    <n v="36"/>
    <x v="2"/>
    <s v="Low"/>
    <s v="Yes"/>
    <n v="79831"/>
    <n v="85062"/>
    <x v="0"/>
    <n v="39"/>
    <x v="0"/>
    <n v="9"/>
    <n v="18.96"/>
    <n v="5231"/>
    <n v="6.5525923513422111"/>
    <s v="Expert"/>
    <s v="Low Impact"/>
  </r>
  <r>
    <s v="E0263"/>
    <n v="32"/>
    <s v="Male"/>
    <s v="Bachelor"/>
    <x v="4"/>
    <s v="Store Manager"/>
    <n v="10"/>
    <x v="2"/>
    <s v="Low"/>
    <s v="Yes"/>
    <n v="31367"/>
    <n v="30680"/>
    <x v="0"/>
    <n v="49"/>
    <x v="1"/>
    <n v="3"/>
    <n v="18.940000000000001"/>
    <n v="-687"/>
    <n v="-2.1901998916058276"/>
    <s v="Intermediate"/>
    <s v="Low Impact"/>
  </r>
  <r>
    <s v="E1560"/>
    <n v="29"/>
    <s v="Male"/>
    <s v="Bachelor"/>
    <x v="4"/>
    <s v="Sales Associate"/>
    <n v="4"/>
    <x v="0"/>
    <s v="Medium"/>
    <s v="No"/>
    <n v="105948"/>
    <n v="112647"/>
    <x v="1"/>
    <n v="50"/>
    <x v="1"/>
    <n v="4"/>
    <n v="18.920000000000002"/>
    <n v="6699"/>
    <n v="6.3229131271944725"/>
    <s v="Beginner"/>
    <s v="Medium Impact"/>
  </r>
  <r>
    <s v="E0820"/>
    <n v="43"/>
    <s v="Male"/>
    <s v="High School"/>
    <x v="6"/>
    <s v="Nurse"/>
    <n v="19"/>
    <x v="2"/>
    <s v="Low"/>
    <s v="Yes"/>
    <n v="58132"/>
    <n v="75115"/>
    <x v="0"/>
    <n v="51"/>
    <x v="1"/>
    <n v="5"/>
    <n v="18.920000000000002"/>
    <n v="16983"/>
    <n v="29.214546205188192"/>
    <s v="Expert"/>
    <s v="Low Impact"/>
  </r>
  <r>
    <s v="E0604"/>
    <n v="26"/>
    <s v="Female"/>
    <s v="Master"/>
    <x v="3"/>
    <s v="Auditor"/>
    <n v="4"/>
    <x v="0"/>
    <s v="Medium"/>
    <s v="No"/>
    <n v="30570"/>
    <n v="32238"/>
    <x v="1"/>
    <n v="44"/>
    <x v="0"/>
    <n v="8"/>
    <n v="18.920000000000002"/>
    <n v="1668"/>
    <n v="5.4563297350343474"/>
    <s v="Beginner"/>
    <s v="Medium Impact"/>
  </r>
  <r>
    <s v="E1232"/>
    <n v="38"/>
    <s v="Male"/>
    <s v="PhD"/>
    <x v="1"/>
    <s v="Machine Operator"/>
    <n v="13"/>
    <x v="1"/>
    <s v="Low"/>
    <s v="Yes"/>
    <n v="79932"/>
    <n v="83549"/>
    <x v="0"/>
    <n v="47"/>
    <x v="0"/>
    <n v="5"/>
    <n v="18.89"/>
    <n v="3617"/>
    <n v="4.5250963318820991"/>
    <s v="Intermediate"/>
    <s v="Low Impact"/>
  </r>
  <r>
    <s v="E0699"/>
    <n v="57"/>
    <s v="Other"/>
    <s v="Master"/>
    <x v="4"/>
    <s v="Store Manager"/>
    <n v="35"/>
    <x v="1"/>
    <s v="Low"/>
    <s v="No"/>
    <n v="87062"/>
    <n v="81258"/>
    <x v="0"/>
    <n v="54"/>
    <x v="0"/>
    <n v="9"/>
    <n v="18.89"/>
    <n v="-5804"/>
    <n v="-6.6665135191013301"/>
    <s v="Expert"/>
    <s v="Low Impact"/>
  </r>
  <r>
    <s v="E0809"/>
    <n v="22"/>
    <s v="Male"/>
    <s v="High School"/>
    <x v="4"/>
    <s v="Cashier"/>
    <n v="0"/>
    <x v="1"/>
    <s v="Low"/>
    <s v="No"/>
    <n v="46574"/>
    <n v="43061"/>
    <x v="0"/>
    <n v="37"/>
    <x v="0"/>
    <n v="5"/>
    <n v="18.809999999999999"/>
    <n v="-3513"/>
    <n v="-7.542835058186971"/>
    <s v="Beginner"/>
    <s v="Low Impact"/>
  </r>
  <r>
    <s v="E1928"/>
    <n v="24"/>
    <s v="Other"/>
    <s v="High School"/>
    <x v="1"/>
    <s v="Supervisor"/>
    <n v="1"/>
    <x v="0"/>
    <s v="High"/>
    <s v="No"/>
    <n v="104258"/>
    <n v="106088"/>
    <x v="0"/>
    <n v="47"/>
    <x v="0"/>
    <n v="9"/>
    <n v="18.8"/>
    <n v="1830"/>
    <n v="1.7552609871664526"/>
    <s v="Beginner"/>
    <s v="Low Impact"/>
  </r>
  <r>
    <s v="E1868"/>
    <n v="31"/>
    <s v="Male"/>
    <s v="Bachelor"/>
    <x v="2"/>
    <s v="Digital Marketer"/>
    <n v="6"/>
    <x v="2"/>
    <s v="Low"/>
    <s v="Yes"/>
    <n v="116479"/>
    <n v="103951"/>
    <x v="0"/>
    <n v="48"/>
    <x v="1"/>
    <n v="5"/>
    <n v="18.79"/>
    <n v="-12528"/>
    <n v="-10.75558684398046"/>
    <s v="Intermediate"/>
    <s v="Low Impact"/>
  </r>
  <r>
    <s v="E0164"/>
    <n v="30"/>
    <s v="Male"/>
    <s v="High School"/>
    <x v="5"/>
    <s v="Administrator"/>
    <n v="7"/>
    <x v="2"/>
    <s v="Low"/>
    <s v="Yes"/>
    <n v="90774"/>
    <n v="84493"/>
    <x v="0"/>
    <n v="48"/>
    <x v="1"/>
    <n v="6"/>
    <n v="18.7"/>
    <n v="-6281"/>
    <n v="-6.919382201952101"/>
    <s v="Intermediate"/>
    <s v="Low Impact"/>
  </r>
  <r>
    <s v="E1774"/>
    <n v="26"/>
    <s v="Other"/>
    <s v="PhD"/>
    <x v="2"/>
    <s v="SEO Specialist"/>
    <n v="1"/>
    <x v="2"/>
    <s v="Medium"/>
    <s v="No"/>
    <n v="86488"/>
    <n v="106703"/>
    <x v="1"/>
    <n v="49"/>
    <x v="1"/>
    <n v="7"/>
    <n v="18.670000000000002"/>
    <n v="20215"/>
    <n v="23.37318471926741"/>
    <s v="Beginner"/>
    <s v="Medium Impact"/>
  </r>
  <r>
    <s v="E0952"/>
    <n v="34"/>
    <s v="Female"/>
    <s v="Bachelor"/>
    <x v="5"/>
    <s v="Administrator"/>
    <n v="9"/>
    <x v="2"/>
    <s v="High"/>
    <s v="Yes"/>
    <n v="96381"/>
    <n v="77833"/>
    <x v="2"/>
    <n v="38"/>
    <x v="0"/>
    <n v="3"/>
    <n v="18.670000000000002"/>
    <n v="-18548"/>
    <n v="-19.244456895031178"/>
    <s v="Intermediate"/>
    <s v="High Impact"/>
  </r>
  <r>
    <s v="E1497"/>
    <n v="33"/>
    <s v="Male"/>
    <s v="High School"/>
    <x v="3"/>
    <s v="Investment Analyst"/>
    <n v="10"/>
    <x v="2"/>
    <s v="Medium"/>
    <s v="No"/>
    <n v="118090"/>
    <n v="130712"/>
    <x v="1"/>
    <n v="35"/>
    <x v="0"/>
    <n v="6"/>
    <n v="18.64"/>
    <n v="12622"/>
    <n v="10.688457955796427"/>
    <s v="Intermediate"/>
    <s v="Medium Impact"/>
  </r>
  <r>
    <s v="E1333"/>
    <n v="38"/>
    <s v="Female"/>
    <s v="Master"/>
    <x v="2"/>
    <s v="SEO Specialist"/>
    <n v="16"/>
    <x v="1"/>
    <s v="Medium"/>
    <s v="Yes"/>
    <n v="107061"/>
    <n v="105265"/>
    <x v="1"/>
    <n v="36"/>
    <x v="1"/>
    <n v="4"/>
    <n v="18.57"/>
    <n v="-1796"/>
    <n v="-1.6775483135782403"/>
    <s v="Expert"/>
    <s v="Medium Impact"/>
  </r>
  <r>
    <s v="E1812"/>
    <n v="23"/>
    <s v="Male"/>
    <s v="Bachelor"/>
    <x v="5"/>
    <s v="Teacher"/>
    <n v="0"/>
    <x v="2"/>
    <s v="High"/>
    <s v="Yes"/>
    <n v="111049"/>
    <n v="99318"/>
    <x v="1"/>
    <n v="40"/>
    <x v="1"/>
    <n v="5"/>
    <n v="18.57"/>
    <n v="-11731"/>
    <n v="-10.563805167088402"/>
    <s v="Beginner"/>
    <s v="Medium Impact"/>
  </r>
  <r>
    <s v="E1402"/>
    <n v="34"/>
    <s v="Male"/>
    <s v="High School"/>
    <x v="2"/>
    <s v="Digital Marketer"/>
    <n v="9"/>
    <x v="1"/>
    <s v="Low"/>
    <s v="No"/>
    <n v="68725"/>
    <n v="65629"/>
    <x v="0"/>
    <n v="41"/>
    <x v="1"/>
    <n v="9"/>
    <n v="18.57"/>
    <n v="-3096"/>
    <n v="-4.5049108766824304"/>
    <s v="Intermediate"/>
    <s v="Low Impact"/>
  </r>
  <r>
    <s v="E1211"/>
    <n v="24"/>
    <s v="Male"/>
    <s v="PhD"/>
    <x v="0"/>
    <s v="Data Analyst"/>
    <n v="0"/>
    <x v="1"/>
    <s v="Low"/>
    <s v="Yes"/>
    <n v="35387"/>
    <n v="41270"/>
    <x v="0"/>
    <n v="51"/>
    <x v="1"/>
    <n v="9"/>
    <n v="18.48"/>
    <n v="5883"/>
    <n v="16.624749201684232"/>
    <s v="Beginner"/>
    <s v="Low Impact"/>
  </r>
  <r>
    <s v="E0301"/>
    <n v="34"/>
    <s v="Other"/>
    <s v="Master"/>
    <x v="2"/>
    <s v="SEO Specialist"/>
    <n v="9"/>
    <x v="2"/>
    <s v="Medium"/>
    <s v="Yes"/>
    <n v="82188"/>
    <n v="70961"/>
    <x v="1"/>
    <n v="45"/>
    <x v="0"/>
    <n v="8"/>
    <n v="18.45"/>
    <n v="-11227"/>
    <n v="-13.6601450333382"/>
    <s v="Intermediate"/>
    <s v="Medium Impact"/>
  </r>
  <r>
    <s v="E0509"/>
    <n v="49"/>
    <s v="Female"/>
    <s v="PhD"/>
    <x v="2"/>
    <s v="Content Creator"/>
    <n v="24"/>
    <x v="0"/>
    <s v="High"/>
    <s v="No"/>
    <n v="115029"/>
    <n v="121902"/>
    <x v="0"/>
    <n v="43"/>
    <x v="0"/>
    <n v="7"/>
    <n v="18.440000000000001"/>
    <n v="6873"/>
    <n v="5.975014996218345"/>
    <s v="Expert"/>
    <s v="Low Impact"/>
  </r>
  <r>
    <s v="E1294"/>
    <n v="46"/>
    <s v="Male"/>
    <s v="High School"/>
    <x v="1"/>
    <s v="Quality Inspector"/>
    <n v="24"/>
    <x v="0"/>
    <s v="High"/>
    <s v="Yes"/>
    <n v="108947"/>
    <n v="105581"/>
    <x v="0"/>
    <n v="38"/>
    <x v="1"/>
    <n v="3"/>
    <n v="18.36"/>
    <n v="-3366"/>
    <n v="-3.0895756652317181"/>
    <s v="Expert"/>
    <s v="Low Impact"/>
  </r>
  <r>
    <s v="E0411"/>
    <n v="30"/>
    <s v="Male"/>
    <s v="High School"/>
    <x v="4"/>
    <s v="Sales Associate"/>
    <n v="8"/>
    <x v="2"/>
    <s v="Low"/>
    <s v="No"/>
    <n v="76619"/>
    <n v="69195"/>
    <x v="0"/>
    <n v="36"/>
    <x v="1"/>
    <n v="7"/>
    <n v="18.27"/>
    <n v="-7424"/>
    <n v="-9.6895026037927927"/>
    <s v="Intermediate"/>
    <s v="Low Impact"/>
  </r>
  <r>
    <s v="E1231"/>
    <n v="50"/>
    <s v="Other"/>
    <s v="PhD"/>
    <x v="2"/>
    <s v="Digital Marketer"/>
    <n v="28"/>
    <x v="0"/>
    <s v="High"/>
    <s v="No"/>
    <n v="104051"/>
    <n v="107806"/>
    <x v="0"/>
    <n v="51"/>
    <x v="1"/>
    <n v="4"/>
    <n v="18.239999999999998"/>
    <n v="3755"/>
    <n v="3.6088072195365735"/>
    <s v="Expert"/>
    <s v="Low Impact"/>
  </r>
  <r>
    <s v="E1027"/>
    <n v="43"/>
    <s v="Male"/>
    <s v="High School"/>
    <x v="6"/>
    <s v="Technician"/>
    <n v="20"/>
    <x v="0"/>
    <s v="High"/>
    <s v="Yes"/>
    <n v="50390"/>
    <n v="54936"/>
    <x v="0"/>
    <n v="53"/>
    <x v="0"/>
    <n v="9"/>
    <n v="18.23"/>
    <n v="4546"/>
    <n v="9.0216312760468345"/>
    <s v="Expert"/>
    <s v="Low Impact"/>
  </r>
  <r>
    <s v="E1394"/>
    <n v="45"/>
    <s v="Other"/>
    <s v="Master"/>
    <x v="6"/>
    <s v="Doctor"/>
    <n v="21"/>
    <x v="2"/>
    <s v="Medium"/>
    <s v="No"/>
    <n v="44925"/>
    <n v="48020"/>
    <x v="1"/>
    <n v="37"/>
    <x v="1"/>
    <n v="6"/>
    <n v="18.2"/>
    <n v="3095"/>
    <n v="6.8892598775737337"/>
    <s v="Expert"/>
    <s v="Medium Impact"/>
  </r>
  <r>
    <s v="E0587"/>
    <n v="59"/>
    <s v="Female"/>
    <s v="Bachelor"/>
    <x v="3"/>
    <s v="Accountant"/>
    <n v="37"/>
    <x v="2"/>
    <s v="High"/>
    <s v="No"/>
    <n v="83442"/>
    <n v="113768"/>
    <x v="1"/>
    <n v="35"/>
    <x v="1"/>
    <n v="8"/>
    <n v="18.18"/>
    <n v="30326"/>
    <n v="36.343807674792075"/>
    <s v="Expert"/>
    <s v="Medium Impact"/>
  </r>
  <r>
    <s v="E0331"/>
    <n v="40"/>
    <s v="Female"/>
    <s v="Master"/>
    <x v="2"/>
    <s v="Digital Marketer"/>
    <n v="14"/>
    <x v="2"/>
    <s v="High"/>
    <s v="Yes"/>
    <n v="59725"/>
    <n v="79075"/>
    <x v="2"/>
    <n v="39"/>
    <x v="1"/>
    <n v="9"/>
    <n v="18.18"/>
    <n v="19350"/>
    <n v="32.398493093344491"/>
    <s v="Intermediate"/>
    <s v="High Impact"/>
  </r>
  <r>
    <s v="E1104"/>
    <n v="51"/>
    <s v="Other"/>
    <s v="Master"/>
    <x v="2"/>
    <s v="SEO Specialist"/>
    <n v="26"/>
    <x v="0"/>
    <s v="Medium"/>
    <s v="No"/>
    <n v="49276"/>
    <n v="51779"/>
    <x v="1"/>
    <n v="38"/>
    <x v="0"/>
    <n v="6"/>
    <n v="18.13"/>
    <n v="2503"/>
    <n v="5.0795519116811434"/>
    <s v="Expert"/>
    <s v="Medium Impact"/>
  </r>
  <r>
    <s v="E1931"/>
    <n v="52"/>
    <s v="Female"/>
    <s v="Master"/>
    <x v="6"/>
    <s v="Technician"/>
    <n v="28"/>
    <x v="0"/>
    <s v="High"/>
    <s v="No"/>
    <n v="77310"/>
    <n v="78197"/>
    <x v="0"/>
    <n v="44"/>
    <x v="0"/>
    <n v="4"/>
    <n v="18.04"/>
    <n v="887"/>
    <n v="1.1473289354546632"/>
    <s v="Expert"/>
    <s v="Low Impact"/>
  </r>
  <r>
    <s v="E1802"/>
    <n v="59"/>
    <s v="Male"/>
    <s v="Bachelor"/>
    <x v="5"/>
    <s v="Teacher"/>
    <n v="36"/>
    <x v="2"/>
    <s v="Low"/>
    <s v="No"/>
    <n v="103511"/>
    <n v="89042"/>
    <x v="0"/>
    <n v="53"/>
    <x v="1"/>
    <n v="9"/>
    <n v="18.03"/>
    <n v="-14469"/>
    <n v="-13.978224536522688"/>
    <s v="Expert"/>
    <s v="Low Impact"/>
  </r>
  <r>
    <s v="E0845"/>
    <n v="50"/>
    <s v="Female"/>
    <s v="Master"/>
    <x v="6"/>
    <s v="Doctor"/>
    <n v="27"/>
    <x v="2"/>
    <s v="Low"/>
    <s v="No"/>
    <n v="89470"/>
    <n v="105318"/>
    <x v="0"/>
    <n v="35"/>
    <x v="1"/>
    <n v="3"/>
    <n v="18"/>
    <n v="15848"/>
    <n v="17.713199955292279"/>
    <s v="Expert"/>
    <s v="Low Impact"/>
  </r>
  <r>
    <s v="E0777"/>
    <n v="44"/>
    <s v="Other"/>
    <s v="Master"/>
    <x v="0"/>
    <s v="DevOps Engineer"/>
    <n v="19"/>
    <x v="1"/>
    <s v="High"/>
    <s v="No"/>
    <n v="52837"/>
    <n v="48491"/>
    <x v="0"/>
    <n v="37"/>
    <x v="1"/>
    <n v="6"/>
    <n v="17.97"/>
    <n v="-4346"/>
    <n v="-8.2252966671082763"/>
    <s v="Expert"/>
    <s v="Low Impact"/>
  </r>
  <r>
    <s v="E0242"/>
    <n v="47"/>
    <s v="Other"/>
    <s v="Master"/>
    <x v="2"/>
    <s v="Digital Marketer"/>
    <n v="22"/>
    <x v="1"/>
    <s v="Low"/>
    <s v="Yes"/>
    <n v="53279"/>
    <n v="57570"/>
    <x v="0"/>
    <n v="48"/>
    <x v="1"/>
    <n v="8"/>
    <n v="17.95"/>
    <n v="4291"/>
    <n v="8.0538298391486318"/>
    <s v="Expert"/>
    <s v="Low Impact"/>
  </r>
  <r>
    <s v="E0583"/>
    <n v="47"/>
    <s v="Other"/>
    <s v="Master"/>
    <x v="2"/>
    <s v="Digital Marketer"/>
    <n v="22"/>
    <x v="2"/>
    <s v="Low"/>
    <s v="Yes"/>
    <n v="96025"/>
    <n v="110167"/>
    <x v="0"/>
    <n v="44"/>
    <x v="1"/>
    <n v="6"/>
    <n v="17.940000000000001"/>
    <n v="14142"/>
    <n v="14.727414735745899"/>
    <s v="Expert"/>
    <s v="Low Impact"/>
  </r>
  <r>
    <s v="E0800"/>
    <n v="23"/>
    <s v="Male"/>
    <s v="Master"/>
    <x v="3"/>
    <s v="Auditor"/>
    <n v="1"/>
    <x v="2"/>
    <s v="High"/>
    <s v="Yes"/>
    <n v="33084"/>
    <n v="34966"/>
    <x v="2"/>
    <n v="40"/>
    <x v="1"/>
    <n v="5"/>
    <n v="17.920000000000002"/>
    <n v="1882"/>
    <n v="5.6885503566678759"/>
    <s v="Beginner"/>
    <s v="High Impact"/>
  </r>
  <r>
    <s v="E0758"/>
    <n v="55"/>
    <s v="Female"/>
    <s v="Bachelor"/>
    <x v="4"/>
    <s v="Sales Associate"/>
    <n v="29"/>
    <x v="1"/>
    <s v="Low"/>
    <s v="No"/>
    <n v="47857"/>
    <n v="54929"/>
    <x v="0"/>
    <n v="50"/>
    <x v="0"/>
    <n v="9"/>
    <n v="17.89"/>
    <n v="7072"/>
    <n v="14.777357544350878"/>
    <s v="Expert"/>
    <s v="Low Impact"/>
  </r>
  <r>
    <s v="E0039"/>
    <n v="43"/>
    <s v="Male"/>
    <s v="High School"/>
    <x v="5"/>
    <s v="Teacher"/>
    <n v="17"/>
    <x v="2"/>
    <s v="High"/>
    <s v="No"/>
    <n v="104290"/>
    <n v="139250"/>
    <x v="1"/>
    <n v="36"/>
    <x v="1"/>
    <n v="7"/>
    <n v="17.87"/>
    <n v="34960"/>
    <n v="33.521910058490747"/>
    <s v="Expert"/>
    <s v="Medium Impact"/>
  </r>
  <r>
    <s v="E0482"/>
    <n v="47"/>
    <s v="Other"/>
    <s v="Master"/>
    <x v="5"/>
    <s v="Professor"/>
    <n v="25"/>
    <x v="2"/>
    <s v="Low"/>
    <s v="No"/>
    <n v="46241"/>
    <n v="37210"/>
    <x v="0"/>
    <n v="45"/>
    <x v="1"/>
    <n v="8"/>
    <n v="17.86"/>
    <n v="-9031"/>
    <n v="-19.530286974762657"/>
    <s v="Expert"/>
    <s v="Low Impact"/>
  </r>
  <r>
    <s v="E1270"/>
    <n v="50"/>
    <s v="Male"/>
    <s v="Master"/>
    <x v="2"/>
    <s v="SEO Specialist"/>
    <n v="27"/>
    <x v="1"/>
    <s v="High"/>
    <s v="Yes"/>
    <n v="84273"/>
    <n v="96112"/>
    <x v="0"/>
    <n v="48"/>
    <x v="0"/>
    <n v="6"/>
    <n v="17.829999999999998"/>
    <n v="11839"/>
    <n v="14.048390350408791"/>
    <s v="Expert"/>
    <s v="Low Impact"/>
  </r>
  <r>
    <s v="E1016"/>
    <n v="33"/>
    <s v="Female"/>
    <s v="High School"/>
    <x v="4"/>
    <s v="Sales Associate"/>
    <n v="11"/>
    <x v="2"/>
    <s v="Low"/>
    <s v="No"/>
    <n v="105235"/>
    <n v="122344"/>
    <x v="0"/>
    <n v="52"/>
    <x v="1"/>
    <n v="7"/>
    <n v="17.8"/>
    <n v="17109"/>
    <n v="16.257898987979285"/>
    <s v="Intermediate"/>
    <s v="Low Impact"/>
  </r>
  <r>
    <s v="E1837"/>
    <n v="36"/>
    <s v="Other"/>
    <s v="Master"/>
    <x v="1"/>
    <s v="Quality Inspector"/>
    <n v="10"/>
    <x v="1"/>
    <s v="High"/>
    <s v="No"/>
    <n v="83013"/>
    <n v="89412"/>
    <x v="0"/>
    <n v="48"/>
    <x v="1"/>
    <n v="5"/>
    <n v="17.8"/>
    <n v="6399"/>
    <n v="7.7084312095695857"/>
    <s v="Intermediate"/>
    <s v="Low Impact"/>
  </r>
  <r>
    <s v="E1245"/>
    <n v="41"/>
    <s v="Other"/>
    <s v="High School"/>
    <x v="4"/>
    <s v="Store Manager"/>
    <n v="18"/>
    <x v="0"/>
    <s v="Low"/>
    <s v="No"/>
    <n v="41173"/>
    <n v="41652"/>
    <x v="0"/>
    <n v="53"/>
    <x v="0"/>
    <n v="3"/>
    <n v="17.75"/>
    <n v="479"/>
    <n v="1.1633837709178345"/>
    <s v="Expert"/>
    <s v="Low Impact"/>
  </r>
  <r>
    <s v="E1022"/>
    <n v="53"/>
    <s v="Other"/>
    <s v="PhD"/>
    <x v="1"/>
    <s v="Machine Operator"/>
    <n v="28"/>
    <x v="0"/>
    <s v="High"/>
    <s v="No"/>
    <n v="51575"/>
    <n v="50827"/>
    <x v="0"/>
    <n v="39"/>
    <x v="0"/>
    <n v="3"/>
    <n v="17.68"/>
    <n v="-748"/>
    <n v="-1.4503150751333012"/>
    <s v="Expert"/>
    <s v="Low Impact"/>
  </r>
  <r>
    <s v="E0295"/>
    <n v="33"/>
    <s v="Male"/>
    <s v="High School"/>
    <x v="6"/>
    <s v="Nurse"/>
    <n v="11"/>
    <x v="0"/>
    <s v="Low"/>
    <s v="No"/>
    <n v="42329"/>
    <n v="43639"/>
    <x v="0"/>
    <n v="44"/>
    <x v="0"/>
    <n v="8"/>
    <n v="17.68"/>
    <n v="1310"/>
    <n v="3.0948049800373267"/>
    <s v="Intermediate"/>
    <s v="Low Impact"/>
  </r>
  <r>
    <s v="E0107"/>
    <n v="48"/>
    <s v="Male"/>
    <s v="PhD"/>
    <x v="4"/>
    <s v="Cashier"/>
    <n v="26"/>
    <x v="0"/>
    <s v="Low"/>
    <s v="No"/>
    <n v="53321"/>
    <n v="57048"/>
    <x v="0"/>
    <n v="49"/>
    <x v="1"/>
    <n v="8"/>
    <n v="17.670000000000002"/>
    <n v="3727"/>
    <n v="6.9897413776935906"/>
    <s v="Expert"/>
    <s v="Low Impact"/>
  </r>
  <r>
    <s v="E0903"/>
    <n v="59"/>
    <s v="Female"/>
    <s v="PhD"/>
    <x v="4"/>
    <s v="Cashier"/>
    <n v="34"/>
    <x v="1"/>
    <s v="Medium"/>
    <s v="Yes"/>
    <n v="112464"/>
    <n v="108476"/>
    <x v="1"/>
    <n v="39"/>
    <x v="0"/>
    <n v="5"/>
    <n v="17.649999999999999"/>
    <n v="-3988"/>
    <n v="-3.5460236164461518"/>
    <s v="Expert"/>
    <s v="Medium Impact"/>
  </r>
  <r>
    <s v="E1512"/>
    <n v="33"/>
    <s v="Other"/>
    <s v="High School"/>
    <x v="4"/>
    <s v="Sales Associate"/>
    <n v="9"/>
    <x v="2"/>
    <s v="Medium"/>
    <s v="No"/>
    <n v="88715"/>
    <n v="89594"/>
    <x v="1"/>
    <n v="40"/>
    <x v="1"/>
    <n v="3"/>
    <n v="17.649999999999999"/>
    <n v="879"/>
    <n v="0.99081327847601874"/>
    <s v="Intermediate"/>
    <s v="Medium Impact"/>
  </r>
  <r>
    <s v="E1547"/>
    <n v="25"/>
    <s v="Male"/>
    <s v="PhD"/>
    <x v="5"/>
    <s v="Professor"/>
    <n v="0"/>
    <x v="0"/>
    <s v="Medium"/>
    <s v="Yes"/>
    <n v="39649"/>
    <n v="41274"/>
    <x v="1"/>
    <n v="42"/>
    <x v="0"/>
    <n v="6"/>
    <n v="17.61"/>
    <n v="1625"/>
    <n v="4.0984640217912176"/>
    <s v="Beginner"/>
    <s v="Medium Impact"/>
  </r>
  <r>
    <s v="E1615"/>
    <n v="50"/>
    <s v="Female"/>
    <s v="Master"/>
    <x v="6"/>
    <s v="Nurse"/>
    <n v="25"/>
    <x v="1"/>
    <s v="High"/>
    <s v="Yes"/>
    <n v="77147"/>
    <n v="80248"/>
    <x v="0"/>
    <n v="52"/>
    <x v="0"/>
    <n v="7"/>
    <n v="17.59"/>
    <n v="3101"/>
    <n v="4.0195989474639324"/>
    <s v="Expert"/>
    <s v="Low Impact"/>
  </r>
  <r>
    <s v="E0221"/>
    <n v="29"/>
    <s v="Female"/>
    <s v="Bachelor"/>
    <x v="3"/>
    <s v="Auditor"/>
    <n v="5"/>
    <x v="2"/>
    <s v="Low"/>
    <s v="Yes"/>
    <n v="115553"/>
    <n v="145205"/>
    <x v="0"/>
    <n v="46"/>
    <x v="0"/>
    <n v="7"/>
    <n v="17.57"/>
    <n v="29652"/>
    <n v="25.660952117210282"/>
    <s v="Intermediate"/>
    <s v="Low Impact"/>
  </r>
  <r>
    <s v="E1809"/>
    <n v="31"/>
    <s v="Female"/>
    <s v="PhD"/>
    <x v="3"/>
    <s v="Auditor"/>
    <n v="7"/>
    <x v="0"/>
    <s v="High"/>
    <s v="Yes"/>
    <n v="47175"/>
    <n v="47811"/>
    <x v="0"/>
    <n v="35"/>
    <x v="1"/>
    <n v="8"/>
    <n v="17.57"/>
    <n v="636"/>
    <n v="1.3481717011128775"/>
    <s v="Intermediate"/>
    <s v="Low Impact"/>
  </r>
  <r>
    <s v="E1886"/>
    <n v="35"/>
    <s v="Male"/>
    <s v="Bachelor"/>
    <x v="4"/>
    <s v="Cashier"/>
    <n v="12"/>
    <x v="0"/>
    <s v="Medium"/>
    <s v="Yes"/>
    <n v="109036"/>
    <n v="109716"/>
    <x v="1"/>
    <n v="42"/>
    <x v="1"/>
    <n v="7"/>
    <n v="17.55"/>
    <n v="680"/>
    <n v="0.6236472357753402"/>
    <s v="Intermediate"/>
    <s v="Medium Impact"/>
  </r>
  <r>
    <s v="E0983"/>
    <n v="48"/>
    <s v="Other"/>
    <s v="High School"/>
    <x v="3"/>
    <s v="Investment Analyst"/>
    <n v="22"/>
    <x v="2"/>
    <s v="Low"/>
    <s v="Yes"/>
    <n v="47948"/>
    <n v="59510"/>
    <x v="0"/>
    <n v="42"/>
    <x v="0"/>
    <n v="9"/>
    <n v="17.54"/>
    <n v="11562"/>
    <n v="24.113623091682655"/>
    <s v="Expert"/>
    <s v="Low Impact"/>
  </r>
  <r>
    <s v="E0160"/>
    <n v="50"/>
    <s v="Male"/>
    <s v="Master"/>
    <x v="6"/>
    <s v="Nurse"/>
    <n v="25"/>
    <x v="2"/>
    <s v="Low"/>
    <s v="No"/>
    <n v="38705"/>
    <n v="52111"/>
    <x v="0"/>
    <n v="45"/>
    <x v="1"/>
    <n v="4"/>
    <n v="17.489999999999998"/>
    <n v="13406"/>
    <n v="34.636351892520345"/>
    <s v="Expert"/>
    <s v="Low Impact"/>
  </r>
  <r>
    <s v="E0161"/>
    <n v="23"/>
    <s v="Other"/>
    <s v="Master"/>
    <x v="3"/>
    <s v="Accountant"/>
    <n v="0"/>
    <x v="2"/>
    <s v="Medium"/>
    <s v="Yes"/>
    <n v="106918"/>
    <n v="102730"/>
    <x v="1"/>
    <n v="40"/>
    <x v="1"/>
    <n v="8"/>
    <n v="17.45"/>
    <n v="-4188"/>
    <n v="-3.9170205203988102"/>
    <s v="Beginner"/>
    <s v="Medium Impact"/>
  </r>
  <r>
    <s v="E0290"/>
    <n v="22"/>
    <s v="Female"/>
    <s v="High School"/>
    <x v="1"/>
    <s v="Machine Operator"/>
    <n v="0"/>
    <x v="0"/>
    <s v="Medium"/>
    <s v="Yes"/>
    <n v="112205"/>
    <n v="115362"/>
    <x v="1"/>
    <n v="52"/>
    <x v="0"/>
    <n v="9"/>
    <n v="17.420000000000002"/>
    <n v="3157"/>
    <n v="2.8136001069471059"/>
    <s v="Beginner"/>
    <s v="Medium Impact"/>
  </r>
  <r>
    <s v="E1821"/>
    <n v="54"/>
    <s v="Male"/>
    <s v="High School"/>
    <x v="6"/>
    <s v="Doctor"/>
    <n v="30"/>
    <x v="0"/>
    <s v="High"/>
    <s v="No"/>
    <n v="117329"/>
    <n v="119136"/>
    <x v="0"/>
    <n v="48"/>
    <x v="0"/>
    <n v="3"/>
    <n v="17.39"/>
    <n v="1807"/>
    <n v="1.5401136973808691"/>
    <s v="Expert"/>
    <s v="Low Impact"/>
  </r>
  <r>
    <s v="E1050"/>
    <n v="46"/>
    <s v="Male"/>
    <s v="High School"/>
    <x v="0"/>
    <s v="Data Analyst"/>
    <n v="21"/>
    <x v="2"/>
    <s v="Medium"/>
    <s v="No"/>
    <n v="118534"/>
    <n v="102022"/>
    <x v="1"/>
    <n v="52"/>
    <x v="1"/>
    <n v="9"/>
    <n v="17.39"/>
    <n v="-16512"/>
    <n v="-13.930180370189143"/>
    <s v="Expert"/>
    <s v="Medium Impact"/>
  </r>
  <r>
    <s v="E1776"/>
    <n v="51"/>
    <s v="Female"/>
    <s v="PhD"/>
    <x v="1"/>
    <s v="Quality Inspector"/>
    <n v="25"/>
    <x v="0"/>
    <s v="Low"/>
    <s v="Yes"/>
    <n v="111981"/>
    <n v="119551"/>
    <x v="0"/>
    <n v="39"/>
    <x v="1"/>
    <n v="6"/>
    <n v="17.350000000000001"/>
    <n v="7570"/>
    <n v="6.7600753699288267"/>
    <s v="Expert"/>
    <s v="Low Impact"/>
  </r>
  <r>
    <s v="E1127"/>
    <n v="33"/>
    <s v="Male"/>
    <s v="High School"/>
    <x v="5"/>
    <s v="Teacher"/>
    <n v="7"/>
    <x v="0"/>
    <s v="High"/>
    <s v="No"/>
    <n v="116338"/>
    <n v="118940"/>
    <x v="0"/>
    <n v="53"/>
    <x v="0"/>
    <n v="9"/>
    <n v="17.350000000000001"/>
    <n v="2602"/>
    <n v="2.2365864979628327"/>
    <s v="Intermediate"/>
    <s v="Low Impact"/>
  </r>
  <r>
    <s v="E0400"/>
    <n v="22"/>
    <s v="Male"/>
    <s v="PhD"/>
    <x v="0"/>
    <s v="DevOps Engineer"/>
    <n v="0"/>
    <x v="0"/>
    <s v="Medium"/>
    <s v="Yes"/>
    <n v="105868"/>
    <n v="108085"/>
    <x v="1"/>
    <n v="48"/>
    <x v="0"/>
    <n v="5"/>
    <n v="17.350000000000001"/>
    <n v="2217"/>
    <n v="2.0941172025541239"/>
    <s v="Beginner"/>
    <s v="Medium Impact"/>
  </r>
  <r>
    <s v="E1267"/>
    <n v="46"/>
    <s v="Female"/>
    <s v="High School"/>
    <x v="1"/>
    <s v="Supervisor"/>
    <n v="23"/>
    <x v="1"/>
    <s v="High"/>
    <s v="Yes"/>
    <n v="71420"/>
    <n v="67288"/>
    <x v="0"/>
    <n v="43"/>
    <x v="1"/>
    <n v="8"/>
    <n v="17.350000000000001"/>
    <n v="-4132"/>
    <n v="-5.7854942593111174"/>
    <s v="Expert"/>
    <s v="Low Impact"/>
  </r>
  <r>
    <s v="E1218"/>
    <n v="39"/>
    <s v="Male"/>
    <s v="Bachelor"/>
    <x v="0"/>
    <s v="Data Analyst"/>
    <n v="15"/>
    <x v="0"/>
    <s v="Low"/>
    <s v="No"/>
    <n v="70969"/>
    <n v="71099"/>
    <x v="0"/>
    <n v="45"/>
    <x v="0"/>
    <n v="3"/>
    <n v="17.29"/>
    <n v="130"/>
    <n v="0.1831785709253336"/>
    <s v="Expert"/>
    <s v="Low Impact"/>
  </r>
  <r>
    <s v="E0844"/>
    <n v="23"/>
    <s v="Female"/>
    <s v="Bachelor"/>
    <x v="4"/>
    <s v="Sales Associate"/>
    <n v="0"/>
    <x v="2"/>
    <s v="Low"/>
    <s v="Yes"/>
    <n v="70544"/>
    <n v="77943"/>
    <x v="0"/>
    <n v="50"/>
    <x v="0"/>
    <n v="8"/>
    <n v="17.21"/>
    <n v="7399"/>
    <n v="10.488489453390791"/>
    <s v="Beginner"/>
    <s v="Low Impact"/>
  </r>
  <r>
    <s v="E0479"/>
    <n v="43"/>
    <s v="Female"/>
    <s v="Bachelor"/>
    <x v="1"/>
    <s v="Supervisor"/>
    <n v="21"/>
    <x v="1"/>
    <s v="Low"/>
    <s v="Yes"/>
    <n v="68458"/>
    <n v="76514"/>
    <x v="0"/>
    <n v="44"/>
    <x v="0"/>
    <n v="5"/>
    <n v="17.18"/>
    <n v="8056"/>
    <n v="11.76779923456718"/>
    <s v="Expert"/>
    <s v="Low Impact"/>
  </r>
  <r>
    <s v="E1927"/>
    <n v="56"/>
    <s v="Other"/>
    <s v="Master"/>
    <x v="2"/>
    <s v="Digital Marketer"/>
    <n v="30"/>
    <x v="2"/>
    <s v="High"/>
    <s v="No"/>
    <n v="92670"/>
    <n v="95354"/>
    <x v="1"/>
    <n v="38"/>
    <x v="0"/>
    <n v="7"/>
    <n v="17.079999999999998"/>
    <n v="2684"/>
    <n v="2.8962986942915721"/>
    <s v="Expert"/>
    <s v="Medium Impact"/>
  </r>
  <r>
    <s v="E0003"/>
    <n v="51"/>
    <s v="Female"/>
    <s v="Master"/>
    <x v="0"/>
    <s v="DevOps Engineer"/>
    <n v="28"/>
    <x v="1"/>
    <s v="Medium"/>
    <s v="Yes"/>
    <n v="35311"/>
    <n v="42290"/>
    <x v="1"/>
    <n v="46"/>
    <x v="1"/>
    <n v="3"/>
    <n v="17.05"/>
    <n v="6979"/>
    <n v="19.764379371867125"/>
    <s v="Expert"/>
    <s v="Medium Impact"/>
  </r>
  <r>
    <s v="E0620"/>
    <n v="45"/>
    <s v="Other"/>
    <s v="Bachelor"/>
    <x v="5"/>
    <s v="Administrator"/>
    <n v="22"/>
    <x v="2"/>
    <s v="High"/>
    <s v="Yes"/>
    <n v="119462"/>
    <n v="146222"/>
    <x v="2"/>
    <n v="39"/>
    <x v="0"/>
    <n v="8"/>
    <n v="17.03"/>
    <n v="26760"/>
    <n v="22.400428588170296"/>
    <s v="Expert"/>
    <s v="High Impact"/>
  </r>
  <r>
    <s v="E1290"/>
    <n v="24"/>
    <s v="Male"/>
    <s v="PhD"/>
    <x v="6"/>
    <s v="Technician"/>
    <n v="0"/>
    <x v="0"/>
    <s v="Low"/>
    <s v="No"/>
    <n v="44635"/>
    <n v="43181"/>
    <x v="0"/>
    <n v="49"/>
    <x v="1"/>
    <n v="7"/>
    <n v="16.98"/>
    <n v="-1454"/>
    <n v="-3.257533325865352"/>
    <s v="Beginner"/>
    <s v="Low Impact"/>
  </r>
  <r>
    <s v="E1638"/>
    <n v="23"/>
    <s v="Other"/>
    <s v="Bachelor"/>
    <x v="2"/>
    <s v="Digital Marketer"/>
    <n v="0"/>
    <x v="0"/>
    <s v="Medium"/>
    <s v="No"/>
    <n v="61876"/>
    <n v="60759"/>
    <x v="1"/>
    <n v="51"/>
    <x v="0"/>
    <n v="7"/>
    <n v="16.97"/>
    <n v="-1117"/>
    <n v="-1.8052233499256578"/>
    <s v="Beginner"/>
    <s v="Medium Impact"/>
  </r>
  <r>
    <s v="E1360"/>
    <n v="56"/>
    <s v="Female"/>
    <s v="PhD"/>
    <x v="1"/>
    <s v="Supervisor"/>
    <n v="33"/>
    <x v="1"/>
    <s v="High"/>
    <s v="Yes"/>
    <n v="58024"/>
    <n v="59449"/>
    <x v="0"/>
    <n v="52"/>
    <x v="0"/>
    <n v="3"/>
    <n v="16.91"/>
    <n v="1425"/>
    <n v="2.4558803253826"/>
    <s v="Expert"/>
    <s v="Low Impact"/>
  </r>
  <r>
    <s v="E1032"/>
    <n v="51"/>
    <s v="Other"/>
    <s v="Master"/>
    <x v="0"/>
    <s v="DevOps Engineer"/>
    <n v="26"/>
    <x v="0"/>
    <s v="Medium"/>
    <s v="Yes"/>
    <n v="50608"/>
    <n v="53189"/>
    <x v="1"/>
    <n v="52"/>
    <x v="1"/>
    <n v="6"/>
    <n v="16.87"/>
    <n v="2581"/>
    <n v="5.0999841922225739"/>
    <s v="Expert"/>
    <s v="Medium Impact"/>
  </r>
  <r>
    <s v="E0744"/>
    <n v="36"/>
    <s v="Male"/>
    <s v="Bachelor"/>
    <x v="3"/>
    <s v="Auditor"/>
    <n v="14"/>
    <x v="2"/>
    <s v="Medium"/>
    <s v="No"/>
    <n v="30946"/>
    <n v="24760"/>
    <x v="1"/>
    <n v="54"/>
    <x v="1"/>
    <n v="4"/>
    <n v="16.84"/>
    <n v="-6186"/>
    <n v="-19.989659406708459"/>
    <s v="Intermediate"/>
    <s v="Medium Impact"/>
  </r>
  <r>
    <s v="E0537"/>
    <n v="48"/>
    <s v="Male"/>
    <s v="PhD"/>
    <x v="5"/>
    <s v="Professor"/>
    <n v="25"/>
    <x v="1"/>
    <s v="High"/>
    <s v="Yes"/>
    <n v="42360"/>
    <n v="47103"/>
    <x v="0"/>
    <n v="43"/>
    <x v="1"/>
    <n v="5"/>
    <n v="16.600000000000001"/>
    <n v="4743"/>
    <n v="11.196883852691219"/>
    <s v="Expert"/>
    <s v="Low Impact"/>
  </r>
  <r>
    <s v="E0465"/>
    <n v="43"/>
    <s v="Male"/>
    <s v="High School"/>
    <x v="1"/>
    <s v="Machine Operator"/>
    <n v="21"/>
    <x v="0"/>
    <s v="Low"/>
    <s v="Yes"/>
    <n v="57747"/>
    <n v="60730"/>
    <x v="0"/>
    <n v="36"/>
    <x v="0"/>
    <n v="3"/>
    <n v="16.47"/>
    <n v="2983"/>
    <n v="5.1656363101113474"/>
    <s v="Expert"/>
    <s v="Low Impact"/>
  </r>
  <r>
    <s v="E1778"/>
    <n v="50"/>
    <s v="Other"/>
    <s v="Master"/>
    <x v="4"/>
    <s v="Store Manager"/>
    <n v="27"/>
    <x v="0"/>
    <s v="Low"/>
    <s v="Yes"/>
    <n v="44568"/>
    <n v="46832"/>
    <x v="0"/>
    <n v="35"/>
    <x v="1"/>
    <n v="6"/>
    <n v="16.43"/>
    <n v="2264"/>
    <n v="5.0798779393286662"/>
    <s v="Expert"/>
    <s v="Low Impact"/>
  </r>
  <r>
    <s v="E1087"/>
    <n v="40"/>
    <s v="Female"/>
    <s v="High School"/>
    <x v="2"/>
    <s v="Digital Marketer"/>
    <n v="17"/>
    <x v="0"/>
    <s v="Medium"/>
    <s v="Yes"/>
    <n v="98104"/>
    <n v="104337"/>
    <x v="1"/>
    <n v="50"/>
    <x v="1"/>
    <n v="7"/>
    <n v="16.399999999999999"/>
    <n v="6233"/>
    <n v="6.3534616325532092"/>
    <s v="Expert"/>
    <s v="Medium Impact"/>
  </r>
  <r>
    <s v="E0435"/>
    <n v="32"/>
    <s v="Other"/>
    <s v="Master"/>
    <x v="6"/>
    <s v="Doctor"/>
    <n v="10"/>
    <x v="1"/>
    <s v="High"/>
    <s v="Yes"/>
    <n v="109063"/>
    <n v="112593"/>
    <x v="0"/>
    <n v="53"/>
    <x v="1"/>
    <n v="4"/>
    <n v="16.350000000000001"/>
    <n v="3530"/>
    <n v="3.2366613792028458"/>
    <s v="Intermediate"/>
    <s v="Low Impact"/>
  </r>
  <r>
    <s v="E0420"/>
    <n v="48"/>
    <s v="Female"/>
    <s v="High School"/>
    <x v="3"/>
    <s v="Accountant"/>
    <n v="24"/>
    <x v="2"/>
    <s v="Medium"/>
    <s v="No"/>
    <n v="41120"/>
    <n v="49601"/>
    <x v="1"/>
    <n v="36"/>
    <x v="0"/>
    <n v="6"/>
    <n v="16.350000000000001"/>
    <n v="8481"/>
    <n v="20.625"/>
    <s v="Expert"/>
    <s v="Medium Impact"/>
  </r>
  <r>
    <s v="E0018"/>
    <n v="53"/>
    <s v="Other"/>
    <s v="Bachelor"/>
    <x v="5"/>
    <s v="Teacher"/>
    <n v="28"/>
    <x v="2"/>
    <s v="High"/>
    <s v="Yes"/>
    <n v="48141"/>
    <n v="42537"/>
    <x v="2"/>
    <n v="49"/>
    <x v="0"/>
    <n v="5"/>
    <n v="16.27"/>
    <n v="-5604"/>
    <n v="-11.640805134916183"/>
    <s v="Expert"/>
    <s v="High Impact"/>
  </r>
  <r>
    <s v="E1740"/>
    <n v="59"/>
    <s v="Male"/>
    <s v="High School"/>
    <x v="5"/>
    <s v="Administrator"/>
    <n v="33"/>
    <x v="0"/>
    <s v="High"/>
    <s v="No"/>
    <n v="62788"/>
    <n v="68747"/>
    <x v="0"/>
    <n v="42"/>
    <x v="0"/>
    <n v="9"/>
    <n v="16.25"/>
    <n v="5959"/>
    <n v="9.4906670064343501"/>
    <s v="Expert"/>
    <s v="Low Impact"/>
  </r>
  <r>
    <s v="E0399"/>
    <n v="22"/>
    <s v="Other"/>
    <s v="PhD"/>
    <x v="4"/>
    <s v="Cashier"/>
    <n v="0"/>
    <x v="0"/>
    <s v="High"/>
    <s v="Yes"/>
    <n v="56512"/>
    <n v="54023"/>
    <x v="0"/>
    <n v="42"/>
    <x v="1"/>
    <n v="5"/>
    <n v="16.239999999999998"/>
    <n v="-2489"/>
    <n v="-4.4043742921857305"/>
    <s v="Beginner"/>
    <s v="Low Impact"/>
  </r>
  <r>
    <s v="E1122"/>
    <n v="32"/>
    <s v="Other"/>
    <s v="Bachelor"/>
    <x v="1"/>
    <s v="Quality Inspector"/>
    <n v="10"/>
    <x v="2"/>
    <s v="High"/>
    <s v="No"/>
    <n v="42062"/>
    <n v="40922"/>
    <x v="1"/>
    <n v="52"/>
    <x v="1"/>
    <n v="9"/>
    <n v="16.239999999999998"/>
    <n v="-1140"/>
    <n v="-2.7102848176501353"/>
    <s v="Intermediate"/>
    <s v="Medium Impact"/>
  </r>
  <r>
    <s v="E1549"/>
    <n v="52"/>
    <s v="Male"/>
    <s v="PhD"/>
    <x v="5"/>
    <s v="Teacher"/>
    <n v="30"/>
    <x v="2"/>
    <s v="Medium"/>
    <s v="No"/>
    <n v="81928"/>
    <n v="113454"/>
    <x v="1"/>
    <n v="47"/>
    <x v="1"/>
    <n v="5"/>
    <n v="16.23"/>
    <n v="31526"/>
    <n v="38.48012889366273"/>
    <s v="Expert"/>
    <s v="Medium Impact"/>
  </r>
  <r>
    <s v="E0654"/>
    <n v="46"/>
    <s v="Male"/>
    <s v="Bachelor"/>
    <x v="3"/>
    <s v="Accountant"/>
    <n v="23"/>
    <x v="0"/>
    <s v="High"/>
    <s v="Yes"/>
    <n v="34765"/>
    <n v="37929"/>
    <x v="0"/>
    <n v="54"/>
    <x v="0"/>
    <n v="3"/>
    <n v="16.23"/>
    <n v="3164"/>
    <n v="9.1011074356392925"/>
    <s v="Expert"/>
    <s v="Low Impact"/>
  </r>
  <r>
    <s v="E0534"/>
    <n v="45"/>
    <s v="Other"/>
    <s v="High School"/>
    <x v="6"/>
    <s v="Technician"/>
    <n v="22"/>
    <x v="0"/>
    <s v="Medium"/>
    <s v="No"/>
    <n v="118229"/>
    <n v="129493"/>
    <x v="1"/>
    <n v="41"/>
    <x v="1"/>
    <n v="5"/>
    <n v="16.22"/>
    <n v="11264"/>
    <n v="9.5272733424117604"/>
    <s v="Expert"/>
    <s v="Medium Impact"/>
  </r>
  <r>
    <s v="E1384"/>
    <n v="23"/>
    <s v="Male"/>
    <s v="Bachelor"/>
    <x v="3"/>
    <s v="Investment Analyst"/>
    <n v="0"/>
    <x v="1"/>
    <s v="High"/>
    <s v="No"/>
    <n v="79810"/>
    <n v="73343"/>
    <x v="0"/>
    <n v="40"/>
    <x v="1"/>
    <n v="5"/>
    <n v="16.18"/>
    <n v="-6467"/>
    <n v="-8.1029946122039842"/>
    <s v="Beginner"/>
    <s v="Low Impact"/>
  </r>
  <r>
    <s v="E1967"/>
    <n v="36"/>
    <s v="Other"/>
    <s v="PhD"/>
    <x v="2"/>
    <s v="SEO Specialist"/>
    <n v="10"/>
    <x v="1"/>
    <s v="Medium"/>
    <s v="Yes"/>
    <n v="62602"/>
    <n v="74128"/>
    <x v="1"/>
    <n v="52"/>
    <x v="0"/>
    <n v="9"/>
    <n v="16.170000000000002"/>
    <n v="11526"/>
    <n v="18.411552346570399"/>
    <s v="Intermediate"/>
    <s v="Medium Impact"/>
  </r>
  <r>
    <s v="E0876"/>
    <n v="24"/>
    <s v="Female"/>
    <s v="Bachelor"/>
    <x v="2"/>
    <s v="Content Creator"/>
    <n v="0"/>
    <x v="0"/>
    <s v="Medium"/>
    <s v="No"/>
    <n v="50224"/>
    <n v="51964"/>
    <x v="1"/>
    <n v="47"/>
    <x v="1"/>
    <n v="4"/>
    <n v="16.03"/>
    <n v="1740"/>
    <n v="3.4644791334820004"/>
    <s v="Beginner"/>
    <s v="Medium Impact"/>
  </r>
  <r>
    <s v="E1043"/>
    <n v="23"/>
    <s v="Female"/>
    <s v="High School"/>
    <x v="4"/>
    <s v="Store Manager"/>
    <n v="1"/>
    <x v="1"/>
    <s v="High"/>
    <s v="No"/>
    <n v="98322"/>
    <n v="89950"/>
    <x v="0"/>
    <n v="39"/>
    <x v="0"/>
    <n v="6"/>
    <n v="15.96"/>
    <n v="-8372"/>
    <n v="-8.5148796810479848"/>
    <s v="Beginner"/>
    <s v="Low Impact"/>
  </r>
  <r>
    <s v="E1303"/>
    <n v="55"/>
    <s v="Other"/>
    <s v="PhD"/>
    <x v="1"/>
    <s v="Supervisor"/>
    <n v="33"/>
    <x v="0"/>
    <s v="Low"/>
    <s v="No"/>
    <n v="69159"/>
    <n v="75674"/>
    <x v="0"/>
    <n v="41"/>
    <x v="0"/>
    <n v="9"/>
    <n v="15.96"/>
    <n v="6515"/>
    <n v="9.4203212886247627"/>
    <s v="Expert"/>
    <s v="Low Impact"/>
  </r>
  <r>
    <s v="E1716"/>
    <n v="39"/>
    <s v="Male"/>
    <s v="High School"/>
    <x v="2"/>
    <s v="Content Creator"/>
    <n v="17"/>
    <x v="1"/>
    <s v="Medium"/>
    <s v="Yes"/>
    <n v="59605"/>
    <n v="57397"/>
    <x v="1"/>
    <n v="47"/>
    <x v="1"/>
    <n v="9"/>
    <n v="15.95"/>
    <n v="-2208"/>
    <n v="-3.7043872158375977"/>
    <s v="Expert"/>
    <s v="Medium Impact"/>
  </r>
  <r>
    <s v="E0410"/>
    <n v="50"/>
    <s v="Male"/>
    <s v="PhD"/>
    <x v="3"/>
    <s v="Accountant"/>
    <n v="28"/>
    <x v="1"/>
    <s v="Medium"/>
    <s v="Yes"/>
    <n v="81649"/>
    <n v="95236"/>
    <x v="1"/>
    <n v="48"/>
    <x v="0"/>
    <n v="4"/>
    <n v="15.92"/>
    <n v="13587"/>
    <n v="16.640742691276074"/>
    <s v="Expert"/>
    <s v="Medium Impact"/>
  </r>
  <r>
    <s v="E0137"/>
    <n v="33"/>
    <s v="Other"/>
    <s v="High School"/>
    <x v="4"/>
    <s v="Cashier"/>
    <n v="7"/>
    <x v="1"/>
    <s v="High"/>
    <s v="Yes"/>
    <n v="50609"/>
    <n v="45733"/>
    <x v="0"/>
    <n v="38"/>
    <x v="1"/>
    <n v="6"/>
    <n v="15.91"/>
    <n v="-4876"/>
    <n v="-9.6346499634452361"/>
    <s v="Intermediate"/>
    <s v="Low Impact"/>
  </r>
  <r>
    <s v="E1386"/>
    <n v="50"/>
    <s v="Other"/>
    <s v="PhD"/>
    <x v="0"/>
    <s v="Data Analyst"/>
    <n v="25"/>
    <x v="0"/>
    <s v="Low"/>
    <s v="No"/>
    <n v="39638"/>
    <n v="40441"/>
    <x v="0"/>
    <n v="39"/>
    <x v="1"/>
    <n v="9"/>
    <n v="15.9"/>
    <n v="803"/>
    <n v="2.0258337958524648"/>
    <s v="Expert"/>
    <s v="Low Impact"/>
  </r>
  <r>
    <s v="E1176"/>
    <n v="55"/>
    <s v="Other"/>
    <s v="Master"/>
    <x v="2"/>
    <s v="Content Creator"/>
    <n v="33"/>
    <x v="2"/>
    <s v="Medium"/>
    <s v="Yes"/>
    <n v="81259"/>
    <n v="68087"/>
    <x v="1"/>
    <n v="40"/>
    <x v="0"/>
    <n v="7"/>
    <n v="15.89"/>
    <n v="-13172"/>
    <n v="-16.209896749898473"/>
    <s v="Expert"/>
    <s v="Medium Impact"/>
  </r>
  <r>
    <s v="E0232"/>
    <n v="28"/>
    <s v="Male"/>
    <s v="Master"/>
    <x v="3"/>
    <s v="Auditor"/>
    <n v="4"/>
    <x v="1"/>
    <s v="Low"/>
    <s v="No"/>
    <n v="76163"/>
    <n v="81182"/>
    <x v="0"/>
    <n v="37"/>
    <x v="0"/>
    <n v="9"/>
    <n v="15.85"/>
    <n v="5019"/>
    <n v="6.5898139516563159"/>
    <s v="Beginner"/>
    <s v="Low Impact"/>
  </r>
  <r>
    <s v="E0870"/>
    <n v="39"/>
    <s v="Male"/>
    <s v="PhD"/>
    <x v="3"/>
    <s v="Investment Analyst"/>
    <n v="14"/>
    <x v="2"/>
    <s v="Low"/>
    <s v="No"/>
    <n v="50659"/>
    <n v="65322"/>
    <x v="0"/>
    <n v="53"/>
    <x v="0"/>
    <n v="9"/>
    <n v="15.84"/>
    <n v="14663"/>
    <n v="28.944511340531793"/>
    <s v="Intermediate"/>
    <s v="Low Impact"/>
  </r>
  <r>
    <s v="E1288"/>
    <n v="57"/>
    <s v="Male"/>
    <s v="Master"/>
    <x v="5"/>
    <s v="Administrator"/>
    <n v="33"/>
    <x v="2"/>
    <s v="Low"/>
    <s v="No"/>
    <n v="34311"/>
    <n v="31066"/>
    <x v="0"/>
    <n v="38"/>
    <x v="1"/>
    <n v="9"/>
    <n v="15.83"/>
    <n v="-3245"/>
    <n v="-9.45760834717729"/>
    <s v="Expert"/>
    <s v="Low Impact"/>
  </r>
  <r>
    <s v="E1636"/>
    <n v="51"/>
    <s v="Male"/>
    <s v="PhD"/>
    <x v="5"/>
    <s v="Administrator"/>
    <n v="29"/>
    <x v="0"/>
    <s v="Medium"/>
    <s v="No"/>
    <n v="76996"/>
    <n v="73772"/>
    <x v="1"/>
    <n v="46"/>
    <x v="0"/>
    <n v="3"/>
    <n v="15.8"/>
    <n v="-3224"/>
    <n v="-4.1872305054808034"/>
    <s v="Expert"/>
    <s v="Medium Impact"/>
  </r>
  <r>
    <s v="E1558"/>
    <n v="30"/>
    <s v="Female"/>
    <s v="Bachelor"/>
    <x v="5"/>
    <s v="Administrator"/>
    <n v="6"/>
    <x v="2"/>
    <s v="High"/>
    <s v="No"/>
    <n v="118406"/>
    <n v="102997"/>
    <x v="2"/>
    <n v="35"/>
    <x v="1"/>
    <n v="8"/>
    <n v="15.79"/>
    <n v="-15409"/>
    <n v="-13.013698630136986"/>
    <s v="Intermediate"/>
    <s v="High Impact"/>
  </r>
  <r>
    <s v="E1007"/>
    <n v="37"/>
    <s v="Male"/>
    <s v="High School"/>
    <x v="3"/>
    <s v="Investment Analyst"/>
    <n v="13"/>
    <x v="1"/>
    <s v="Medium"/>
    <s v="No"/>
    <n v="56498"/>
    <n v="57716"/>
    <x v="1"/>
    <n v="40"/>
    <x v="0"/>
    <n v="7"/>
    <n v="15.76"/>
    <n v="1218"/>
    <n v="2.1558285249035367"/>
    <s v="Intermediate"/>
    <s v="Medium Impact"/>
  </r>
  <r>
    <s v="E1170"/>
    <n v="58"/>
    <s v="Other"/>
    <s v="PhD"/>
    <x v="3"/>
    <s v="Investment Analyst"/>
    <n v="34"/>
    <x v="0"/>
    <s v="High"/>
    <s v="Yes"/>
    <n v="56613"/>
    <n v="57414"/>
    <x v="0"/>
    <n v="42"/>
    <x v="1"/>
    <n v="7"/>
    <n v="15.76"/>
    <n v="801"/>
    <n v="1.4148693762916644"/>
    <s v="Expert"/>
    <s v="Low Impact"/>
  </r>
  <r>
    <s v="E1922"/>
    <n v="50"/>
    <s v="Male"/>
    <s v="Bachelor"/>
    <x v="6"/>
    <s v="Doctor"/>
    <n v="28"/>
    <x v="2"/>
    <s v="Low"/>
    <s v="No"/>
    <n v="82433"/>
    <n v="72482"/>
    <x v="0"/>
    <n v="38"/>
    <x v="1"/>
    <n v="3"/>
    <n v="15.73"/>
    <n v="-9951"/>
    <n v="-12.071621801948249"/>
    <s v="Expert"/>
    <s v="Low Impact"/>
  </r>
  <r>
    <s v="E1673"/>
    <n v="34"/>
    <s v="Male"/>
    <s v="Master"/>
    <x v="2"/>
    <s v="SEO Specialist"/>
    <n v="8"/>
    <x v="1"/>
    <s v="High"/>
    <s v="Yes"/>
    <n v="111311"/>
    <n v="111209"/>
    <x v="0"/>
    <n v="51"/>
    <x v="0"/>
    <n v="5"/>
    <n v="15.72"/>
    <n v="-102"/>
    <n v="-9.1635148368085811E-2"/>
    <s v="Intermediate"/>
    <s v="Low Impact"/>
  </r>
  <r>
    <s v="E1121"/>
    <n v="50"/>
    <s v="Male"/>
    <s v="High School"/>
    <x v="0"/>
    <s v="DevOps Engineer"/>
    <n v="26"/>
    <x v="0"/>
    <s v="Medium"/>
    <s v="Yes"/>
    <n v="98371"/>
    <n v="93931"/>
    <x v="1"/>
    <n v="52"/>
    <x v="1"/>
    <n v="4"/>
    <n v="15.72"/>
    <n v="-4440"/>
    <n v="-4.5135253275863825"/>
    <s v="Expert"/>
    <s v="Medium Impact"/>
  </r>
  <r>
    <s v="E0991"/>
    <n v="38"/>
    <s v="Female"/>
    <s v="Bachelor"/>
    <x v="5"/>
    <s v="Professor"/>
    <n v="14"/>
    <x v="0"/>
    <s v="High"/>
    <s v="No"/>
    <n v="96830"/>
    <n v="101914"/>
    <x v="0"/>
    <n v="49"/>
    <x v="1"/>
    <n v="4"/>
    <n v="15.62"/>
    <n v="5084"/>
    <n v="5.2504389135598473"/>
    <s v="Intermediate"/>
    <s v="Low Impact"/>
  </r>
  <r>
    <s v="E1943"/>
    <n v="45"/>
    <s v="Female"/>
    <s v="Bachelor"/>
    <x v="2"/>
    <s v="SEO Specialist"/>
    <n v="20"/>
    <x v="2"/>
    <s v="High"/>
    <s v="Yes"/>
    <n v="98617"/>
    <n v="112128"/>
    <x v="1"/>
    <n v="45"/>
    <x v="0"/>
    <n v="8"/>
    <n v="15.59"/>
    <n v="13511"/>
    <n v="13.700477605281037"/>
    <s v="Expert"/>
    <s v="Medium Impact"/>
  </r>
  <r>
    <s v="E0602"/>
    <n v="25"/>
    <s v="Male"/>
    <s v="High School"/>
    <x v="1"/>
    <s v="Quality Inspector"/>
    <n v="3"/>
    <x v="1"/>
    <s v="High"/>
    <s v="No"/>
    <n v="97753"/>
    <n v="108948"/>
    <x v="0"/>
    <n v="45"/>
    <x v="0"/>
    <n v="5"/>
    <n v="15.59"/>
    <n v="11195"/>
    <n v="11.452333943715283"/>
    <s v="Beginner"/>
    <s v="Low Impact"/>
  </r>
  <r>
    <s v="E0391"/>
    <n v="25"/>
    <s v="Male"/>
    <s v="High School"/>
    <x v="6"/>
    <s v="Technician"/>
    <n v="0"/>
    <x v="2"/>
    <s v="Medium"/>
    <s v="No"/>
    <n v="44849"/>
    <n v="53849"/>
    <x v="1"/>
    <n v="43"/>
    <x v="0"/>
    <n v="9"/>
    <n v="15.59"/>
    <n v="9000"/>
    <n v="20.067337064371557"/>
    <s v="Beginner"/>
    <s v="Medium Impact"/>
  </r>
  <r>
    <s v="E0337"/>
    <n v="25"/>
    <s v="Other"/>
    <s v="High School"/>
    <x v="4"/>
    <s v="Store Manager"/>
    <n v="0"/>
    <x v="2"/>
    <s v="Medium"/>
    <s v="No"/>
    <n v="48313"/>
    <n v="64339"/>
    <x v="1"/>
    <n v="39"/>
    <x v="0"/>
    <n v="8"/>
    <n v="15.58"/>
    <n v="16026"/>
    <n v="33.171196158383871"/>
    <s v="Beginner"/>
    <s v="Medium Impact"/>
  </r>
  <r>
    <s v="E0609"/>
    <n v="23"/>
    <s v="Other"/>
    <s v="PhD"/>
    <x v="5"/>
    <s v="Professor"/>
    <n v="0"/>
    <x v="0"/>
    <s v="Low"/>
    <s v="Yes"/>
    <n v="53989"/>
    <n v="56012"/>
    <x v="0"/>
    <n v="42"/>
    <x v="1"/>
    <n v="5"/>
    <n v="15.57"/>
    <n v="2023"/>
    <n v="3.7470595862120057"/>
    <s v="Beginner"/>
    <s v="Low Impact"/>
  </r>
  <r>
    <s v="E1909"/>
    <n v="57"/>
    <s v="Female"/>
    <s v="PhD"/>
    <x v="2"/>
    <s v="Content Creator"/>
    <n v="32"/>
    <x v="0"/>
    <s v="Medium"/>
    <s v="Yes"/>
    <n v="35539"/>
    <n v="37454"/>
    <x v="1"/>
    <n v="46"/>
    <x v="1"/>
    <n v="7"/>
    <n v="15.53"/>
    <n v="1915"/>
    <n v="5.3884464953994202"/>
    <s v="Expert"/>
    <s v="Medium Impact"/>
  </r>
  <r>
    <s v="E0144"/>
    <n v="44"/>
    <s v="Male"/>
    <s v="Bachelor"/>
    <x v="3"/>
    <s v="Investment Analyst"/>
    <n v="22"/>
    <x v="2"/>
    <s v="High"/>
    <s v="Yes"/>
    <n v="83173"/>
    <n v="92430"/>
    <x v="2"/>
    <n v="49"/>
    <x v="1"/>
    <n v="3"/>
    <n v="15.48"/>
    <n v="9257"/>
    <n v="11.129813761677468"/>
    <s v="Expert"/>
    <s v="High Impact"/>
  </r>
  <r>
    <s v="E1433"/>
    <n v="36"/>
    <s v="Other"/>
    <s v="Bachelor"/>
    <x v="3"/>
    <s v="Accountant"/>
    <n v="10"/>
    <x v="1"/>
    <s v="Medium"/>
    <s v="Yes"/>
    <n v="116914"/>
    <n v="112803"/>
    <x v="1"/>
    <n v="37"/>
    <x v="0"/>
    <n v="6"/>
    <n v="15.45"/>
    <n v="-4111"/>
    <n v="-3.5162598149066837"/>
    <s v="Intermediate"/>
    <s v="Medium Impact"/>
  </r>
  <r>
    <s v="E0507"/>
    <n v="52"/>
    <s v="Male"/>
    <s v="PhD"/>
    <x v="2"/>
    <s v="Digital Marketer"/>
    <n v="26"/>
    <x v="0"/>
    <s v="Low"/>
    <s v="No"/>
    <n v="87149"/>
    <n v="89746"/>
    <x v="0"/>
    <n v="40"/>
    <x v="0"/>
    <n v="7"/>
    <n v="15.43"/>
    <n v="2597"/>
    <n v="2.9799538721040979"/>
    <s v="Expert"/>
    <s v="Low Impact"/>
  </r>
  <r>
    <s v="E0097"/>
    <n v="22"/>
    <s v="Male"/>
    <s v="PhD"/>
    <x v="3"/>
    <s v="Accountant"/>
    <n v="0"/>
    <x v="1"/>
    <s v="Medium"/>
    <s v="No"/>
    <n v="54285"/>
    <n v="61751"/>
    <x v="1"/>
    <n v="49"/>
    <x v="1"/>
    <n v="9"/>
    <n v="15.4"/>
    <n v="7466"/>
    <n v="13.75333885972184"/>
    <s v="Beginner"/>
    <s v="Medium Impact"/>
  </r>
  <r>
    <s v="E0189"/>
    <n v="35"/>
    <s v="Male"/>
    <s v="Master"/>
    <x v="0"/>
    <s v="DevOps Engineer"/>
    <n v="12"/>
    <x v="1"/>
    <s v="Medium"/>
    <s v="No"/>
    <n v="85619"/>
    <n v="95436"/>
    <x v="1"/>
    <n v="50"/>
    <x v="1"/>
    <n v="3"/>
    <n v="15.35"/>
    <n v="9817"/>
    <n v="11.465912939884838"/>
    <s v="Intermediate"/>
    <s v="Medium Impact"/>
  </r>
  <r>
    <s v="E0584"/>
    <n v="34"/>
    <s v="Female"/>
    <s v="Master"/>
    <x v="6"/>
    <s v="Doctor"/>
    <n v="10"/>
    <x v="1"/>
    <s v="Low"/>
    <s v="No"/>
    <n v="62821"/>
    <n v="63817"/>
    <x v="0"/>
    <n v="42"/>
    <x v="1"/>
    <n v="7"/>
    <n v="15.31"/>
    <n v="996"/>
    <n v="1.5854570923735694"/>
    <s v="Intermediate"/>
    <s v="Low Impact"/>
  </r>
  <r>
    <s v="E0971"/>
    <n v="52"/>
    <s v="Other"/>
    <s v="PhD"/>
    <x v="2"/>
    <s v="Content Creator"/>
    <n v="27"/>
    <x v="1"/>
    <s v="Medium"/>
    <s v="Yes"/>
    <n v="91720"/>
    <n v="103234"/>
    <x v="1"/>
    <n v="53"/>
    <x v="0"/>
    <n v="4"/>
    <n v="15.3"/>
    <n v="11514"/>
    <n v="12.553423462712605"/>
    <s v="Expert"/>
    <s v="Medium Impact"/>
  </r>
  <r>
    <s v="E0926"/>
    <n v="50"/>
    <s v="Female"/>
    <s v="PhD"/>
    <x v="4"/>
    <s v="Sales Associate"/>
    <n v="26"/>
    <x v="2"/>
    <s v="High"/>
    <s v="Yes"/>
    <n v="31407"/>
    <n v="38486"/>
    <x v="2"/>
    <n v="44"/>
    <x v="0"/>
    <n v="7"/>
    <n v="15.26"/>
    <n v="7079"/>
    <n v="22.539561244308594"/>
    <s v="Expert"/>
    <s v="High Impact"/>
  </r>
  <r>
    <s v="E1455"/>
    <n v="29"/>
    <s v="Female"/>
    <s v="Bachelor"/>
    <x v="3"/>
    <s v="Auditor"/>
    <n v="5"/>
    <x v="2"/>
    <s v="High"/>
    <s v="Yes"/>
    <n v="48961"/>
    <n v="48686"/>
    <x v="1"/>
    <n v="46"/>
    <x v="0"/>
    <n v="3"/>
    <n v="15.23"/>
    <n v="-275"/>
    <n v="-0.56167153448663221"/>
    <s v="Intermediate"/>
    <s v="Medium Impact"/>
  </r>
  <r>
    <s v="E0265"/>
    <n v="53"/>
    <s v="Female"/>
    <s v="High School"/>
    <x v="3"/>
    <s v="Auditor"/>
    <n v="31"/>
    <x v="0"/>
    <s v="Low"/>
    <s v="Yes"/>
    <n v="52443"/>
    <n v="49936"/>
    <x v="0"/>
    <n v="42"/>
    <x v="0"/>
    <n v="8"/>
    <n v="15.22"/>
    <n v="-2507"/>
    <n v="-4.7804282745075612"/>
    <s v="Expert"/>
    <s v="Low Impact"/>
  </r>
  <r>
    <s v="E0910"/>
    <n v="59"/>
    <s v="Other"/>
    <s v="Bachelor"/>
    <x v="0"/>
    <s v="DevOps Engineer"/>
    <n v="34"/>
    <x v="0"/>
    <s v="Medium"/>
    <s v="Yes"/>
    <n v="104160"/>
    <n v="103362"/>
    <x v="1"/>
    <n v="36"/>
    <x v="0"/>
    <n v="3"/>
    <n v="15.12"/>
    <n v="-798"/>
    <n v="-0.7661290322580645"/>
    <s v="Expert"/>
    <s v="Medium Impact"/>
  </r>
  <r>
    <s v="E0249"/>
    <n v="58"/>
    <s v="Male"/>
    <s v="PhD"/>
    <x v="2"/>
    <s v="SEO Specialist"/>
    <n v="33"/>
    <x v="2"/>
    <s v="Low"/>
    <s v="No"/>
    <n v="39847"/>
    <n v="51139"/>
    <x v="0"/>
    <n v="49"/>
    <x v="1"/>
    <n v="8"/>
    <n v="15.12"/>
    <n v="11292"/>
    <n v="28.33839435842096"/>
    <s v="Expert"/>
    <s v="Low Impact"/>
  </r>
  <r>
    <s v="E1586"/>
    <n v="53"/>
    <s v="Female"/>
    <s v="Master"/>
    <x v="4"/>
    <s v="Cashier"/>
    <n v="31"/>
    <x v="0"/>
    <s v="Low"/>
    <s v="No"/>
    <n v="34300"/>
    <n v="36285"/>
    <x v="0"/>
    <n v="54"/>
    <x v="0"/>
    <n v="3"/>
    <n v="15.1"/>
    <n v="1985"/>
    <n v="5.7871720116618075"/>
    <s v="Expert"/>
    <s v="Low Impact"/>
  </r>
  <r>
    <s v="E0608"/>
    <n v="49"/>
    <s v="Other"/>
    <s v="PhD"/>
    <x v="5"/>
    <s v="Teacher"/>
    <n v="26"/>
    <x v="2"/>
    <s v="High"/>
    <s v="Yes"/>
    <n v="35213"/>
    <n v="46796"/>
    <x v="2"/>
    <n v="51"/>
    <x v="0"/>
    <n v="8"/>
    <n v="15.07"/>
    <n v="11583"/>
    <n v="32.894101610200778"/>
    <s v="Expert"/>
    <s v="High Impact"/>
  </r>
  <r>
    <s v="E0513"/>
    <n v="53"/>
    <s v="Male"/>
    <s v="PhD"/>
    <x v="3"/>
    <s v="Investment Analyst"/>
    <n v="29"/>
    <x v="2"/>
    <s v="Low"/>
    <s v="Yes"/>
    <n v="60881"/>
    <n v="77220"/>
    <x v="0"/>
    <n v="45"/>
    <x v="1"/>
    <n v="4"/>
    <n v="15.03"/>
    <n v="16339"/>
    <n v="26.83760122205614"/>
    <s v="Expert"/>
    <s v="Low Impact"/>
  </r>
  <r>
    <s v="E1651"/>
    <n v="27"/>
    <s v="Other"/>
    <s v="PhD"/>
    <x v="3"/>
    <s v="Accountant"/>
    <n v="2"/>
    <x v="1"/>
    <s v="Medium"/>
    <s v="No"/>
    <n v="55594"/>
    <n v="59572"/>
    <x v="1"/>
    <n v="40"/>
    <x v="0"/>
    <n v="4"/>
    <n v="15.03"/>
    <n v="3978"/>
    <n v="7.1554484296866576"/>
    <s v="Beginner"/>
    <s v="Medium Impact"/>
  </r>
  <r>
    <s v="E0856"/>
    <n v="52"/>
    <s v="Male"/>
    <s v="Bachelor"/>
    <x v="6"/>
    <s v="Technician"/>
    <n v="27"/>
    <x v="1"/>
    <s v="Medium"/>
    <s v="Yes"/>
    <n v="53889"/>
    <n v="56615"/>
    <x v="1"/>
    <n v="49"/>
    <x v="1"/>
    <n v="5"/>
    <n v="14.99"/>
    <n v="2726"/>
    <n v="5.0585462710386162"/>
    <s v="Expert"/>
    <s v="Medium Impact"/>
  </r>
  <r>
    <s v="E0980"/>
    <n v="52"/>
    <s v="Female"/>
    <s v="Master"/>
    <x v="4"/>
    <s v="Store Manager"/>
    <n v="29"/>
    <x v="2"/>
    <s v="High"/>
    <s v="Yes"/>
    <n v="109096"/>
    <n v="121776"/>
    <x v="2"/>
    <n v="44"/>
    <x v="0"/>
    <n v="7"/>
    <n v="14.95"/>
    <n v="12680"/>
    <n v="11.622790936422966"/>
    <s v="Expert"/>
    <s v="High Impact"/>
  </r>
  <r>
    <s v="E0211"/>
    <n v="48"/>
    <s v="Female"/>
    <s v="PhD"/>
    <x v="6"/>
    <s v="Doctor"/>
    <n v="26"/>
    <x v="2"/>
    <s v="Medium"/>
    <s v="Yes"/>
    <n v="110395"/>
    <n v="92777"/>
    <x v="1"/>
    <n v="35"/>
    <x v="0"/>
    <n v="8"/>
    <n v="14.93"/>
    <n v="-17618"/>
    <n v="-15.959056116671952"/>
    <s v="Expert"/>
    <s v="Medium Impact"/>
  </r>
  <r>
    <s v="E0746"/>
    <n v="31"/>
    <s v="Male"/>
    <s v="PhD"/>
    <x v="3"/>
    <s v="Accountant"/>
    <n v="8"/>
    <x v="2"/>
    <s v="Low"/>
    <s v="No"/>
    <n v="113384"/>
    <n v="131648"/>
    <x v="0"/>
    <n v="40"/>
    <x v="1"/>
    <n v="5"/>
    <n v="14.9"/>
    <n v="18264"/>
    <n v="16.108092852607069"/>
    <s v="Intermediate"/>
    <s v="Low Impact"/>
  </r>
  <r>
    <s v="E1110"/>
    <n v="48"/>
    <s v="Male"/>
    <s v="Bachelor"/>
    <x v="6"/>
    <s v="Nurse"/>
    <n v="26"/>
    <x v="2"/>
    <s v="High"/>
    <s v="Yes"/>
    <n v="113276"/>
    <n v="139427"/>
    <x v="2"/>
    <n v="39"/>
    <x v="0"/>
    <n v="4"/>
    <n v="14.89"/>
    <n v="26151"/>
    <n v="23.086090610544158"/>
    <s v="Expert"/>
    <s v="High Impact"/>
  </r>
  <r>
    <s v="E0853"/>
    <n v="38"/>
    <s v="Female"/>
    <s v="Master"/>
    <x v="5"/>
    <s v="Administrator"/>
    <n v="16"/>
    <x v="2"/>
    <s v="Low"/>
    <s v="No"/>
    <n v="83364"/>
    <n v="95222"/>
    <x v="0"/>
    <n v="45"/>
    <x v="1"/>
    <n v="7"/>
    <n v="14.89"/>
    <n v="11858"/>
    <n v="14.224365433520465"/>
    <s v="Expert"/>
    <s v="Low Impact"/>
  </r>
  <r>
    <s v="E1053"/>
    <n v="39"/>
    <s v="Female"/>
    <s v="Bachelor"/>
    <x v="1"/>
    <s v="Quality Inspector"/>
    <n v="13"/>
    <x v="2"/>
    <s v="High"/>
    <s v="No"/>
    <n v="107462"/>
    <n v="140979"/>
    <x v="1"/>
    <n v="35"/>
    <x v="0"/>
    <n v="3"/>
    <n v="14.88"/>
    <n v="33517"/>
    <n v="31.189629822634977"/>
    <s v="Intermediate"/>
    <s v="Medium Impact"/>
  </r>
  <r>
    <s v="E0940"/>
    <n v="39"/>
    <s v="Male"/>
    <s v="High School"/>
    <x v="2"/>
    <s v="Digital Marketer"/>
    <n v="14"/>
    <x v="1"/>
    <s v="Medium"/>
    <s v="Yes"/>
    <n v="92501"/>
    <n v="90534"/>
    <x v="1"/>
    <n v="43"/>
    <x v="1"/>
    <n v="8"/>
    <n v="14.87"/>
    <n v="-1967"/>
    <n v="-2.1264634976919168"/>
    <s v="Intermediate"/>
    <s v="Medium Impact"/>
  </r>
  <r>
    <s v="E0253"/>
    <n v="55"/>
    <s v="Male"/>
    <s v="Master"/>
    <x v="4"/>
    <s v="Sales Associate"/>
    <n v="33"/>
    <x v="0"/>
    <s v="Low"/>
    <s v="No"/>
    <n v="119393"/>
    <n v="130850"/>
    <x v="0"/>
    <n v="49"/>
    <x v="0"/>
    <n v="5"/>
    <n v="14.81"/>
    <n v="11457"/>
    <n v="9.5960399688423941"/>
    <s v="Expert"/>
    <s v="Low Impact"/>
  </r>
  <r>
    <s v="E1633"/>
    <n v="31"/>
    <s v="Other"/>
    <s v="PhD"/>
    <x v="4"/>
    <s v="Cashier"/>
    <n v="8"/>
    <x v="0"/>
    <s v="Low"/>
    <s v="Yes"/>
    <n v="76022"/>
    <n v="73024"/>
    <x v="0"/>
    <n v="41"/>
    <x v="0"/>
    <n v="3"/>
    <n v="14.8"/>
    <n v="-2998"/>
    <n v="-3.9435952750519587"/>
    <s v="Intermediate"/>
    <s v="Low Impact"/>
  </r>
  <r>
    <s v="E1071"/>
    <n v="31"/>
    <s v="Male"/>
    <s v="High School"/>
    <x v="5"/>
    <s v="Professor"/>
    <n v="7"/>
    <x v="1"/>
    <s v="High"/>
    <s v="No"/>
    <n v="104632"/>
    <n v="123869"/>
    <x v="0"/>
    <n v="46"/>
    <x v="0"/>
    <n v="5"/>
    <n v="14.79"/>
    <n v="19237"/>
    <n v="18.385388791191986"/>
    <s v="Intermediate"/>
    <s v="Low Impact"/>
  </r>
  <r>
    <s v="E1347"/>
    <n v="42"/>
    <s v="Female"/>
    <s v="Master"/>
    <x v="3"/>
    <s v="Auditor"/>
    <n v="19"/>
    <x v="1"/>
    <s v="Low"/>
    <s v="No"/>
    <n v="43882"/>
    <n v="49064"/>
    <x v="0"/>
    <n v="50"/>
    <x v="0"/>
    <n v="6"/>
    <n v="14.79"/>
    <n v="5182"/>
    <n v="11.808942163073697"/>
    <s v="Expert"/>
    <s v="Low Impact"/>
  </r>
  <r>
    <s v="E0770"/>
    <n v="53"/>
    <s v="Male"/>
    <s v="Master"/>
    <x v="0"/>
    <s v="DevOps Engineer"/>
    <n v="31"/>
    <x v="2"/>
    <s v="Medium"/>
    <s v="No"/>
    <n v="60951"/>
    <n v="72640"/>
    <x v="1"/>
    <n v="38"/>
    <x v="0"/>
    <n v="8"/>
    <n v="14.78"/>
    <n v="11689"/>
    <n v="19.177700119768339"/>
    <s v="Expert"/>
    <s v="Medium Impact"/>
  </r>
  <r>
    <s v="E1956"/>
    <n v="59"/>
    <s v="Male"/>
    <s v="High School"/>
    <x v="4"/>
    <s v="Cashier"/>
    <n v="37"/>
    <x v="0"/>
    <s v="Medium"/>
    <s v="Yes"/>
    <n v="42270"/>
    <n v="46389"/>
    <x v="1"/>
    <n v="41"/>
    <x v="0"/>
    <n v="9"/>
    <n v="14.78"/>
    <n v="4119"/>
    <n v="9.7444996451383972"/>
    <s v="Expert"/>
    <s v="Medium Impact"/>
  </r>
  <r>
    <s v="E0791"/>
    <n v="52"/>
    <s v="Male"/>
    <s v="PhD"/>
    <x v="2"/>
    <s v="Content Creator"/>
    <n v="29"/>
    <x v="0"/>
    <s v="High"/>
    <s v="No"/>
    <n v="77645"/>
    <n v="82089"/>
    <x v="0"/>
    <n v="54"/>
    <x v="1"/>
    <n v="7"/>
    <n v="14.74"/>
    <n v="4444"/>
    <n v="5.7234850924077536"/>
    <s v="Expert"/>
    <s v="Low Impact"/>
  </r>
  <r>
    <s v="E0049"/>
    <n v="33"/>
    <s v="Female"/>
    <s v="PhD"/>
    <x v="4"/>
    <s v="Store Manager"/>
    <n v="9"/>
    <x v="0"/>
    <s v="High"/>
    <s v="Yes"/>
    <n v="85766"/>
    <n v="81832"/>
    <x v="0"/>
    <n v="53"/>
    <x v="0"/>
    <n v="3"/>
    <n v="14.73"/>
    <n v="-3934"/>
    <n v="-4.5868992374600657"/>
    <s v="Intermediate"/>
    <s v="Low Impact"/>
  </r>
  <r>
    <s v="E1335"/>
    <n v="29"/>
    <s v="Female"/>
    <s v="PhD"/>
    <x v="6"/>
    <s v="Doctor"/>
    <n v="5"/>
    <x v="2"/>
    <s v="Low"/>
    <s v="No"/>
    <n v="30209"/>
    <n v="33549"/>
    <x v="0"/>
    <n v="35"/>
    <x v="0"/>
    <n v="7"/>
    <n v="14.67"/>
    <n v="3340"/>
    <n v="11.056307722864048"/>
    <s v="Intermediate"/>
    <s v="Low Impact"/>
  </r>
  <r>
    <s v="E0787"/>
    <n v="46"/>
    <s v="Other"/>
    <s v="Bachelor"/>
    <x v="3"/>
    <s v="Auditor"/>
    <n v="20"/>
    <x v="0"/>
    <s v="High"/>
    <s v="No"/>
    <n v="91360"/>
    <n v="98600"/>
    <x v="0"/>
    <n v="50"/>
    <x v="1"/>
    <n v="4"/>
    <n v="14.63"/>
    <n v="7240"/>
    <n v="7.9246935201401056"/>
    <s v="Expert"/>
    <s v="Low Impact"/>
  </r>
  <r>
    <s v="E0413"/>
    <n v="33"/>
    <s v="Male"/>
    <s v="High School"/>
    <x v="5"/>
    <s v="Professor"/>
    <n v="9"/>
    <x v="2"/>
    <s v="Low"/>
    <s v="Yes"/>
    <n v="32282"/>
    <n v="35239"/>
    <x v="0"/>
    <n v="39"/>
    <x v="1"/>
    <n v="7"/>
    <n v="14.63"/>
    <n v="2957"/>
    <n v="9.1599033517130302"/>
    <s v="Intermediate"/>
    <s v="Low Impact"/>
  </r>
  <r>
    <s v="E1995"/>
    <n v="38"/>
    <s v="Male"/>
    <s v="Master"/>
    <x v="4"/>
    <s v="Store Manager"/>
    <n v="13"/>
    <x v="2"/>
    <s v="Low"/>
    <s v="Yes"/>
    <n v="118078"/>
    <n v="133969"/>
    <x v="0"/>
    <n v="38"/>
    <x v="1"/>
    <n v="5"/>
    <n v="14.61"/>
    <n v="15891"/>
    <n v="13.458053151306762"/>
    <s v="Intermediate"/>
    <s v="Low Impact"/>
  </r>
  <r>
    <s v="E0593"/>
    <n v="59"/>
    <s v="Female"/>
    <s v="PhD"/>
    <x v="6"/>
    <s v="Nurse"/>
    <n v="36"/>
    <x v="2"/>
    <s v="Medium"/>
    <s v="Yes"/>
    <n v="111159"/>
    <n v="105534"/>
    <x v="1"/>
    <n v="40"/>
    <x v="1"/>
    <n v="5"/>
    <n v="14.6"/>
    <n v="-5625"/>
    <n v="-5.0603190025099183"/>
    <s v="Expert"/>
    <s v="Medium Impact"/>
  </r>
  <r>
    <s v="E1834"/>
    <n v="40"/>
    <s v="Other"/>
    <s v="Master"/>
    <x v="2"/>
    <s v="SEO Specialist"/>
    <n v="14"/>
    <x v="2"/>
    <s v="Medium"/>
    <s v="No"/>
    <n v="93853"/>
    <n v="97714"/>
    <x v="1"/>
    <n v="41"/>
    <x v="0"/>
    <n v="6"/>
    <n v="14.54"/>
    <n v="3861"/>
    <n v="4.1138802169349935"/>
    <s v="Intermediate"/>
    <s v="Medium Impact"/>
  </r>
  <r>
    <s v="E1690"/>
    <n v="29"/>
    <s v="Female"/>
    <s v="High School"/>
    <x v="3"/>
    <s v="Investment Analyst"/>
    <n v="3"/>
    <x v="0"/>
    <s v="Low"/>
    <s v="Yes"/>
    <n v="105351"/>
    <n v="108849"/>
    <x v="0"/>
    <n v="50"/>
    <x v="0"/>
    <n v="6"/>
    <n v="14.52"/>
    <n v="3498"/>
    <n v="3.3203291852948715"/>
    <s v="Beginner"/>
    <s v="Low Impact"/>
  </r>
  <r>
    <s v="E1708"/>
    <n v="40"/>
    <s v="Female"/>
    <s v="High School"/>
    <x v="6"/>
    <s v="Nurse"/>
    <n v="14"/>
    <x v="2"/>
    <s v="High"/>
    <s v="No"/>
    <n v="90531"/>
    <n v="120342"/>
    <x v="1"/>
    <n v="50"/>
    <x v="1"/>
    <n v="3"/>
    <n v="14.49"/>
    <n v="29811"/>
    <n v="32.929051926964242"/>
    <s v="Intermediate"/>
    <s v="Medium Impact"/>
  </r>
  <r>
    <s v="E1712"/>
    <n v="49"/>
    <s v="Other"/>
    <s v="PhD"/>
    <x v="0"/>
    <s v="DevOps Engineer"/>
    <n v="27"/>
    <x v="2"/>
    <s v="High"/>
    <s v="No"/>
    <n v="57289"/>
    <n v="47747"/>
    <x v="1"/>
    <n v="49"/>
    <x v="1"/>
    <n v="9"/>
    <n v="14.44"/>
    <n v="-9542"/>
    <n v="-16.655902529281363"/>
    <s v="Expert"/>
    <s v="Medium Impact"/>
  </r>
  <r>
    <s v="E0785"/>
    <n v="32"/>
    <s v="Other"/>
    <s v="High School"/>
    <x v="1"/>
    <s v="Machine Operator"/>
    <n v="9"/>
    <x v="0"/>
    <s v="Low"/>
    <s v="No"/>
    <n v="59863"/>
    <n v="58024"/>
    <x v="0"/>
    <n v="35"/>
    <x v="1"/>
    <n v="5"/>
    <n v="14.43"/>
    <n v="-1839"/>
    <n v="-3.0720144329552479"/>
    <s v="Intermediate"/>
    <s v="Low Impact"/>
  </r>
  <r>
    <s v="E0133"/>
    <n v="50"/>
    <s v="Male"/>
    <s v="Bachelor"/>
    <x v="3"/>
    <s v="Investment Analyst"/>
    <n v="28"/>
    <x v="1"/>
    <s v="Medium"/>
    <s v="Yes"/>
    <n v="89379"/>
    <n v="100322"/>
    <x v="1"/>
    <n v="40"/>
    <x v="0"/>
    <n v="3"/>
    <n v="14.39"/>
    <n v="10943"/>
    <n v="12.243368128978844"/>
    <s v="Expert"/>
    <s v="Medium Impact"/>
  </r>
  <r>
    <s v="E0977"/>
    <n v="23"/>
    <s v="Female"/>
    <s v="Bachelor"/>
    <x v="0"/>
    <s v="Data Analyst"/>
    <n v="0"/>
    <x v="2"/>
    <s v="High"/>
    <s v="No"/>
    <n v="33749"/>
    <n v="37144"/>
    <x v="1"/>
    <n v="40"/>
    <x v="1"/>
    <n v="8"/>
    <n v="14.37"/>
    <n v="3395"/>
    <n v="10.059557320216896"/>
    <s v="Beginner"/>
    <s v="Medium Impact"/>
  </r>
  <r>
    <s v="E1314"/>
    <n v="51"/>
    <s v="Other"/>
    <s v="Bachelor"/>
    <x v="6"/>
    <s v="Nurse"/>
    <n v="26"/>
    <x v="0"/>
    <s v="Low"/>
    <s v="No"/>
    <n v="108210"/>
    <n v="104508"/>
    <x v="0"/>
    <n v="38"/>
    <x v="0"/>
    <n v="3"/>
    <n v="14.36"/>
    <n v="-3702"/>
    <n v="-3.421125589132243"/>
    <s v="Expert"/>
    <s v="Low Impact"/>
  </r>
  <r>
    <s v="E0731"/>
    <n v="56"/>
    <s v="Female"/>
    <s v="High School"/>
    <x v="3"/>
    <s v="Accountant"/>
    <n v="30"/>
    <x v="2"/>
    <s v="Low"/>
    <s v="No"/>
    <n v="35594"/>
    <n v="31028"/>
    <x v="0"/>
    <n v="54"/>
    <x v="0"/>
    <n v="3"/>
    <n v="14.36"/>
    <n v="-4566"/>
    <n v="-12.828004719896613"/>
    <s v="Expert"/>
    <s v="Low Impact"/>
  </r>
  <r>
    <s v="E1287"/>
    <n v="30"/>
    <s v="Female"/>
    <s v="Bachelor"/>
    <x v="1"/>
    <s v="Quality Inspector"/>
    <n v="7"/>
    <x v="2"/>
    <s v="Low"/>
    <s v="Yes"/>
    <n v="61568"/>
    <n v="74766"/>
    <x v="0"/>
    <n v="39"/>
    <x v="1"/>
    <n v="5"/>
    <n v="14.34"/>
    <n v="13198"/>
    <n v="21.4364604989605"/>
    <s v="Intermediate"/>
    <s v="Low Impact"/>
  </r>
  <r>
    <s v="E1461"/>
    <n v="29"/>
    <s v="Other"/>
    <s v="Master"/>
    <x v="0"/>
    <s v="Data Analyst"/>
    <n v="5"/>
    <x v="2"/>
    <s v="Low"/>
    <s v="No"/>
    <n v="82136"/>
    <n v="73094"/>
    <x v="0"/>
    <n v="48"/>
    <x v="0"/>
    <n v="6"/>
    <n v="14.31"/>
    <n v="-9042"/>
    <n v="-11.008571150287329"/>
    <s v="Intermediate"/>
    <s v="Low Impact"/>
  </r>
  <r>
    <s v="E1848"/>
    <n v="48"/>
    <s v="Male"/>
    <s v="High School"/>
    <x v="5"/>
    <s v="Professor"/>
    <n v="26"/>
    <x v="2"/>
    <s v="Low"/>
    <s v="Yes"/>
    <n v="33491"/>
    <n v="32128"/>
    <x v="0"/>
    <n v="35"/>
    <x v="1"/>
    <n v="3"/>
    <n v="14.31"/>
    <n v="-1363"/>
    <n v="-4.0697500821116126"/>
    <s v="Expert"/>
    <s v="Low Impact"/>
  </r>
  <r>
    <s v="E0759"/>
    <n v="35"/>
    <s v="Other"/>
    <s v="Bachelor"/>
    <x v="2"/>
    <s v="SEO Specialist"/>
    <n v="10"/>
    <x v="1"/>
    <s v="High"/>
    <s v="Yes"/>
    <n v="108002"/>
    <n v="117473"/>
    <x v="0"/>
    <n v="47"/>
    <x v="0"/>
    <n v="8"/>
    <n v="14.3"/>
    <n v="9471"/>
    <n v="8.7692820503324018"/>
    <s v="Intermediate"/>
    <s v="Low Impact"/>
  </r>
  <r>
    <s v="E0630"/>
    <n v="55"/>
    <s v="Male"/>
    <s v="PhD"/>
    <x v="5"/>
    <s v="Administrator"/>
    <n v="29"/>
    <x v="1"/>
    <s v="High"/>
    <s v="Yes"/>
    <n v="93909"/>
    <n v="111843"/>
    <x v="0"/>
    <n v="40"/>
    <x v="1"/>
    <n v="8"/>
    <n v="14.28"/>
    <n v="17934"/>
    <n v="19.09721112992365"/>
    <s v="Expert"/>
    <s v="Low Impact"/>
  </r>
  <r>
    <s v="E0930"/>
    <n v="23"/>
    <s v="Male"/>
    <s v="PhD"/>
    <x v="5"/>
    <s v="Professor"/>
    <n v="0"/>
    <x v="0"/>
    <s v="High"/>
    <s v="Yes"/>
    <n v="52738"/>
    <n v="55478"/>
    <x v="0"/>
    <n v="44"/>
    <x v="0"/>
    <n v="4"/>
    <n v="14.21"/>
    <n v="2740"/>
    <n v="5.1954947096969928"/>
    <s v="Beginner"/>
    <s v="Low Impact"/>
  </r>
  <r>
    <s v="E0859"/>
    <n v="24"/>
    <s v="Other"/>
    <s v="PhD"/>
    <x v="3"/>
    <s v="Accountant"/>
    <n v="1"/>
    <x v="0"/>
    <s v="High"/>
    <s v="Yes"/>
    <n v="93456"/>
    <n v="101533"/>
    <x v="0"/>
    <n v="35"/>
    <x v="1"/>
    <n v="6"/>
    <n v="14.14"/>
    <n v="8077"/>
    <n v="8.6425697654511211"/>
    <s v="Beginner"/>
    <s v="Low Impact"/>
  </r>
  <r>
    <s v="E0955"/>
    <n v="41"/>
    <s v="Male"/>
    <s v="High School"/>
    <x v="6"/>
    <s v="Technician"/>
    <n v="15"/>
    <x v="1"/>
    <s v="High"/>
    <s v="Yes"/>
    <n v="40024"/>
    <n v="37275"/>
    <x v="0"/>
    <n v="47"/>
    <x v="0"/>
    <n v="4"/>
    <n v="14.14"/>
    <n v="-2749"/>
    <n v="-6.8683789726164308"/>
    <s v="Expert"/>
    <s v="Low Impact"/>
  </r>
  <r>
    <s v="E1365"/>
    <n v="43"/>
    <s v="Other"/>
    <s v="Master"/>
    <x v="3"/>
    <s v="Investment Analyst"/>
    <n v="21"/>
    <x v="2"/>
    <s v="High"/>
    <s v="No"/>
    <n v="91821"/>
    <n v="121337"/>
    <x v="2"/>
    <n v="47"/>
    <x v="1"/>
    <n v="5"/>
    <n v="14.1"/>
    <n v="29516"/>
    <n v="32.145151980483767"/>
    <s v="Expert"/>
    <s v="High Impact"/>
  </r>
  <r>
    <s v="E1810"/>
    <n v="55"/>
    <s v="Other"/>
    <s v="Master"/>
    <x v="6"/>
    <s v="Doctor"/>
    <n v="31"/>
    <x v="2"/>
    <s v="Medium"/>
    <s v="Yes"/>
    <n v="59022"/>
    <n v="76178"/>
    <x v="1"/>
    <n v="45"/>
    <x v="0"/>
    <n v="4"/>
    <n v="14.07"/>
    <n v="17156"/>
    <n v="29.067127511775269"/>
    <s v="Expert"/>
    <s v="Medium Impact"/>
  </r>
  <r>
    <s v="E1425"/>
    <n v="37"/>
    <s v="Female"/>
    <s v="PhD"/>
    <x v="2"/>
    <s v="Content Creator"/>
    <n v="11"/>
    <x v="2"/>
    <s v="Medium"/>
    <s v="No"/>
    <n v="36044"/>
    <n v="43735"/>
    <x v="1"/>
    <n v="40"/>
    <x v="0"/>
    <n v="5"/>
    <n v="14.02"/>
    <n v="7691"/>
    <n v="21.337809344134946"/>
    <s v="Intermediate"/>
    <s v="Medium Impact"/>
  </r>
  <r>
    <s v="E0294"/>
    <n v="27"/>
    <s v="Female"/>
    <s v="High School"/>
    <x v="3"/>
    <s v="Auditor"/>
    <n v="3"/>
    <x v="0"/>
    <s v="Medium"/>
    <s v="Yes"/>
    <n v="95450"/>
    <n v="98904"/>
    <x v="1"/>
    <n v="54"/>
    <x v="1"/>
    <n v="4"/>
    <n v="13.99"/>
    <n v="3454"/>
    <n v="3.6186485070717653"/>
    <s v="Beginner"/>
    <s v="Medium Impact"/>
  </r>
  <r>
    <s v="E1209"/>
    <n v="35"/>
    <s v="Male"/>
    <s v="High School"/>
    <x v="0"/>
    <s v="Data Analyst"/>
    <n v="9"/>
    <x v="1"/>
    <s v="Low"/>
    <s v="No"/>
    <n v="84639"/>
    <n v="77367"/>
    <x v="0"/>
    <n v="51"/>
    <x v="1"/>
    <n v="8"/>
    <n v="13.98"/>
    <n v="-7272"/>
    <n v="-8.59178392939425"/>
    <s v="Intermediate"/>
    <s v="Low Impact"/>
  </r>
  <r>
    <s v="E0171"/>
    <n v="57"/>
    <s v="Other"/>
    <s v="PhD"/>
    <x v="4"/>
    <s v="Cashier"/>
    <n v="35"/>
    <x v="2"/>
    <s v="High"/>
    <s v="No"/>
    <n v="54762"/>
    <n v="53572"/>
    <x v="1"/>
    <n v="36"/>
    <x v="0"/>
    <n v="9"/>
    <n v="13.98"/>
    <n v="-1190"/>
    <n v="-2.1730396990613929"/>
    <s v="Expert"/>
    <s v="Medium Impact"/>
  </r>
  <r>
    <s v="E1717"/>
    <n v="46"/>
    <s v="Female"/>
    <s v="Bachelor"/>
    <x v="3"/>
    <s v="Investment Analyst"/>
    <n v="21"/>
    <x v="2"/>
    <s v="Low"/>
    <s v="Yes"/>
    <n v="116173"/>
    <n v="122414"/>
    <x v="0"/>
    <n v="39"/>
    <x v="1"/>
    <n v="5"/>
    <n v="13.95"/>
    <n v="6241"/>
    <n v="5.3721604847942288"/>
    <s v="Expert"/>
    <s v="Low Impact"/>
  </r>
  <r>
    <s v="E0749"/>
    <n v="45"/>
    <s v="Other"/>
    <s v="PhD"/>
    <x v="6"/>
    <s v="Nurse"/>
    <n v="21"/>
    <x v="2"/>
    <s v="Low"/>
    <s v="No"/>
    <n v="38947"/>
    <n v="33010"/>
    <x v="0"/>
    <n v="48"/>
    <x v="0"/>
    <n v="3"/>
    <n v="13.95"/>
    <n v="-5937"/>
    <n v="-15.243792846689091"/>
    <s v="Expert"/>
    <s v="Low Impact"/>
  </r>
  <r>
    <s v="E0686"/>
    <n v="51"/>
    <s v="Female"/>
    <s v="Bachelor"/>
    <x v="5"/>
    <s v="Teacher"/>
    <n v="29"/>
    <x v="1"/>
    <s v="High"/>
    <s v="No"/>
    <n v="65739"/>
    <n v="61738"/>
    <x v="0"/>
    <n v="49"/>
    <x v="0"/>
    <n v="3"/>
    <n v="13.93"/>
    <n v="-4001"/>
    <n v="-6.0861893244497178"/>
    <s v="Expert"/>
    <s v="Low Impact"/>
  </r>
  <r>
    <s v="E1731"/>
    <n v="48"/>
    <s v="Female"/>
    <s v="High School"/>
    <x v="5"/>
    <s v="Administrator"/>
    <n v="25"/>
    <x v="1"/>
    <s v="High"/>
    <s v="No"/>
    <n v="38983"/>
    <n v="40836"/>
    <x v="0"/>
    <n v="47"/>
    <x v="1"/>
    <n v="4"/>
    <n v="13.93"/>
    <n v="1853"/>
    <n v="4.7533540261139473"/>
    <s v="Expert"/>
    <s v="Low Impact"/>
  </r>
  <r>
    <s v="E0459"/>
    <n v="58"/>
    <s v="Female"/>
    <s v="Master"/>
    <x v="4"/>
    <s v="Store Manager"/>
    <n v="36"/>
    <x v="1"/>
    <s v="Low"/>
    <s v="No"/>
    <n v="62441"/>
    <n v="56989"/>
    <x v="0"/>
    <n v="44"/>
    <x v="1"/>
    <n v="9"/>
    <n v="13.88"/>
    <n v="-5452"/>
    <n v="-8.731442481702727"/>
    <s v="Expert"/>
    <s v="Low Impact"/>
  </r>
  <r>
    <s v="E0302"/>
    <n v="23"/>
    <s v="Other"/>
    <s v="High School"/>
    <x v="4"/>
    <s v="Store Manager"/>
    <n v="0"/>
    <x v="0"/>
    <s v="High"/>
    <s v="No"/>
    <n v="102146"/>
    <n v="102960"/>
    <x v="0"/>
    <n v="36"/>
    <x v="0"/>
    <n v="4"/>
    <n v="13.87"/>
    <n v="814"/>
    <n v="0.79689855696747791"/>
    <s v="Beginner"/>
    <s v="Low Impact"/>
  </r>
  <r>
    <s v="E1181"/>
    <n v="44"/>
    <s v="Female"/>
    <s v="High School"/>
    <x v="6"/>
    <s v="Nurse"/>
    <n v="22"/>
    <x v="0"/>
    <s v="Medium"/>
    <s v="Yes"/>
    <n v="69291"/>
    <n v="74784"/>
    <x v="1"/>
    <n v="41"/>
    <x v="0"/>
    <n v="7"/>
    <n v="13.86"/>
    <n v="5493"/>
    <n v="7.9274364636099923"/>
    <s v="Expert"/>
    <s v="Medium Impact"/>
  </r>
  <r>
    <s v="E1257"/>
    <n v="25"/>
    <s v="Other"/>
    <s v="Bachelor"/>
    <x v="6"/>
    <s v="Doctor"/>
    <n v="3"/>
    <x v="0"/>
    <s v="Medium"/>
    <s v="No"/>
    <n v="72029"/>
    <n v="72135"/>
    <x v="1"/>
    <n v="35"/>
    <x v="1"/>
    <n v="7"/>
    <n v="13.7"/>
    <n v="106"/>
    <n v="0.14716294825695206"/>
    <s v="Beginner"/>
    <s v="Medium Impact"/>
  </r>
  <r>
    <s v="E0358"/>
    <n v="25"/>
    <s v="Male"/>
    <s v="Bachelor"/>
    <x v="4"/>
    <s v="Store Manager"/>
    <n v="2"/>
    <x v="0"/>
    <s v="High"/>
    <s v="Yes"/>
    <n v="45352"/>
    <n v="48870"/>
    <x v="0"/>
    <n v="51"/>
    <x v="0"/>
    <n v="7"/>
    <n v="13.67"/>
    <n v="3518"/>
    <n v="7.7571000176397948"/>
    <s v="Beginner"/>
    <s v="Low Impact"/>
  </r>
  <r>
    <s v="E1363"/>
    <n v="33"/>
    <s v="Male"/>
    <s v="Master"/>
    <x v="1"/>
    <s v="Machine Operator"/>
    <n v="9"/>
    <x v="1"/>
    <s v="High"/>
    <s v="Yes"/>
    <n v="97850"/>
    <n v="97926"/>
    <x v="0"/>
    <n v="50"/>
    <x v="0"/>
    <n v="6"/>
    <n v="13.64"/>
    <n v="76"/>
    <n v="7.7669902912621366E-2"/>
    <s v="Intermediate"/>
    <s v="Low Impact"/>
  </r>
  <r>
    <s v="E0384"/>
    <n v="39"/>
    <s v="Other"/>
    <s v="Master"/>
    <x v="4"/>
    <s v="Store Manager"/>
    <n v="15"/>
    <x v="0"/>
    <s v="Medium"/>
    <s v="Yes"/>
    <n v="116661"/>
    <n v="122565"/>
    <x v="1"/>
    <n v="36"/>
    <x v="1"/>
    <n v="8"/>
    <n v="13.63"/>
    <n v="5904"/>
    <n v="5.0608172396944999"/>
    <s v="Expert"/>
    <s v="Medium Impact"/>
  </r>
  <r>
    <s v="E1250"/>
    <n v="46"/>
    <s v="Other"/>
    <s v="High School"/>
    <x v="3"/>
    <s v="Auditor"/>
    <n v="24"/>
    <x v="0"/>
    <s v="High"/>
    <s v="Yes"/>
    <n v="59381"/>
    <n v="61801"/>
    <x v="0"/>
    <n v="52"/>
    <x v="1"/>
    <n v="8"/>
    <n v="13.59"/>
    <n v="2420"/>
    <n v="4.0753776460483992"/>
    <s v="Expert"/>
    <s v="Low Impact"/>
  </r>
  <r>
    <s v="E0750"/>
    <n v="39"/>
    <s v="Male"/>
    <s v="Master"/>
    <x v="6"/>
    <s v="Technician"/>
    <n v="14"/>
    <x v="1"/>
    <s v="Low"/>
    <s v="No"/>
    <n v="30507"/>
    <n v="35498"/>
    <x v="0"/>
    <n v="38"/>
    <x v="0"/>
    <n v="7"/>
    <n v="13.5"/>
    <n v="4991"/>
    <n v="16.360179630904383"/>
    <s v="Intermediate"/>
    <s v="Low Impact"/>
  </r>
  <r>
    <s v="E1828"/>
    <n v="30"/>
    <s v="Female"/>
    <s v="Bachelor"/>
    <x v="1"/>
    <s v="Machine Operator"/>
    <n v="8"/>
    <x v="1"/>
    <s v="Medium"/>
    <s v="Yes"/>
    <n v="97136"/>
    <n v="96814"/>
    <x v="1"/>
    <n v="40"/>
    <x v="1"/>
    <n v="6"/>
    <n v="13.47"/>
    <n v="-322"/>
    <n v="-0.33149398781090433"/>
    <s v="Intermediate"/>
    <s v="Medium Impact"/>
  </r>
  <r>
    <s v="E1592"/>
    <n v="26"/>
    <s v="Male"/>
    <s v="High School"/>
    <x v="5"/>
    <s v="Administrator"/>
    <n v="4"/>
    <x v="2"/>
    <s v="Medium"/>
    <s v="Yes"/>
    <n v="52320"/>
    <n v="49392"/>
    <x v="1"/>
    <n v="40"/>
    <x v="0"/>
    <n v="4"/>
    <n v="13.42"/>
    <n v="-2928"/>
    <n v="-5.5963302752293584"/>
    <s v="Beginner"/>
    <s v="Medium Impact"/>
  </r>
  <r>
    <s v="E1652"/>
    <n v="42"/>
    <s v="Male"/>
    <s v="High School"/>
    <x v="0"/>
    <s v="Software Engineer"/>
    <n v="16"/>
    <x v="0"/>
    <s v="Low"/>
    <s v="No"/>
    <n v="93226"/>
    <n v="98857"/>
    <x v="0"/>
    <n v="46"/>
    <x v="1"/>
    <n v="3"/>
    <n v="13.41"/>
    <n v="5631"/>
    <n v="6.0401604702550795"/>
    <s v="Expert"/>
    <s v="Low Impact"/>
  </r>
  <r>
    <s v="E0566"/>
    <n v="40"/>
    <s v="Male"/>
    <s v="PhD"/>
    <x v="6"/>
    <s v="Technician"/>
    <n v="15"/>
    <x v="1"/>
    <s v="High"/>
    <s v="No"/>
    <n v="84935"/>
    <n v="92145"/>
    <x v="0"/>
    <n v="49"/>
    <x v="0"/>
    <n v="3"/>
    <n v="13.41"/>
    <n v="7210"/>
    <n v="8.4888444104315059"/>
    <s v="Expert"/>
    <s v="Low Impact"/>
  </r>
  <r>
    <s v="E0642"/>
    <n v="32"/>
    <s v="Male"/>
    <s v="High School"/>
    <x v="6"/>
    <s v="Technician"/>
    <n v="8"/>
    <x v="1"/>
    <s v="Low"/>
    <s v="No"/>
    <n v="52800"/>
    <n v="50858"/>
    <x v="0"/>
    <n v="42"/>
    <x v="0"/>
    <n v="9"/>
    <n v="13.39"/>
    <n v="-1942"/>
    <n v="-3.6780303030303032"/>
    <s v="Intermediate"/>
    <s v="Low Impact"/>
  </r>
  <r>
    <s v="E1804"/>
    <n v="59"/>
    <s v="Other"/>
    <s v="Master"/>
    <x v="4"/>
    <s v="Store Manager"/>
    <n v="34"/>
    <x v="2"/>
    <s v="Low"/>
    <s v="No"/>
    <n v="49547"/>
    <n v="68491"/>
    <x v="0"/>
    <n v="49"/>
    <x v="1"/>
    <n v="6"/>
    <n v="13.3"/>
    <n v="18944"/>
    <n v="38.234403697499339"/>
    <s v="Expert"/>
    <s v="Low Impact"/>
  </r>
  <r>
    <s v="E0099"/>
    <n v="55"/>
    <s v="Female"/>
    <s v="Master"/>
    <x v="4"/>
    <s v="Store Manager"/>
    <n v="32"/>
    <x v="0"/>
    <s v="Low"/>
    <s v="No"/>
    <n v="85393"/>
    <n v="89278"/>
    <x v="0"/>
    <n v="53"/>
    <x v="1"/>
    <n v="9"/>
    <n v="13.29"/>
    <n v="3885"/>
    <n v="4.5495532420690221"/>
    <s v="Expert"/>
    <s v="Low Impact"/>
  </r>
  <r>
    <s v="E0451"/>
    <n v="44"/>
    <s v="Male"/>
    <s v="High School"/>
    <x v="3"/>
    <s v="Auditor"/>
    <n v="21"/>
    <x v="2"/>
    <s v="High"/>
    <s v="No"/>
    <n v="110905"/>
    <n v="143384"/>
    <x v="1"/>
    <n v="54"/>
    <x v="1"/>
    <n v="4"/>
    <n v="13.28"/>
    <n v="32479"/>
    <n v="29.285424462377712"/>
    <s v="Expert"/>
    <s v="Medium Impact"/>
  </r>
  <r>
    <s v="E0724"/>
    <n v="54"/>
    <s v="Female"/>
    <s v="PhD"/>
    <x v="1"/>
    <s v="Supervisor"/>
    <n v="28"/>
    <x v="1"/>
    <s v="Low"/>
    <s v="Yes"/>
    <n v="70222"/>
    <n v="69998"/>
    <x v="0"/>
    <n v="48"/>
    <x v="1"/>
    <n v="8"/>
    <n v="13.26"/>
    <n v="-224"/>
    <n v="-0.31898835122895958"/>
    <s v="Expert"/>
    <s v="Low Impact"/>
  </r>
  <r>
    <s v="E1291"/>
    <n v="25"/>
    <s v="Male"/>
    <s v="High School"/>
    <x v="0"/>
    <s v="Data Analyst"/>
    <n v="2"/>
    <x v="1"/>
    <s v="High"/>
    <s v="No"/>
    <n v="44260"/>
    <n v="41805"/>
    <x v="0"/>
    <n v="49"/>
    <x v="1"/>
    <n v="3"/>
    <n v="13.26"/>
    <n v="-2455"/>
    <n v="-5.546769091730682"/>
    <s v="Beginner"/>
    <s v="Low Impact"/>
  </r>
  <r>
    <s v="E1505"/>
    <n v="40"/>
    <s v="Female"/>
    <s v="High School"/>
    <x v="2"/>
    <s v="Digital Marketer"/>
    <n v="16"/>
    <x v="1"/>
    <s v="High"/>
    <s v="Yes"/>
    <n v="80100"/>
    <n v="84056"/>
    <x v="0"/>
    <n v="44"/>
    <x v="1"/>
    <n v="5"/>
    <n v="13.25"/>
    <n v="3956"/>
    <n v="4.9388264669163542"/>
    <s v="Expert"/>
    <s v="Low Impact"/>
  </r>
  <r>
    <s v="E1341"/>
    <n v="48"/>
    <s v="Other"/>
    <s v="PhD"/>
    <x v="0"/>
    <s v="Data Analyst"/>
    <n v="23"/>
    <x v="1"/>
    <s v="High"/>
    <s v="No"/>
    <n v="74518"/>
    <n v="67760"/>
    <x v="0"/>
    <n v="38"/>
    <x v="0"/>
    <n v="8"/>
    <n v="13.25"/>
    <n v="-6758"/>
    <n v="-9.0689497839448183"/>
    <s v="Expert"/>
    <s v="Low Impact"/>
  </r>
  <r>
    <s v="E0026"/>
    <n v="23"/>
    <s v="Female"/>
    <s v="Master"/>
    <x v="4"/>
    <s v="Sales Associate"/>
    <n v="0"/>
    <x v="0"/>
    <s v="High"/>
    <s v="No"/>
    <n v="80859"/>
    <n v="82247"/>
    <x v="0"/>
    <n v="38"/>
    <x v="1"/>
    <n v="9"/>
    <n v="13.17"/>
    <n v="1388"/>
    <n v="1.7165683473701134"/>
    <s v="Beginner"/>
    <s v="Low Impact"/>
  </r>
  <r>
    <s v="E1120"/>
    <n v="33"/>
    <s v="Female"/>
    <s v="High School"/>
    <x v="6"/>
    <s v="Nurse"/>
    <n v="7"/>
    <x v="1"/>
    <s v="Low"/>
    <s v="Yes"/>
    <n v="63349"/>
    <n v="67697"/>
    <x v="0"/>
    <n v="43"/>
    <x v="1"/>
    <n v="4"/>
    <n v="13.16"/>
    <n v="4348"/>
    <n v="6.8635653285766152"/>
    <s v="Intermediate"/>
    <s v="Low Impact"/>
  </r>
  <r>
    <s v="E0978"/>
    <n v="46"/>
    <s v="Female"/>
    <s v="PhD"/>
    <x v="6"/>
    <s v="Doctor"/>
    <n v="22"/>
    <x v="2"/>
    <s v="High"/>
    <s v="No"/>
    <n v="34551"/>
    <n v="32682"/>
    <x v="1"/>
    <n v="40"/>
    <x v="0"/>
    <n v="7"/>
    <n v="13.03"/>
    <n v="-1869"/>
    <n v="-5.4093948076756098"/>
    <s v="Expert"/>
    <s v="Medium Impact"/>
  </r>
  <r>
    <s v="E0274"/>
    <n v="57"/>
    <s v="Male"/>
    <s v="Bachelor"/>
    <x v="5"/>
    <s v="Administrator"/>
    <n v="32"/>
    <x v="0"/>
    <s v="Low"/>
    <s v="Yes"/>
    <n v="42149"/>
    <n v="45137"/>
    <x v="0"/>
    <n v="47"/>
    <x v="0"/>
    <n v="4"/>
    <n v="13.01"/>
    <n v="2988"/>
    <n v="7.089136159813993"/>
    <s v="Expert"/>
    <s v="Low Impact"/>
  </r>
  <r>
    <s v="E1114"/>
    <n v="48"/>
    <s v="Other"/>
    <s v="High School"/>
    <x v="4"/>
    <s v="Sales Associate"/>
    <n v="23"/>
    <x v="1"/>
    <s v="High"/>
    <s v="No"/>
    <n v="101017"/>
    <n v="104260"/>
    <x v="0"/>
    <n v="52"/>
    <x v="0"/>
    <n v="6"/>
    <n v="12.93"/>
    <n v="3243"/>
    <n v="3.2103507330449332"/>
    <s v="Expert"/>
    <s v="Low Impact"/>
  </r>
  <r>
    <s v="E0579"/>
    <n v="49"/>
    <s v="Other"/>
    <s v="Bachelor"/>
    <x v="1"/>
    <s v="Machine Operator"/>
    <n v="24"/>
    <x v="0"/>
    <s v="High"/>
    <s v="Yes"/>
    <n v="47889"/>
    <n v="51045"/>
    <x v="0"/>
    <n v="38"/>
    <x v="1"/>
    <n v="3"/>
    <n v="12.91"/>
    <n v="3156"/>
    <n v="6.5902399298377503"/>
    <s v="Expert"/>
    <s v="Low Impact"/>
  </r>
  <r>
    <s v="E0264"/>
    <n v="33"/>
    <s v="Male"/>
    <s v="Bachelor"/>
    <x v="6"/>
    <s v="Doctor"/>
    <n v="10"/>
    <x v="2"/>
    <s v="Medium"/>
    <s v="Yes"/>
    <n v="39108"/>
    <n v="40212"/>
    <x v="1"/>
    <n v="35"/>
    <x v="0"/>
    <n v="3"/>
    <n v="12.91"/>
    <n v="1104"/>
    <n v="2.822951825713409"/>
    <s v="Intermediate"/>
    <s v="Medium Impact"/>
  </r>
  <r>
    <s v="E0310"/>
    <n v="53"/>
    <s v="Female"/>
    <s v="Bachelor"/>
    <x v="5"/>
    <s v="Professor"/>
    <n v="28"/>
    <x v="2"/>
    <s v="High"/>
    <s v="Yes"/>
    <n v="71424"/>
    <n v="61841"/>
    <x v="2"/>
    <n v="54"/>
    <x v="0"/>
    <n v="9"/>
    <n v="12.88"/>
    <n v="-9583"/>
    <n v="-13.417058691756273"/>
    <s v="Expert"/>
    <s v="High Impact"/>
  </r>
  <r>
    <s v="E0841"/>
    <n v="27"/>
    <s v="Other"/>
    <s v="Master"/>
    <x v="5"/>
    <s v="Administrator"/>
    <n v="5"/>
    <x v="0"/>
    <s v="Low"/>
    <s v="No"/>
    <n v="38320"/>
    <n v="37299"/>
    <x v="0"/>
    <n v="40"/>
    <x v="0"/>
    <n v="5"/>
    <n v="12.82"/>
    <n v="-1021"/>
    <n v="-2.6644050104384132"/>
    <s v="Intermediate"/>
    <s v="Low Impact"/>
  </r>
  <r>
    <s v="E0074"/>
    <n v="35"/>
    <s v="Other"/>
    <s v="Master"/>
    <x v="5"/>
    <s v="Teacher"/>
    <n v="12"/>
    <x v="0"/>
    <s v="Low"/>
    <s v="No"/>
    <n v="39348"/>
    <n v="41730"/>
    <x v="0"/>
    <n v="45"/>
    <x v="0"/>
    <n v="4"/>
    <n v="12.75"/>
    <n v="2382"/>
    <n v="6.053674900884416"/>
    <s v="Intermediate"/>
    <s v="Low Impact"/>
  </r>
  <r>
    <s v="E1808"/>
    <n v="26"/>
    <s v="Female"/>
    <s v="Master"/>
    <x v="6"/>
    <s v="Technician"/>
    <n v="4"/>
    <x v="2"/>
    <s v="Low"/>
    <s v="No"/>
    <n v="101540"/>
    <n v="120613"/>
    <x v="0"/>
    <n v="54"/>
    <x v="1"/>
    <n v="4"/>
    <n v="12.72"/>
    <n v="19073"/>
    <n v="18.783730549537129"/>
    <s v="Beginner"/>
    <s v="Low Impact"/>
  </r>
  <r>
    <s v="E0428"/>
    <n v="42"/>
    <s v="Female"/>
    <s v="High School"/>
    <x v="0"/>
    <s v="Software Engineer"/>
    <n v="17"/>
    <x v="1"/>
    <s v="Medium"/>
    <s v="No"/>
    <n v="104027"/>
    <n v="119548"/>
    <x v="1"/>
    <n v="35"/>
    <x v="0"/>
    <n v="6"/>
    <n v="12.69"/>
    <n v="15521"/>
    <n v="14.920164957174581"/>
    <s v="Expert"/>
    <s v="Medium Impact"/>
  </r>
  <r>
    <s v="E0478"/>
    <n v="30"/>
    <s v="Male"/>
    <s v="High School"/>
    <x v="5"/>
    <s v="Administrator"/>
    <n v="4"/>
    <x v="1"/>
    <s v="High"/>
    <s v="No"/>
    <n v="56423"/>
    <n v="67560"/>
    <x v="0"/>
    <n v="49"/>
    <x v="0"/>
    <n v="6"/>
    <n v="12.67"/>
    <n v="11137"/>
    <n v="19.738404551335449"/>
    <s v="Beginner"/>
    <s v="Low Impact"/>
  </r>
  <r>
    <s v="E1590"/>
    <n v="52"/>
    <s v="Female"/>
    <s v="PhD"/>
    <x v="1"/>
    <s v="Supervisor"/>
    <n v="30"/>
    <x v="0"/>
    <s v="Medium"/>
    <s v="No"/>
    <n v="88596"/>
    <n v="89604"/>
    <x v="1"/>
    <n v="51"/>
    <x v="0"/>
    <n v="4"/>
    <n v="12.65"/>
    <n v="1008"/>
    <n v="1.1377488825680617"/>
    <s v="Expert"/>
    <s v="Medium Impact"/>
  </r>
  <r>
    <s v="E0431"/>
    <n v="42"/>
    <s v="Other"/>
    <s v="PhD"/>
    <x v="3"/>
    <s v="Accountant"/>
    <n v="17"/>
    <x v="2"/>
    <s v="High"/>
    <s v="No"/>
    <n v="110388"/>
    <n v="119807"/>
    <x v="1"/>
    <n v="53"/>
    <x v="1"/>
    <n v="9"/>
    <n v="12.58"/>
    <n v="9419"/>
    <n v="8.5326303583722876"/>
    <s v="Expert"/>
    <s v="Medium Impact"/>
  </r>
  <r>
    <s v="E0011"/>
    <n v="45"/>
    <s v="Female"/>
    <s v="High School"/>
    <x v="4"/>
    <s v="Store Manager"/>
    <n v="22"/>
    <x v="1"/>
    <s v="High"/>
    <s v="No"/>
    <n v="93704"/>
    <n v="92231"/>
    <x v="0"/>
    <n v="43"/>
    <x v="0"/>
    <n v="7"/>
    <n v="12.56"/>
    <n v="-1473"/>
    <n v="-1.5719713139246991"/>
    <s v="Expert"/>
    <s v="Low Impact"/>
  </r>
  <r>
    <s v="E1315"/>
    <n v="52"/>
    <s v="Female"/>
    <s v="High School"/>
    <x v="2"/>
    <s v="Digital Marketer"/>
    <n v="26"/>
    <x v="2"/>
    <s v="Medium"/>
    <s v="Yes"/>
    <n v="89884"/>
    <n v="108344"/>
    <x v="1"/>
    <n v="38"/>
    <x v="0"/>
    <n v="8"/>
    <n v="12.55"/>
    <n v="18460"/>
    <n v="20.53758177206177"/>
    <s v="Expert"/>
    <s v="Medium Impact"/>
  </r>
  <r>
    <s v="E1345"/>
    <n v="23"/>
    <s v="Other"/>
    <s v="PhD"/>
    <x v="4"/>
    <s v="Sales Associate"/>
    <n v="0"/>
    <x v="2"/>
    <s v="Low"/>
    <s v="Yes"/>
    <n v="98304"/>
    <n v="133713"/>
    <x v="0"/>
    <n v="42"/>
    <x v="0"/>
    <n v="8"/>
    <n v="12.54"/>
    <n v="35409"/>
    <n v="36.0198974609375"/>
    <s v="Beginner"/>
    <s v="Low Impact"/>
  </r>
  <r>
    <s v="E1700"/>
    <n v="58"/>
    <s v="Other"/>
    <s v="High School"/>
    <x v="5"/>
    <s v="Administrator"/>
    <n v="33"/>
    <x v="2"/>
    <s v="Low"/>
    <s v="No"/>
    <n v="73923"/>
    <n v="100737"/>
    <x v="0"/>
    <n v="54"/>
    <x v="1"/>
    <n v="3"/>
    <n v="12.54"/>
    <n v="26814"/>
    <n v="36.272878535773714"/>
    <s v="Expert"/>
    <s v="Low Impact"/>
  </r>
  <r>
    <s v="E1251"/>
    <n v="22"/>
    <s v="Male"/>
    <s v="High School"/>
    <x v="4"/>
    <s v="Cashier"/>
    <n v="0"/>
    <x v="2"/>
    <s v="Medium"/>
    <s v="No"/>
    <n v="102943"/>
    <n v="132553"/>
    <x v="1"/>
    <n v="43"/>
    <x v="0"/>
    <n v="7"/>
    <n v="12.51"/>
    <n v="29610"/>
    <n v="28.763490475311581"/>
    <s v="Beginner"/>
    <s v="Medium Impact"/>
  </r>
  <r>
    <s v="E0375"/>
    <n v="49"/>
    <s v="Female"/>
    <s v="Bachelor"/>
    <x v="5"/>
    <s v="Administrator"/>
    <n v="23"/>
    <x v="0"/>
    <s v="Low"/>
    <s v="Yes"/>
    <n v="79416"/>
    <n v="85202"/>
    <x v="0"/>
    <n v="53"/>
    <x v="1"/>
    <n v="6"/>
    <n v="12.45"/>
    <n v="5786"/>
    <n v="7.2856855041805186"/>
    <s v="Expert"/>
    <s v="Low Impact"/>
  </r>
  <r>
    <s v="E0052"/>
    <n v="25"/>
    <s v="Male"/>
    <s v="PhD"/>
    <x v="5"/>
    <s v="Professor"/>
    <n v="0"/>
    <x v="0"/>
    <s v="High"/>
    <s v="No"/>
    <n v="88335"/>
    <n v="90958"/>
    <x v="0"/>
    <n v="42"/>
    <x v="0"/>
    <n v="6"/>
    <n v="12.44"/>
    <n v="2623"/>
    <n v="2.9693779362653534"/>
    <s v="Beginner"/>
    <s v="Low Impact"/>
  </r>
  <r>
    <s v="E0136"/>
    <n v="45"/>
    <s v="Male"/>
    <s v="PhD"/>
    <x v="3"/>
    <s v="Accountant"/>
    <n v="20"/>
    <x v="1"/>
    <s v="Medium"/>
    <s v="Yes"/>
    <n v="70631"/>
    <n v="74211"/>
    <x v="1"/>
    <n v="49"/>
    <x v="0"/>
    <n v="6"/>
    <n v="12.39"/>
    <n v="3580"/>
    <n v="5.068595942291628"/>
    <s v="Expert"/>
    <s v="Medium Impact"/>
  </r>
  <r>
    <s v="E0184"/>
    <n v="47"/>
    <s v="Other"/>
    <s v="PhD"/>
    <x v="2"/>
    <s v="SEO Specialist"/>
    <n v="22"/>
    <x v="0"/>
    <s v="Low"/>
    <s v="Yes"/>
    <n v="70998"/>
    <n v="70805"/>
    <x v="0"/>
    <n v="47"/>
    <x v="1"/>
    <n v="4"/>
    <n v="12.37"/>
    <n v="-193"/>
    <n v="-0.27183864334206598"/>
    <s v="Expert"/>
    <s v="Low Impact"/>
  </r>
  <r>
    <s v="E0334"/>
    <n v="48"/>
    <s v="Male"/>
    <s v="High School"/>
    <x v="5"/>
    <s v="Administrator"/>
    <n v="25"/>
    <x v="2"/>
    <s v="Low"/>
    <s v="No"/>
    <n v="61656"/>
    <n v="63207"/>
    <x v="0"/>
    <n v="38"/>
    <x v="1"/>
    <n v="8"/>
    <n v="12.32"/>
    <n v="1551"/>
    <n v="2.5155702608018684"/>
    <s v="Expert"/>
    <s v="Low Impact"/>
  </r>
  <r>
    <s v="E0550"/>
    <n v="38"/>
    <s v="Male"/>
    <s v="High School"/>
    <x v="2"/>
    <s v="SEO Specialist"/>
    <n v="16"/>
    <x v="1"/>
    <s v="High"/>
    <s v="No"/>
    <n v="73516"/>
    <n v="79054"/>
    <x v="0"/>
    <n v="51"/>
    <x v="1"/>
    <n v="6"/>
    <n v="12.3"/>
    <n v="5538"/>
    <n v="7.5330540290549006"/>
    <s v="Expert"/>
    <s v="Low Impact"/>
  </r>
  <r>
    <s v="E0932"/>
    <n v="38"/>
    <s v="Female"/>
    <s v="Master"/>
    <x v="4"/>
    <s v="Sales Associate"/>
    <n v="12"/>
    <x v="0"/>
    <s v="High"/>
    <s v="No"/>
    <n v="117505"/>
    <n v="116697"/>
    <x v="0"/>
    <n v="51"/>
    <x v="1"/>
    <n v="9"/>
    <n v="12.29"/>
    <n v="-808"/>
    <n v="-0.68763031360367644"/>
    <s v="Intermediate"/>
    <s v="Low Impact"/>
  </r>
  <r>
    <s v="E1524"/>
    <n v="42"/>
    <s v="Female"/>
    <s v="Bachelor"/>
    <x v="6"/>
    <s v="Nurse"/>
    <n v="20"/>
    <x v="1"/>
    <s v="High"/>
    <s v="No"/>
    <n v="92028"/>
    <n v="90031"/>
    <x v="0"/>
    <n v="49"/>
    <x v="1"/>
    <n v="7"/>
    <n v="12.28"/>
    <n v="-1997"/>
    <n v="-2.1699917416438477"/>
    <s v="Expert"/>
    <s v="Low Impact"/>
  </r>
  <r>
    <s v="E1491"/>
    <n v="44"/>
    <s v="Other"/>
    <s v="Bachelor"/>
    <x v="0"/>
    <s v="DevOps Engineer"/>
    <n v="21"/>
    <x v="0"/>
    <s v="Low"/>
    <s v="Yes"/>
    <n v="82328"/>
    <n v="88060"/>
    <x v="0"/>
    <n v="37"/>
    <x v="1"/>
    <n v="5"/>
    <n v="12.28"/>
    <n v="5732"/>
    <n v="6.9623943251384697"/>
    <s v="Expert"/>
    <s v="Low Impact"/>
  </r>
  <r>
    <s v="E1150"/>
    <n v="55"/>
    <s v="Other"/>
    <s v="High School"/>
    <x v="0"/>
    <s v="Data Analyst"/>
    <n v="32"/>
    <x v="1"/>
    <s v="Medium"/>
    <s v="No"/>
    <n v="31353"/>
    <n v="29431"/>
    <x v="1"/>
    <n v="46"/>
    <x v="1"/>
    <n v="5"/>
    <n v="12.21"/>
    <n v="-1922"/>
    <n v="-6.1301948776831567"/>
    <s v="Expert"/>
    <s v="Medium Impact"/>
  </r>
  <r>
    <s v="E1215"/>
    <n v="45"/>
    <s v="Male"/>
    <s v="Master"/>
    <x v="5"/>
    <s v="Professor"/>
    <n v="23"/>
    <x v="1"/>
    <s v="Medium"/>
    <s v="No"/>
    <n v="76930"/>
    <n v="73717"/>
    <x v="1"/>
    <n v="42"/>
    <x v="0"/>
    <n v="3"/>
    <n v="12.2"/>
    <n v="-3213"/>
    <n v="-4.1765241128298447"/>
    <s v="Expert"/>
    <s v="Medium Impact"/>
  </r>
  <r>
    <s v="E0135"/>
    <n v="23"/>
    <s v="Male"/>
    <s v="Bachelor"/>
    <x v="5"/>
    <s v="Teacher"/>
    <n v="0"/>
    <x v="0"/>
    <s v="Low"/>
    <s v="Yes"/>
    <n v="73872"/>
    <n v="71318"/>
    <x v="0"/>
    <n v="49"/>
    <x v="0"/>
    <n v="6"/>
    <n v="12.19"/>
    <n v="-2554"/>
    <n v="-3.4573316006064543"/>
    <s v="Beginner"/>
    <s v="Low Impact"/>
  </r>
  <r>
    <s v="E1296"/>
    <n v="25"/>
    <s v="Other"/>
    <s v="Bachelor"/>
    <x v="2"/>
    <s v="Digital Marketer"/>
    <n v="0"/>
    <x v="2"/>
    <s v="Medium"/>
    <s v="No"/>
    <n v="102932"/>
    <n v="89526"/>
    <x v="1"/>
    <n v="43"/>
    <x v="0"/>
    <n v="4"/>
    <n v="12.18"/>
    <n v="-13406"/>
    <n v="-13.024132436948666"/>
    <s v="Beginner"/>
    <s v="Medium Impact"/>
  </r>
  <r>
    <s v="E1054"/>
    <n v="42"/>
    <s v="Other"/>
    <s v="High School"/>
    <x v="2"/>
    <s v="SEO Specialist"/>
    <n v="20"/>
    <x v="1"/>
    <s v="Low"/>
    <s v="Yes"/>
    <n v="57626"/>
    <n v="68291"/>
    <x v="0"/>
    <n v="54"/>
    <x v="1"/>
    <n v="8"/>
    <n v="12.14"/>
    <n v="10665"/>
    <n v="18.507271023496337"/>
    <s v="Expert"/>
    <s v="Low Impact"/>
  </r>
  <r>
    <s v="E0227"/>
    <n v="31"/>
    <s v="Male"/>
    <s v="High School"/>
    <x v="3"/>
    <s v="Auditor"/>
    <n v="8"/>
    <x v="0"/>
    <s v="Medium"/>
    <s v="Yes"/>
    <n v="93483"/>
    <n v="89824"/>
    <x v="1"/>
    <n v="43"/>
    <x v="1"/>
    <n v="7"/>
    <n v="12.05"/>
    <n v="-3659"/>
    <n v="-3.9140806349817612"/>
    <s v="Intermediate"/>
    <s v="Medium Impact"/>
  </r>
  <r>
    <s v="E0931"/>
    <n v="41"/>
    <s v="Male"/>
    <s v="Bachelor"/>
    <x v="4"/>
    <s v="Cashier"/>
    <n v="19"/>
    <x v="1"/>
    <s v="Low"/>
    <s v="No"/>
    <n v="55616"/>
    <n v="50455"/>
    <x v="0"/>
    <n v="38"/>
    <x v="1"/>
    <n v="5"/>
    <n v="12.05"/>
    <n v="-5161"/>
    <n v="-9.2797036823935564"/>
    <s v="Expert"/>
    <s v="Low Impact"/>
  </r>
  <r>
    <s v="E1277"/>
    <n v="25"/>
    <s v="Female"/>
    <s v="PhD"/>
    <x v="2"/>
    <s v="Content Creator"/>
    <n v="1"/>
    <x v="2"/>
    <s v="Low"/>
    <s v="No"/>
    <n v="102499"/>
    <n v="122234"/>
    <x v="0"/>
    <n v="50"/>
    <x v="1"/>
    <n v="6"/>
    <n v="12.02"/>
    <n v="19735"/>
    <n v="19.253846378989063"/>
    <s v="Beginner"/>
    <s v="Low Impact"/>
  </r>
  <r>
    <s v="E1219"/>
    <n v="26"/>
    <s v="Male"/>
    <s v="PhD"/>
    <x v="2"/>
    <s v="Content Creator"/>
    <n v="2"/>
    <x v="2"/>
    <s v="High"/>
    <s v="Yes"/>
    <n v="59047"/>
    <n v="60587"/>
    <x v="1"/>
    <n v="39"/>
    <x v="0"/>
    <n v="9"/>
    <n v="12.01"/>
    <n v="1540"/>
    <n v="2.6080918590275544"/>
    <s v="Beginner"/>
    <s v="Medium Impact"/>
  </r>
  <r>
    <s v="E1959"/>
    <n v="48"/>
    <s v="Female"/>
    <s v="Master"/>
    <x v="5"/>
    <s v="Professor"/>
    <n v="22"/>
    <x v="1"/>
    <s v="Low"/>
    <s v="Yes"/>
    <n v="45797"/>
    <n v="53328"/>
    <x v="0"/>
    <n v="47"/>
    <x v="1"/>
    <n v="4"/>
    <n v="11.97"/>
    <n v="7531"/>
    <n v="16.444308579164574"/>
    <s v="Expert"/>
    <s v="Low Impact"/>
  </r>
  <r>
    <s v="E0200"/>
    <n v="29"/>
    <s v="Other"/>
    <s v="Master"/>
    <x v="4"/>
    <s v="Store Manager"/>
    <n v="5"/>
    <x v="1"/>
    <s v="Medium"/>
    <s v="Yes"/>
    <n v="33972"/>
    <n v="31071"/>
    <x v="1"/>
    <n v="39"/>
    <x v="0"/>
    <n v="6"/>
    <n v="11.96"/>
    <n v="-2901"/>
    <n v="-8.5393853761921594"/>
    <s v="Intermediate"/>
    <s v="Medium Impact"/>
  </r>
  <r>
    <s v="E0271"/>
    <n v="25"/>
    <s v="Female"/>
    <s v="PhD"/>
    <x v="2"/>
    <s v="Digital Marketer"/>
    <n v="0"/>
    <x v="2"/>
    <s v="Low"/>
    <s v="Yes"/>
    <n v="66378"/>
    <n v="90125"/>
    <x v="0"/>
    <n v="42"/>
    <x v="1"/>
    <n v="4"/>
    <n v="11.94"/>
    <n v="23747"/>
    <n v="35.775407514537946"/>
    <s v="Beginner"/>
    <s v="Low Impact"/>
  </r>
  <r>
    <s v="E0426"/>
    <n v="25"/>
    <s v="Female"/>
    <s v="Master"/>
    <x v="6"/>
    <s v="Doctor"/>
    <n v="0"/>
    <x v="0"/>
    <s v="High"/>
    <s v="Yes"/>
    <n v="33236"/>
    <n v="33956"/>
    <x v="0"/>
    <n v="47"/>
    <x v="0"/>
    <n v="8"/>
    <n v="11.94"/>
    <n v="720"/>
    <n v="2.1663256709592007"/>
    <s v="Beginner"/>
    <s v="Low Impact"/>
  </r>
  <r>
    <s v="E0131"/>
    <n v="46"/>
    <s v="Female"/>
    <s v="PhD"/>
    <x v="3"/>
    <s v="Investment Analyst"/>
    <n v="24"/>
    <x v="0"/>
    <s v="Medium"/>
    <s v="Yes"/>
    <n v="64016"/>
    <n v="64574"/>
    <x v="1"/>
    <n v="42"/>
    <x v="1"/>
    <n v="5"/>
    <n v="11.91"/>
    <n v="558"/>
    <n v="0.87165708572856782"/>
    <s v="Expert"/>
    <s v="Medium Impact"/>
  </r>
  <r>
    <s v="E1204"/>
    <n v="32"/>
    <s v="Female"/>
    <s v="Master"/>
    <x v="0"/>
    <s v="DevOps Engineer"/>
    <n v="7"/>
    <x v="2"/>
    <s v="High"/>
    <s v="Yes"/>
    <n v="36791"/>
    <n v="44274"/>
    <x v="2"/>
    <n v="40"/>
    <x v="1"/>
    <n v="9"/>
    <n v="11.87"/>
    <n v="7483"/>
    <n v="20.339213394580195"/>
    <s v="Intermediate"/>
    <s v="High Impact"/>
  </r>
  <r>
    <s v="E1919"/>
    <n v="33"/>
    <s v="Male"/>
    <s v="Master"/>
    <x v="6"/>
    <s v="Doctor"/>
    <n v="7"/>
    <x v="0"/>
    <s v="Low"/>
    <s v="Yes"/>
    <n v="92805"/>
    <n v="96941"/>
    <x v="0"/>
    <n v="46"/>
    <x v="0"/>
    <n v="5"/>
    <n v="11.79"/>
    <n v="4136"/>
    <n v="4.4566564301492377"/>
    <s v="Intermediate"/>
    <s v="Low Impact"/>
  </r>
  <r>
    <s v="E0616"/>
    <n v="59"/>
    <s v="Female"/>
    <s v="Bachelor"/>
    <x v="3"/>
    <s v="Auditor"/>
    <n v="36"/>
    <x v="1"/>
    <s v="Medium"/>
    <s v="No"/>
    <n v="75619"/>
    <n v="78003"/>
    <x v="1"/>
    <n v="39"/>
    <x v="0"/>
    <n v="8"/>
    <n v="11.79"/>
    <n v="2384"/>
    <n v="3.1526468215660084"/>
    <s v="Expert"/>
    <s v="Medium Impact"/>
  </r>
  <r>
    <s v="E1336"/>
    <n v="26"/>
    <s v="Male"/>
    <s v="Master"/>
    <x v="1"/>
    <s v="Quality Inspector"/>
    <n v="0"/>
    <x v="1"/>
    <s v="High"/>
    <s v="Yes"/>
    <n v="35607"/>
    <n v="42061"/>
    <x v="0"/>
    <n v="37"/>
    <x v="1"/>
    <n v="9"/>
    <n v="11.79"/>
    <n v="6454"/>
    <n v="18.125649450950657"/>
    <s v="Beginner"/>
    <s v="Low Impact"/>
  </r>
  <r>
    <s v="E0964"/>
    <n v="59"/>
    <s v="Male"/>
    <s v="PhD"/>
    <x v="4"/>
    <s v="Cashier"/>
    <n v="35"/>
    <x v="2"/>
    <s v="Low"/>
    <s v="Yes"/>
    <n v="103313"/>
    <n v="137021"/>
    <x v="0"/>
    <n v="43"/>
    <x v="0"/>
    <n v="5"/>
    <n v="11.69"/>
    <n v="33708"/>
    <n v="32.627065325757648"/>
    <s v="Expert"/>
    <s v="Low Impact"/>
  </r>
  <r>
    <s v="E1747"/>
    <n v="55"/>
    <s v="Male"/>
    <s v="Bachelor"/>
    <x v="2"/>
    <s v="Content Creator"/>
    <n v="32"/>
    <x v="2"/>
    <s v="Medium"/>
    <s v="No"/>
    <n v="92077"/>
    <n v="116487"/>
    <x v="1"/>
    <n v="51"/>
    <x v="1"/>
    <n v="7"/>
    <n v="11.61"/>
    <n v="24410"/>
    <n v="26.510420626215016"/>
    <s v="Expert"/>
    <s v="Medium Impact"/>
  </r>
  <r>
    <s v="E0942"/>
    <n v="41"/>
    <s v="Female"/>
    <s v="Bachelor"/>
    <x v="5"/>
    <s v="Professor"/>
    <n v="19"/>
    <x v="2"/>
    <s v="High"/>
    <s v="No"/>
    <n v="49867"/>
    <n v="49497"/>
    <x v="1"/>
    <n v="50"/>
    <x v="1"/>
    <n v="6"/>
    <n v="11.57"/>
    <n v="-370"/>
    <n v="-0.74197364990875725"/>
    <s v="Expert"/>
    <s v="Medium Impact"/>
  </r>
  <r>
    <s v="E0765"/>
    <n v="28"/>
    <s v="Male"/>
    <s v="High School"/>
    <x v="4"/>
    <s v="Sales Associate"/>
    <n v="5"/>
    <x v="2"/>
    <s v="Low"/>
    <s v="Yes"/>
    <n v="49880"/>
    <n v="66921"/>
    <x v="0"/>
    <n v="46"/>
    <x v="0"/>
    <n v="3"/>
    <n v="11.49"/>
    <n v="17041"/>
    <n v="34.163993584603048"/>
    <s v="Intermediate"/>
    <s v="Low Impact"/>
  </r>
  <r>
    <s v="E0643"/>
    <n v="27"/>
    <s v="Male"/>
    <s v="Master"/>
    <x v="6"/>
    <s v="Technician"/>
    <n v="4"/>
    <x v="1"/>
    <s v="High"/>
    <s v="Yes"/>
    <n v="55068"/>
    <n v="63221"/>
    <x v="0"/>
    <n v="43"/>
    <x v="0"/>
    <n v="3"/>
    <n v="11.48"/>
    <n v="8153"/>
    <n v="14.80533159003414"/>
    <s v="Beginner"/>
    <s v="Low Impact"/>
  </r>
  <r>
    <s v="E1819"/>
    <n v="34"/>
    <s v="Female"/>
    <s v="Master"/>
    <x v="1"/>
    <s v="Machine Operator"/>
    <n v="8"/>
    <x v="0"/>
    <s v="Medium"/>
    <s v="No"/>
    <n v="107413"/>
    <n v="102368"/>
    <x v="1"/>
    <n v="47"/>
    <x v="0"/>
    <n v="7"/>
    <n v="11.44"/>
    <n v="-5045"/>
    <n v="-4.6968244067291671"/>
    <s v="Intermediate"/>
    <s v="Medium Impact"/>
  </r>
  <r>
    <s v="E0705"/>
    <n v="32"/>
    <s v="Male"/>
    <s v="Master"/>
    <x v="0"/>
    <s v="Data Analyst"/>
    <n v="6"/>
    <x v="1"/>
    <s v="High"/>
    <s v="No"/>
    <n v="56627"/>
    <n v="61211"/>
    <x v="0"/>
    <n v="46"/>
    <x v="0"/>
    <n v="9"/>
    <n v="11.42"/>
    <n v="4584"/>
    <n v="8.0950783195295521"/>
    <s v="Intermediate"/>
    <s v="Low Impact"/>
  </r>
  <r>
    <s v="E0632"/>
    <n v="46"/>
    <s v="Male"/>
    <s v="Bachelor"/>
    <x v="5"/>
    <s v="Teacher"/>
    <n v="24"/>
    <x v="1"/>
    <s v="High"/>
    <s v="Yes"/>
    <n v="59437"/>
    <n v="62766"/>
    <x v="0"/>
    <n v="38"/>
    <x v="0"/>
    <n v="7"/>
    <n v="11.32"/>
    <n v="3329"/>
    <n v="5.6008883355485644"/>
    <s v="Expert"/>
    <s v="Low Impact"/>
  </r>
  <r>
    <s v="E1724"/>
    <n v="53"/>
    <s v="Other"/>
    <s v="Master"/>
    <x v="6"/>
    <s v="Doctor"/>
    <n v="27"/>
    <x v="1"/>
    <s v="High"/>
    <s v="Yes"/>
    <n v="40196"/>
    <n v="36423"/>
    <x v="0"/>
    <n v="37"/>
    <x v="0"/>
    <n v="6"/>
    <n v="11.31"/>
    <n v="-3773"/>
    <n v="-9.3865061200119424"/>
    <s v="Expert"/>
    <s v="Low Impact"/>
  </r>
  <r>
    <s v="E1010"/>
    <n v="26"/>
    <s v="Male"/>
    <s v="Bachelor"/>
    <x v="6"/>
    <s v="Nurse"/>
    <n v="0"/>
    <x v="0"/>
    <s v="Medium"/>
    <s v="No"/>
    <n v="39247"/>
    <n v="41607"/>
    <x v="1"/>
    <n v="52"/>
    <x v="0"/>
    <n v="6"/>
    <n v="11.3"/>
    <n v="2360"/>
    <n v="6.0131984610288685"/>
    <s v="Beginner"/>
    <s v="Medium Impact"/>
  </r>
  <r>
    <s v="E0549"/>
    <n v="59"/>
    <s v="Male"/>
    <s v="Master"/>
    <x v="3"/>
    <s v="Accountant"/>
    <n v="37"/>
    <x v="1"/>
    <s v="Medium"/>
    <s v="No"/>
    <n v="31014"/>
    <n v="34778"/>
    <x v="1"/>
    <n v="53"/>
    <x v="1"/>
    <n v="8"/>
    <n v="11.29"/>
    <n v="3764"/>
    <n v="12.13645450441736"/>
    <s v="Expert"/>
    <s v="Medium Impact"/>
  </r>
  <r>
    <s v="E0786"/>
    <n v="39"/>
    <s v="Male"/>
    <s v="Bachelor"/>
    <x v="4"/>
    <s v="Store Manager"/>
    <n v="17"/>
    <x v="2"/>
    <s v="Medium"/>
    <s v="Yes"/>
    <n v="89251"/>
    <n v="93215"/>
    <x v="1"/>
    <n v="35"/>
    <x v="1"/>
    <n v="6"/>
    <n v="11.28"/>
    <n v="3964"/>
    <n v="4.4414068189712159"/>
    <s v="Expert"/>
    <s v="Medium Impact"/>
  </r>
  <r>
    <s v="E1293"/>
    <n v="52"/>
    <s v="Male"/>
    <s v="PhD"/>
    <x v="5"/>
    <s v="Administrator"/>
    <n v="28"/>
    <x v="1"/>
    <s v="Low"/>
    <s v="Yes"/>
    <n v="57115"/>
    <n v="65847"/>
    <x v="0"/>
    <n v="53"/>
    <x v="1"/>
    <n v="7"/>
    <n v="11.23"/>
    <n v="8732"/>
    <n v="15.288453120896436"/>
    <s v="Expert"/>
    <s v="Low Impact"/>
  </r>
  <r>
    <s v="E1493"/>
    <n v="32"/>
    <s v="Female"/>
    <s v="High School"/>
    <x v="2"/>
    <s v="Digital Marketer"/>
    <n v="6"/>
    <x v="2"/>
    <s v="High"/>
    <s v="No"/>
    <n v="55792"/>
    <n v="56275"/>
    <x v="2"/>
    <n v="37"/>
    <x v="0"/>
    <n v="9"/>
    <n v="11.23"/>
    <n v="483"/>
    <n v="0.86571551476914244"/>
    <s v="Intermediate"/>
    <s v="High Impact"/>
  </r>
  <r>
    <s v="E1414"/>
    <n v="47"/>
    <s v="Other"/>
    <s v="PhD"/>
    <x v="2"/>
    <s v="SEO Specialist"/>
    <n v="25"/>
    <x v="0"/>
    <s v="High"/>
    <s v="Yes"/>
    <n v="92524"/>
    <n v="88346"/>
    <x v="0"/>
    <n v="46"/>
    <x v="1"/>
    <n v="4"/>
    <n v="11.21"/>
    <n v="-4178"/>
    <n v="-4.5155851454757689"/>
    <s v="Expert"/>
    <s v="Low Impact"/>
  </r>
  <r>
    <s v="E1820"/>
    <n v="35"/>
    <s v="Other"/>
    <s v="Master"/>
    <x v="5"/>
    <s v="Administrator"/>
    <n v="9"/>
    <x v="2"/>
    <s v="Medium"/>
    <s v="Yes"/>
    <n v="37240"/>
    <n v="30167"/>
    <x v="1"/>
    <n v="37"/>
    <x v="0"/>
    <n v="9"/>
    <n v="11.21"/>
    <n v="-7073"/>
    <n v="-18.993018259935553"/>
    <s v="Intermediate"/>
    <s v="Medium Impact"/>
  </r>
  <r>
    <s v="E1678"/>
    <n v="54"/>
    <s v="Male"/>
    <s v="Bachelor"/>
    <x v="0"/>
    <s v="Data Analyst"/>
    <n v="29"/>
    <x v="1"/>
    <s v="Medium"/>
    <s v="Yes"/>
    <n v="60383"/>
    <n v="58418"/>
    <x v="1"/>
    <n v="49"/>
    <x v="0"/>
    <n v="4"/>
    <n v="11.17"/>
    <n v="-1965"/>
    <n v="-3.2542271831475746"/>
    <s v="Expert"/>
    <s v="Medium Impact"/>
  </r>
  <r>
    <s v="E1063"/>
    <n v="52"/>
    <s v="Other"/>
    <s v="PhD"/>
    <x v="0"/>
    <s v="Data Analyst"/>
    <n v="28"/>
    <x v="1"/>
    <s v="Medium"/>
    <s v="No"/>
    <n v="114585"/>
    <n v="112322"/>
    <x v="1"/>
    <n v="38"/>
    <x v="0"/>
    <n v="4"/>
    <n v="11.15"/>
    <n v="-2263"/>
    <n v="-1.9749530915913951"/>
    <s v="Expert"/>
    <s v="Medium Impact"/>
  </r>
  <r>
    <s v="E0957"/>
    <n v="32"/>
    <s v="Other"/>
    <s v="High School"/>
    <x v="2"/>
    <s v="Content Creator"/>
    <n v="6"/>
    <x v="0"/>
    <s v="Low"/>
    <s v="Yes"/>
    <n v="56505"/>
    <n v="59034"/>
    <x v="0"/>
    <n v="42"/>
    <x v="1"/>
    <n v="9"/>
    <n v="11.12"/>
    <n v="2529"/>
    <n v="4.47571011414919"/>
    <s v="Intermediate"/>
    <s v="Low Impact"/>
  </r>
  <r>
    <s v="E0767"/>
    <n v="46"/>
    <s v="Other"/>
    <s v="High School"/>
    <x v="0"/>
    <s v="Software Engineer"/>
    <n v="24"/>
    <x v="1"/>
    <s v="Low"/>
    <s v="No"/>
    <n v="56299"/>
    <n v="52751"/>
    <x v="0"/>
    <n v="43"/>
    <x v="1"/>
    <n v="6"/>
    <n v="11.11"/>
    <n v="-3548"/>
    <n v="-6.3020657560525049"/>
    <s v="Expert"/>
    <s v="Low Impact"/>
  </r>
  <r>
    <s v="E1252"/>
    <n v="36"/>
    <s v="Other"/>
    <s v="High School"/>
    <x v="3"/>
    <s v="Accountant"/>
    <n v="13"/>
    <x v="2"/>
    <s v="Medium"/>
    <s v="Yes"/>
    <n v="91358"/>
    <n v="80514"/>
    <x v="1"/>
    <n v="48"/>
    <x v="0"/>
    <n v="3"/>
    <n v="11.1"/>
    <n v="-10844"/>
    <n v="-11.869786991834323"/>
    <s v="Intermediate"/>
    <s v="Medium Impact"/>
  </r>
  <r>
    <s v="E0580"/>
    <n v="58"/>
    <s v="Female"/>
    <s v="PhD"/>
    <x v="3"/>
    <s v="Investment Analyst"/>
    <n v="32"/>
    <x v="1"/>
    <s v="High"/>
    <s v="No"/>
    <n v="89197"/>
    <n v="101764"/>
    <x v="0"/>
    <n v="51"/>
    <x v="0"/>
    <n v="5"/>
    <n v="11.08"/>
    <n v="12567"/>
    <n v="14.089038869020259"/>
    <s v="Expert"/>
    <s v="Low Impact"/>
  </r>
  <r>
    <s v="E0873"/>
    <n v="36"/>
    <s v="Male"/>
    <s v="Master"/>
    <x v="5"/>
    <s v="Teacher"/>
    <n v="12"/>
    <x v="1"/>
    <s v="Medium"/>
    <s v="No"/>
    <n v="93580"/>
    <n v="92264"/>
    <x v="1"/>
    <n v="42"/>
    <x v="1"/>
    <n v="7"/>
    <n v="11.08"/>
    <n v="-1316"/>
    <n v="-1.4062833938875827"/>
    <s v="Intermediate"/>
    <s v="Medium Impact"/>
  </r>
  <r>
    <s v="E0473"/>
    <n v="58"/>
    <s v="Male"/>
    <s v="Master"/>
    <x v="3"/>
    <s v="Auditor"/>
    <n v="32"/>
    <x v="0"/>
    <s v="Medium"/>
    <s v="Yes"/>
    <n v="59336"/>
    <n v="63250"/>
    <x v="1"/>
    <n v="54"/>
    <x v="0"/>
    <n v="3"/>
    <n v="11.08"/>
    <n v="3914"/>
    <n v="6.5963327490899282"/>
    <s v="Expert"/>
    <s v="Medium Impact"/>
  </r>
  <r>
    <s v="E0889"/>
    <n v="32"/>
    <s v="Female"/>
    <s v="Master"/>
    <x v="2"/>
    <s v="Digital Marketer"/>
    <n v="9"/>
    <x v="0"/>
    <s v="Medium"/>
    <s v="Yes"/>
    <n v="82409"/>
    <n v="85268"/>
    <x v="1"/>
    <n v="47"/>
    <x v="0"/>
    <n v="3"/>
    <n v="11"/>
    <n v="2859"/>
    <n v="3.4692812678226894"/>
    <s v="Intermediate"/>
    <s v="Medium Impact"/>
  </r>
  <r>
    <s v="E0319"/>
    <n v="53"/>
    <s v="Male"/>
    <s v="PhD"/>
    <x v="5"/>
    <s v="Teacher"/>
    <n v="30"/>
    <x v="1"/>
    <s v="High"/>
    <s v="No"/>
    <n v="72533"/>
    <n v="67077"/>
    <x v="0"/>
    <n v="51"/>
    <x v="0"/>
    <n v="9"/>
    <n v="10.88"/>
    <n v="-5456"/>
    <n v="-7.5220933919733088"/>
    <s v="Expert"/>
    <s v="Low Impact"/>
  </r>
  <r>
    <s v="E0592"/>
    <n v="27"/>
    <s v="Male"/>
    <s v="Bachelor"/>
    <x v="0"/>
    <s v="Software Engineer"/>
    <n v="5"/>
    <x v="0"/>
    <s v="Medium"/>
    <s v="Yes"/>
    <n v="32103"/>
    <n v="31466"/>
    <x v="1"/>
    <n v="41"/>
    <x v="0"/>
    <n v="7"/>
    <n v="10.85"/>
    <n v="-637"/>
    <n v="-1.9842382331869295"/>
    <s v="Intermediate"/>
    <s v="Medium Impact"/>
  </r>
  <r>
    <s v="E0941"/>
    <n v="29"/>
    <s v="Male"/>
    <s v="PhD"/>
    <x v="3"/>
    <s v="Accountant"/>
    <n v="5"/>
    <x v="1"/>
    <s v="High"/>
    <s v="Yes"/>
    <n v="65362"/>
    <n v="69617"/>
    <x v="0"/>
    <n v="38"/>
    <x v="0"/>
    <n v="9"/>
    <n v="10.84"/>
    <n v="4255"/>
    <n v="6.5098987179094889"/>
    <s v="Intermediate"/>
    <s v="Low Impact"/>
  </r>
  <r>
    <s v="E1702"/>
    <n v="53"/>
    <s v="Male"/>
    <s v="Bachelor"/>
    <x v="6"/>
    <s v="Nurse"/>
    <n v="30"/>
    <x v="2"/>
    <s v="Low"/>
    <s v="Yes"/>
    <n v="37711"/>
    <n v="36154"/>
    <x v="0"/>
    <n v="40"/>
    <x v="0"/>
    <n v="6"/>
    <n v="10.84"/>
    <n v="-1557"/>
    <n v="-4.1287687942510143"/>
    <s v="Expert"/>
    <s v="Low Impact"/>
  </r>
  <r>
    <s v="E1473"/>
    <n v="48"/>
    <s v="Male"/>
    <s v="PhD"/>
    <x v="4"/>
    <s v="Sales Associate"/>
    <n v="23"/>
    <x v="2"/>
    <s v="Medium"/>
    <s v="No"/>
    <n v="101524"/>
    <n v="86791"/>
    <x v="1"/>
    <n v="48"/>
    <x v="0"/>
    <n v="4"/>
    <n v="10.83"/>
    <n v="-14733"/>
    <n v="-14.511839565028959"/>
    <s v="Expert"/>
    <s v="Medium Impact"/>
  </r>
  <r>
    <s v="E1483"/>
    <n v="26"/>
    <s v="Male"/>
    <s v="Master"/>
    <x v="3"/>
    <s v="Accountant"/>
    <n v="2"/>
    <x v="0"/>
    <s v="High"/>
    <s v="Yes"/>
    <n v="92695"/>
    <n v="93594"/>
    <x v="0"/>
    <n v="54"/>
    <x v="0"/>
    <n v="9"/>
    <n v="10.82"/>
    <n v="899"/>
    <n v="0.9698473488321917"/>
    <s v="Beginner"/>
    <s v="Low Impact"/>
  </r>
  <r>
    <s v="E0996"/>
    <n v="57"/>
    <s v="Female"/>
    <s v="High School"/>
    <x v="5"/>
    <s v="Teacher"/>
    <n v="35"/>
    <x v="1"/>
    <s v="High"/>
    <s v="Yes"/>
    <n v="97288"/>
    <n v="102583"/>
    <x v="0"/>
    <n v="39"/>
    <x v="0"/>
    <n v="5"/>
    <n v="10.8"/>
    <n v="5295"/>
    <n v="5.4426034043253022"/>
    <s v="Expert"/>
    <s v="Low Impact"/>
  </r>
  <r>
    <s v="E0821"/>
    <n v="38"/>
    <s v="Other"/>
    <s v="PhD"/>
    <x v="2"/>
    <s v="Content Creator"/>
    <n v="15"/>
    <x v="2"/>
    <s v="High"/>
    <s v="No"/>
    <n v="81702"/>
    <n v="102231"/>
    <x v="1"/>
    <n v="36"/>
    <x v="1"/>
    <n v="8"/>
    <n v="10.77"/>
    <n v="20529"/>
    <n v="25.126679885437319"/>
    <s v="Expert"/>
    <s v="Medium Impact"/>
  </r>
  <r>
    <s v="E0543"/>
    <n v="42"/>
    <s v="Other"/>
    <s v="Bachelor"/>
    <x v="3"/>
    <s v="Investment Analyst"/>
    <n v="20"/>
    <x v="2"/>
    <s v="Medium"/>
    <s v="Yes"/>
    <n v="90686"/>
    <n v="117016"/>
    <x v="1"/>
    <n v="53"/>
    <x v="1"/>
    <n v="6"/>
    <n v="10.76"/>
    <n v="26330"/>
    <n v="29.034250049621775"/>
    <s v="Expert"/>
    <s v="Medium Impact"/>
  </r>
  <r>
    <s v="E0315"/>
    <n v="44"/>
    <s v="Male"/>
    <s v="PhD"/>
    <x v="6"/>
    <s v="Doctor"/>
    <n v="18"/>
    <x v="0"/>
    <s v="High"/>
    <s v="No"/>
    <n v="77684"/>
    <n v="82392"/>
    <x v="0"/>
    <n v="39"/>
    <x v="1"/>
    <n v="7"/>
    <n v="10.73"/>
    <n v="4708"/>
    <n v="6.0604500283198606"/>
    <s v="Expert"/>
    <s v="Low Impact"/>
  </r>
  <r>
    <s v="E1589"/>
    <n v="31"/>
    <s v="Other"/>
    <s v="High School"/>
    <x v="6"/>
    <s v="Nurse"/>
    <n v="8"/>
    <x v="2"/>
    <s v="High"/>
    <s v="Yes"/>
    <n v="32921"/>
    <n v="45331"/>
    <x v="1"/>
    <n v="40"/>
    <x v="1"/>
    <n v="5"/>
    <n v="10.69"/>
    <n v="12410"/>
    <n v="37.696303271468061"/>
    <s v="Intermediate"/>
    <s v="Medium Impact"/>
  </r>
  <r>
    <s v="E1728"/>
    <n v="41"/>
    <s v="Other"/>
    <s v="High School"/>
    <x v="1"/>
    <s v="Supervisor"/>
    <n v="15"/>
    <x v="1"/>
    <s v="Medium"/>
    <s v="Yes"/>
    <n v="37235"/>
    <n v="36525"/>
    <x v="1"/>
    <n v="36"/>
    <x v="0"/>
    <n v="3"/>
    <n v="10.69"/>
    <n v="-710"/>
    <n v="-1.9068081106485835"/>
    <s v="Expert"/>
    <s v="Medium Impact"/>
  </r>
  <r>
    <s v="E1887"/>
    <n v="50"/>
    <s v="Female"/>
    <s v="Master"/>
    <x v="2"/>
    <s v="SEO Specialist"/>
    <n v="26"/>
    <x v="2"/>
    <s v="Low"/>
    <s v="Yes"/>
    <n v="111008"/>
    <n v="139659"/>
    <x v="0"/>
    <n v="53"/>
    <x v="0"/>
    <n v="8"/>
    <n v="10.65"/>
    <n v="28651"/>
    <n v="25.809851542231186"/>
    <s v="Expert"/>
    <s v="Low Impact"/>
  </r>
  <r>
    <s v="E1953"/>
    <n v="50"/>
    <s v="Female"/>
    <s v="PhD"/>
    <x v="3"/>
    <s v="Investment Analyst"/>
    <n v="26"/>
    <x v="1"/>
    <s v="High"/>
    <s v="Yes"/>
    <n v="81500"/>
    <n v="77915"/>
    <x v="0"/>
    <n v="45"/>
    <x v="0"/>
    <n v="8"/>
    <n v="10.61"/>
    <n v="-3585"/>
    <n v="-4.3987730061349692"/>
    <s v="Expert"/>
    <s v="Low Impact"/>
  </r>
  <r>
    <s v="E1825"/>
    <n v="41"/>
    <s v="Other"/>
    <s v="High School"/>
    <x v="3"/>
    <s v="Investment Analyst"/>
    <n v="15"/>
    <x v="0"/>
    <s v="Low"/>
    <s v="Yes"/>
    <n v="90669"/>
    <n v="90267"/>
    <x v="0"/>
    <n v="36"/>
    <x v="1"/>
    <n v="7"/>
    <n v="10.57"/>
    <n v="-402"/>
    <n v="-0.44337094265956389"/>
    <s v="Expert"/>
    <s v="Low Impact"/>
  </r>
  <r>
    <s v="E1133"/>
    <n v="45"/>
    <s v="Male"/>
    <s v="Bachelor"/>
    <x v="2"/>
    <s v="SEO Specialist"/>
    <n v="23"/>
    <x v="0"/>
    <s v="High"/>
    <s v="No"/>
    <n v="35409"/>
    <n v="37882"/>
    <x v="0"/>
    <n v="47"/>
    <x v="0"/>
    <n v="9"/>
    <n v="10.51"/>
    <n v="2473"/>
    <n v="6.984100087548363"/>
    <s v="Expert"/>
    <s v="Low Impact"/>
  </r>
  <r>
    <s v="E1935"/>
    <n v="27"/>
    <s v="Female"/>
    <s v="Bachelor"/>
    <x v="1"/>
    <s v="Machine Operator"/>
    <n v="5"/>
    <x v="0"/>
    <s v="Low"/>
    <s v="Yes"/>
    <n v="39664"/>
    <n v="43048"/>
    <x v="0"/>
    <n v="35"/>
    <x v="1"/>
    <n v="8"/>
    <n v="10.5"/>
    <n v="3384"/>
    <n v="8.5316659943525615"/>
    <s v="Intermediate"/>
    <s v="Low Impact"/>
  </r>
  <r>
    <s v="E1661"/>
    <n v="50"/>
    <s v="Other"/>
    <s v="Master"/>
    <x v="2"/>
    <s v="SEO Specialist"/>
    <n v="28"/>
    <x v="1"/>
    <s v="High"/>
    <s v="No"/>
    <n v="102105"/>
    <n v="100322"/>
    <x v="0"/>
    <n v="52"/>
    <x v="0"/>
    <n v="7"/>
    <n v="10.43"/>
    <n v="-1783"/>
    <n v="-1.7462416140247783"/>
    <s v="Expert"/>
    <s v="Low Impact"/>
  </r>
  <r>
    <s v="E0370"/>
    <n v="24"/>
    <s v="Male"/>
    <s v="PhD"/>
    <x v="5"/>
    <s v="Professor"/>
    <n v="0"/>
    <x v="0"/>
    <s v="Low"/>
    <s v="No"/>
    <n v="109473"/>
    <n v="106772"/>
    <x v="0"/>
    <n v="35"/>
    <x v="0"/>
    <n v="9"/>
    <n v="10.42"/>
    <n v="-2701"/>
    <n v="-2.4672750358535898"/>
    <s v="Beginner"/>
    <s v="Low Impact"/>
  </r>
  <r>
    <s v="E1888"/>
    <n v="55"/>
    <s v="Female"/>
    <s v="Bachelor"/>
    <x v="0"/>
    <s v="Data Analyst"/>
    <n v="33"/>
    <x v="0"/>
    <s v="Medium"/>
    <s v="Yes"/>
    <n v="116219"/>
    <n v="112293"/>
    <x v="1"/>
    <n v="52"/>
    <x v="0"/>
    <n v="5"/>
    <n v="10.39"/>
    <n v="-3926"/>
    <n v="-3.3781051291096977"/>
    <s v="Expert"/>
    <s v="Medium Impact"/>
  </r>
  <r>
    <s v="E1428"/>
    <n v="50"/>
    <s v="Other"/>
    <s v="Bachelor"/>
    <x v="5"/>
    <s v="Administrator"/>
    <n v="25"/>
    <x v="1"/>
    <s v="High"/>
    <s v="Yes"/>
    <n v="57659"/>
    <n v="58456"/>
    <x v="0"/>
    <n v="50"/>
    <x v="0"/>
    <n v="5"/>
    <n v="10.39"/>
    <n v="797"/>
    <n v="1.3822646941500893"/>
    <s v="Expert"/>
    <s v="Low Impact"/>
  </r>
  <r>
    <s v="E1225"/>
    <n v="58"/>
    <s v="Female"/>
    <s v="Master"/>
    <x v="6"/>
    <s v="Nurse"/>
    <n v="33"/>
    <x v="2"/>
    <s v="High"/>
    <s v="Yes"/>
    <n v="54843"/>
    <n v="63315"/>
    <x v="2"/>
    <n v="43"/>
    <x v="0"/>
    <n v="8"/>
    <n v="10.35"/>
    <n v="8472"/>
    <n v="15.447732618565723"/>
    <s v="Expert"/>
    <s v="High Impact"/>
  </r>
  <r>
    <s v="E0559"/>
    <n v="53"/>
    <s v="Other"/>
    <s v="Bachelor"/>
    <x v="5"/>
    <s v="Professor"/>
    <n v="27"/>
    <x v="1"/>
    <s v="High"/>
    <s v="Yes"/>
    <n v="92061"/>
    <n v="92643"/>
    <x v="0"/>
    <n v="41"/>
    <x v="0"/>
    <n v="3"/>
    <n v="10.34"/>
    <n v="582"/>
    <n v="0.63218952650959692"/>
    <s v="Expert"/>
    <s v="Low Impact"/>
  </r>
  <r>
    <s v="E0238"/>
    <n v="25"/>
    <s v="Other"/>
    <s v="Master"/>
    <x v="6"/>
    <s v="Nurse"/>
    <n v="0"/>
    <x v="1"/>
    <s v="Low"/>
    <s v="Yes"/>
    <n v="55963"/>
    <n v="63255"/>
    <x v="0"/>
    <n v="52"/>
    <x v="0"/>
    <n v="3"/>
    <n v="10.29"/>
    <n v="7292"/>
    <n v="13.030037703482659"/>
    <s v="Beginner"/>
    <s v="Low Impact"/>
  </r>
  <r>
    <s v="E1520"/>
    <n v="36"/>
    <s v="Other"/>
    <s v="PhD"/>
    <x v="1"/>
    <s v="Supervisor"/>
    <n v="13"/>
    <x v="1"/>
    <s v="Medium"/>
    <s v="No"/>
    <n v="45932"/>
    <n v="48456"/>
    <x v="1"/>
    <n v="54"/>
    <x v="1"/>
    <n v="6"/>
    <n v="10.28"/>
    <n v="2524"/>
    <n v="5.4950796830096662"/>
    <s v="Intermediate"/>
    <s v="Medium Impact"/>
  </r>
  <r>
    <s v="E0937"/>
    <n v="41"/>
    <s v="Male"/>
    <s v="Master"/>
    <x v="0"/>
    <s v="Software Engineer"/>
    <n v="19"/>
    <x v="0"/>
    <s v="High"/>
    <s v="No"/>
    <n v="49156"/>
    <n v="48352"/>
    <x v="0"/>
    <n v="49"/>
    <x v="1"/>
    <n v="5"/>
    <n v="10.27"/>
    <n v="-804"/>
    <n v="-1.6356090812922126"/>
    <s v="Expert"/>
    <s v="Low Impact"/>
  </r>
  <r>
    <s v="E1009"/>
    <n v="25"/>
    <s v="Male"/>
    <s v="Master"/>
    <x v="6"/>
    <s v="Technician"/>
    <n v="3"/>
    <x v="1"/>
    <s v="Medium"/>
    <s v="Yes"/>
    <n v="80227"/>
    <n v="94246"/>
    <x v="1"/>
    <n v="46"/>
    <x v="0"/>
    <n v="7"/>
    <n v="10.17"/>
    <n v="14019"/>
    <n v="17.474167050992808"/>
    <s v="Beginner"/>
    <s v="Medium Impact"/>
  </r>
  <r>
    <s v="E0838"/>
    <n v="37"/>
    <s v="Male"/>
    <s v="Master"/>
    <x v="5"/>
    <s v="Professor"/>
    <n v="12"/>
    <x v="2"/>
    <s v="Low"/>
    <s v="No"/>
    <n v="42352"/>
    <n v="55136"/>
    <x v="0"/>
    <n v="51"/>
    <x v="0"/>
    <n v="3"/>
    <n v="10.15"/>
    <n v="12784"/>
    <n v="30.18511522478277"/>
    <s v="Intermediate"/>
    <s v="Low Impact"/>
  </r>
  <r>
    <s v="E1550"/>
    <n v="46"/>
    <s v="Male"/>
    <s v="High School"/>
    <x v="3"/>
    <s v="Accountant"/>
    <n v="22"/>
    <x v="1"/>
    <s v="High"/>
    <s v="Yes"/>
    <n v="77396"/>
    <n v="84818"/>
    <x v="0"/>
    <n v="45"/>
    <x v="1"/>
    <n v="3"/>
    <n v="10.14"/>
    <n v="7422"/>
    <n v="9.5896428756008074"/>
    <s v="Expert"/>
    <s v="Low Impact"/>
  </r>
  <r>
    <s v="E0150"/>
    <n v="41"/>
    <s v="Male"/>
    <s v="High School"/>
    <x v="6"/>
    <s v="Doctor"/>
    <n v="16"/>
    <x v="0"/>
    <s v="Low"/>
    <s v="Yes"/>
    <n v="51566"/>
    <n v="56698"/>
    <x v="0"/>
    <n v="35"/>
    <x v="1"/>
    <n v="7"/>
    <n v="10.130000000000001"/>
    <n v="5132"/>
    <n v="9.9522941473063646"/>
    <s v="Expert"/>
    <s v="Low Impact"/>
  </r>
  <r>
    <s v="E0638"/>
    <n v="36"/>
    <s v="Female"/>
    <s v="Bachelor"/>
    <x v="5"/>
    <s v="Professor"/>
    <n v="14"/>
    <x v="2"/>
    <s v="High"/>
    <s v="Yes"/>
    <n v="61923"/>
    <n v="68481"/>
    <x v="1"/>
    <n v="54"/>
    <x v="1"/>
    <n v="8"/>
    <n v="10.08"/>
    <n v="6558"/>
    <n v="10.590572162201443"/>
    <s v="Intermediate"/>
    <s v="Medium Impact"/>
  </r>
  <r>
    <s v="E1815"/>
    <n v="50"/>
    <s v="Other"/>
    <s v="PhD"/>
    <x v="2"/>
    <s v="SEO Specialist"/>
    <n v="27"/>
    <x v="1"/>
    <s v="Medium"/>
    <s v="Yes"/>
    <n v="33447"/>
    <n v="32983"/>
    <x v="1"/>
    <n v="45"/>
    <x v="0"/>
    <n v="6"/>
    <n v="10.039999999999999"/>
    <n v="-464"/>
    <n v="-1.3872694113074415"/>
    <s v="Expert"/>
    <s v="Medium Impact"/>
  </r>
  <r>
    <s v="E0806"/>
    <n v="27"/>
    <s v="Female"/>
    <s v="PhD"/>
    <x v="1"/>
    <s v="Quality Inspector"/>
    <n v="1"/>
    <x v="2"/>
    <s v="High"/>
    <s v="Yes"/>
    <n v="49581"/>
    <n v="49529"/>
    <x v="1"/>
    <n v="45"/>
    <x v="1"/>
    <n v="4"/>
    <n v="10.029999999999999"/>
    <n v="-52"/>
    <n v="-0.10487888505677578"/>
    <s v="Beginner"/>
    <s v="Medium Impact"/>
  </r>
  <r>
    <s v="E0716"/>
    <n v="58"/>
    <s v="Male"/>
    <s v="Master"/>
    <x v="5"/>
    <s v="Professor"/>
    <n v="33"/>
    <x v="2"/>
    <s v="High"/>
    <s v="No"/>
    <n v="62083"/>
    <n v="70672"/>
    <x v="2"/>
    <n v="44"/>
    <x v="0"/>
    <n v="8"/>
    <n v="10.02"/>
    <n v="8589"/>
    <n v="13.834705152779344"/>
    <s v="Expert"/>
    <s v="High Impact"/>
  </r>
  <r>
    <s v="E1014"/>
    <n v="31"/>
    <s v="Other"/>
    <s v="High School"/>
    <x v="6"/>
    <s v="Nurse"/>
    <n v="7"/>
    <x v="2"/>
    <s v="Low"/>
    <s v="Yes"/>
    <n v="72968"/>
    <n v="91334"/>
    <x v="0"/>
    <n v="40"/>
    <x v="1"/>
    <n v="8"/>
    <n v="10"/>
    <n v="18366"/>
    <n v="25.169937506852317"/>
    <s v="Intermediate"/>
    <s v="Low Impact"/>
  </r>
  <r>
    <s v="E1411"/>
    <n v="57"/>
    <s v="Male"/>
    <s v="Bachelor"/>
    <x v="4"/>
    <s v="Sales Associate"/>
    <n v="34"/>
    <x v="2"/>
    <s v="Medium"/>
    <s v="No"/>
    <n v="75913"/>
    <n v="95820"/>
    <x v="1"/>
    <n v="50"/>
    <x v="0"/>
    <n v="8"/>
    <n v="9.98"/>
    <n v="19907"/>
    <n v="26.223439990515455"/>
    <s v="Expert"/>
    <s v="Medium Impact"/>
  </r>
  <r>
    <s v="E1503"/>
    <n v="32"/>
    <s v="Other"/>
    <s v="Bachelor"/>
    <x v="0"/>
    <s v="Data Analyst"/>
    <n v="7"/>
    <x v="1"/>
    <s v="Medium"/>
    <s v="No"/>
    <n v="64674"/>
    <n v="76846"/>
    <x v="1"/>
    <n v="36"/>
    <x v="0"/>
    <n v="4"/>
    <n v="9.9700000000000006"/>
    <n v="12172"/>
    <n v="18.820546123635467"/>
    <s v="Intermediate"/>
    <s v="Medium Impact"/>
  </r>
  <r>
    <s v="E0722"/>
    <n v="53"/>
    <s v="Female"/>
    <s v="Bachelor"/>
    <x v="3"/>
    <s v="Accountant"/>
    <n v="28"/>
    <x v="2"/>
    <s v="High"/>
    <s v="No"/>
    <n v="55256"/>
    <n v="59477"/>
    <x v="2"/>
    <n v="39"/>
    <x v="0"/>
    <n v="7"/>
    <n v="9.94"/>
    <n v="4221"/>
    <n v="7.6389894310120168"/>
    <s v="Expert"/>
    <s v="High Impact"/>
  </r>
  <r>
    <s v="E0226"/>
    <n v="38"/>
    <s v="Female"/>
    <s v="High School"/>
    <x v="3"/>
    <s v="Investment Analyst"/>
    <n v="13"/>
    <x v="1"/>
    <s v="Low"/>
    <s v="Yes"/>
    <n v="82269"/>
    <n v="77558"/>
    <x v="0"/>
    <n v="54"/>
    <x v="0"/>
    <n v="3"/>
    <n v="9.93"/>
    <n v="-4711"/>
    <n v="-5.7263367732681818"/>
    <s v="Intermediate"/>
    <s v="Low Impact"/>
  </r>
  <r>
    <s v="E1621"/>
    <n v="48"/>
    <s v="Female"/>
    <s v="Master"/>
    <x v="0"/>
    <s v="DevOps Engineer"/>
    <n v="23"/>
    <x v="0"/>
    <s v="High"/>
    <s v="Yes"/>
    <n v="52161"/>
    <n v="54374"/>
    <x v="0"/>
    <n v="39"/>
    <x v="0"/>
    <n v="4"/>
    <n v="9.93"/>
    <n v="2213"/>
    <n v="4.242633385096144"/>
    <s v="Expert"/>
    <s v="Low Impact"/>
  </r>
  <r>
    <s v="E1168"/>
    <n v="40"/>
    <s v="Other"/>
    <s v="PhD"/>
    <x v="4"/>
    <s v="Store Manager"/>
    <n v="15"/>
    <x v="2"/>
    <s v="High"/>
    <s v="Yes"/>
    <n v="91607"/>
    <n v="91931"/>
    <x v="1"/>
    <n v="52"/>
    <x v="1"/>
    <n v="6"/>
    <n v="9.89"/>
    <n v="324"/>
    <n v="0.35368476208150035"/>
    <s v="Expert"/>
    <s v="Medium Impact"/>
  </r>
  <r>
    <s v="E1668"/>
    <n v="59"/>
    <s v="Male"/>
    <s v="High School"/>
    <x v="1"/>
    <s v="Quality Inspector"/>
    <n v="33"/>
    <x v="1"/>
    <s v="Medium"/>
    <s v="No"/>
    <n v="57350"/>
    <n v="58075"/>
    <x v="1"/>
    <n v="44"/>
    <x v="1"/>
    <n v="5"/>
    <n v="9.8699999999999992"/>
    <n v="725"/>
    <n v="1.2641673931996511"/>
    <s v="Expert"/>
    <s v="Medium Impact"/>
  </r>
  <r>
    <s v="E0987"/>
    <n v="39"/>
    <s v="Female"/>
    <s v="High School"/>
    <x v="0"/>
    <s v="Data Analyst"/>
    <n v="16"/>
    <x v="0"/>
    <s v="High"/>
    <s v="Yes"/>
    <n v="32251"/>
    <n v="33893"/>
    <x v="0"/>
    <n v="50"/>
    <x v="1"/>
    <n v="6"/>
    <n v="9.83"/>
    <n v="1642"/>
    <n v="5.0913149979845587"/>
    <s v="Expert"/>
    <s v="Low Impact"/>
  </r>
  <r>
    <s v="E1013"/>
    <n v="52"/>
    <s v="Other"/>
    <s v="Bachelor"/>
    <x v="0"/>
    <s v="DevOps Engineer"/>
    <n v="27"/>
    <x v="1"/>
    <s v="Medium"/>
    <s v="Yes"/>
    <n v="58718"/>
    <n v="69206"/>
    <x v="1"/>
    <n v="48"/>
    <x v="1"/>
    <n v="7"/>
    <n v="9.8000000000000007"/>
    <n v="10488"/>
    <n v="17.861643788957391"/>
    <s v="Expert"/>
    <s v="Medium Impact"/>
  </r>
  <r>
    <s v="E1279"/>
    <n v="48"/>
    <s v="Female"/>
    <s v="Bachelor"/>
    <x v="3"/>
    <s v="Accountant"/>
    <n v="22"/>
    <x v="1"/>
    <s v="Medium"/>
    <s v="No"/>
    <n v="61533"/>
    <n v="56158"/>
    <x v="1"/>
    <n v="50"/>
    <x v="1"/>
    <n v="7"/>
    <n v="9.7799999999999994"/>
    <n v="-5375"/>
    <n v="-8.7351502445842062"/>
    <s v="Expert"/>
    <s v="Medium Impact"/>
  </r>
  <r>
    <s v="E0784"/>
    <n v="23"/>
    <s v="Other"/>
    <s v="PhD"/>
    <x v="2"/>
    <s v="SEO Specialist"/>
    <n v="1"/>
    <x v="1"/>
    <s v="High"/>
    <s v="No"/>
    <n v="91497"/>
    <n v="82524"/>
    <x v="0"/>
    <n v="40"/>
    <x v="0"/>
    <n v="8"/>
    <n v="9.77"/>
    <n v="-8973"/>
    <n v="-9.8068789140627555"/>
    <s v="Beginner"/>
    <s v="Low Impact"/>
  </r>
  <r>
    <s v="E0325"/>
    <n v="51"/>
    <s v="Female"/>
    <s v="PhD"/>
    <x v="2"/>
    <s v="Digital Marketer"/>
    <n v="26"/>
    <x v="0"/>
    <s v="Medium"/>
    <s v="Yes"/>
    <n v="76804"/>
    <n v="80751"/>
    <x v="1"/>
    <n v="51"/>
    <x v="0"/>
    <n v="7"/>
    <n v="9.76"/>
    <n v="3947"/>
    <n v="5.1390552575386694"/>
    <s v="Expert"/>
    <s v="Medium Impact"/>
  </r>
  <r>
    <s v="E0989"/>
    <n v="24"/>
    <s v="Female"/>
    <s v="Master"/>
    <x v="2"/>
    <s v="Content Creator"/>
    <n v="0"/>
    <x v="2"/>
    <s v="Low"/>
    <s v="Yes"/>
    <n v="100871"/>
    <n v="94942"/>
    <x v="0"/>
    <n v="47"/>
    <x v="1"/>
    <n v="3"/>
    <n v="9.66"/>
    <n v="-5929"/>
    <n v="-5.8778043243350417"/>
    <s v="Beginner"/>
    <s v="Low Impact"/>
  </r>
  <r>
    <s v="E1583"/>
    <n v="45"/>
    <s v="Other"/>
    <s v="Bachelor"/>
    <x v="5"/>
    <s v="Professor"/>
    <n v="23"/>
    <x v="0"/>
    <s v="Medium"/>
    <s v="No"/>
    <n v="82800"/>
    <n v="84035"/>
    <x v="1"/>
    <n v="52"/>
    <x v="0"/>
    <n v="7"/>
    <n v="9.58"/>
    <n v="1235"/>
    <n v="1.4915458937198067"/>
    <s v="Expert"/>
    <s v="Medium Impact"/>
  </r>
  <r>
    <s v="E0694"/>
    <n v="58"/>
    <s v="Female"/>
    <s v="High School"/>
    <x v="0"/>
    <s v="Software Engineer"/>
    <n v="35"/>
    <x v="0"/>
    <s v="High"/>
    <s v="No"/>
    <n v="96630"/>
    <n v="92541"/>
    <x v="0"/>
    <n v="39"/>
    <x v="0"/>
    <n v="7"/>
    <n v="9.5500000000000007"/>
    <n v="-4089"/>
    <n v="-4.2316050915864638"/>
    <s v="Expert"/>
    <s v="Low Impact"/>
  </r>
  <r>
    <s v="E1607"/>
    <n v="34"/>
    <s v="Male"/>
    <s v="Master"/>
    <x v="5"/>
    <s v="Teacher"/>
    <n v="10"/>
    <x v="2"/>
    <s v="Medium"/>
    <s v="No"/>
    <n v="69470"/>
    <n v="84917"/>
    <x v="1"/>
    <n v="52"/>
    <x v="1"/>
    <n v="9"/>
    <n v="9.5500000000000007"/>
    <n v="15447"/>
    <n v="22.235497336979993"/>
    <s v="Intermediate"/>
    <s v="Medium Impact"/>
  </r>
  <r>
    <s v="E1227"/>
    <n v="26"/>
    <s v="Male"/>
    <s v="PhD"/>
    <x v="0"/>
    <s v="Software Engineer"/>
    <n v="4"/>
    <x v="1"/>
    <s v="Medium"/>
    <s v="No"/>
    <n v="54722"/>
    <n v="57192"/>
    <x v="1"/>
    <n v="52"/>
    <x v="1"/>
    <n v="3"/>
    <n v="9.43"/>
    <n v="2470"/>
    <n v="4.5137239135996499"/>
    <s v="Beginner"/>
    <s v="Medium Impact"/>
  </r>
  <r>
    <s v="E1572"/>
    <n v="43"/>
    <s v="Female"/>
    <s v="Bachelor"/>
    <x v="3"/>
    <s v="Accountant"/>
    <n v="20"/>
    <x v="2"/>
    <s v="Low"/>
    <s v="Yes"/>
    <n v="79323"/>
    <n v="95051"/>
    <x v="0"/>
    <n v="38"/>
    <x v="1"/>
    <n v="4"/>
    <n v="9.39"/>
    <n v="15728"/>
    <n v="19.827792695687254"/>
    <s v="Expert"/>
    <s v="Low Impact"/>
  </r>
  <r>
    <s v="E1663"/>
    <n v="54"/>
    <s v="Male"/>
    <s v="High School"/>
    <x v="4"/>
    <s v="Store Manager"/>
    <n v="31"/>
    <x v="2"/>
    <s v="Medium"/>
    <s v="Yes"/>
    <n v="47881"/>
    <n v="62530"/>
    <x v="1"/>
    <n v="49"/>
    <x v="1"/>
    <n v="4"/>
    <n v="9.3800000000000008"/>
    <n v="14649"/>
    <n v="30.594599110294276"/>
    <s v="Expert"/>
    <s v="Medium Impact"/>
  </r>
  <r>
    <s v="E1997"/>
    <n v="31"/>
    <s v="Male"/>
    <s v="PhD"/>
    <x v="3"/>
    <s v="Investment Analyst"/>
    <n v="9"/>
    <x v="2"/>
    <s v="Medium"/>
    <s v="Yes"/>
    <n v="32379"/>
    <n v="44653"/>
    <x v="1"/>
    <n v="52"/>
    <x v="1"/>
    <n v="8"/>
    <n v="9.3800000000000008"/>
    <n v="12274"/>
    <n v="37.907285586336826"/>
    <s v="Intermediate"/>
    <s v="Medium Impact"/>
  </r>
  <r>
    <s v="E1327"/>
    <n v="39"/>
    <s v="Female"/>
    <s v="Master"/>
    <x v="4"/>
    <s v="Cashier"/>
    <n v="16"/>
    <x v="1"/>
    <s v="Medium"/>
    <s v="Yes"/>
    <n v="41292"/>
    <n v="46461"/>
    <x v="1"/>
    <n v="51"/>
    <x v="1"/>
    <n v="4"/>
    <n v="9.32"/>
    <n v="5169"/>
    <n v="12.518163324614937"/>
    <s v="Expert"/>
    <s v="Medium Impact"/>
  </r>
  <r>
    <s v="E1999"/>
    <n v="43"/>
    <s v="Female"/>
    <s v="Bachelor"/>
    <x v="2"/>
    <s v="Digital Marketer"/>
    <n v="20"/>
    <x v="1"/>
    <s v="Low"/>
    <s v="No"/>
    <n v="57821"/>
    <n v="68499"/>
    <x v="0"/>
    <n v="41"/>
    <x v="0"/>
    <n v="9"/>
    <n v="9.31"/>
    <n v="10678"/>
    <n v="18.467338856124936"/>
    <s v="Expert"/>
    <s v="Low Impact"/>
  </r>
  <r>
    <s v="E1318"/>
    <n v="31"/>
    <s v="Female"/>
    <s v="High School"/>
    <x v="4"/>
    <s v="Store Manager"/>
    <n v="6"/>
    <x v="0"/>
    <s v="High"/>
    <s v="Yes"/>
    <n v="102154"/>
    <n v="111335"/>
    <x v="0"/>
    <n v="54"/>
    <x v="1"/>
    <n v="3"/>
    <n v="9.2899999999999991"/>
    <n v="9181"/>
    <n v="8.9874111635374039"/>
    <s v="Intermediate"/>
    <s v="Low Impact"/>
  </r>
  <r>
    <s v="E1800"/>
    <n v="37"/>
    <s v="Male"/>
    <s v="Bachelor"/>
    <x v="1"/>
    <s v="Supervisor"/>
    <n v="14"/>
    <x v="2"/>
    <s v="High"/>
    <s v="Yes"/>
    <n v="54647"/>
    <n v="60799"/>
    <x v="1"/>
    <n v="38"/>
    <x v="0"/>
    <n v="3"/>
    <n v="9.26"/>
    <n v="6152"/>
    <n v="11.257708565886508"/>
    <s v="Intermediate"/>
    <s v="Medium Impact"/>
  </r>
  <r>
    <s v="E0804"/>
    <n v="29"/>
    <s v="Other"/>
    <s v="High School"/>
    <x v="6"/>
    <s v="Doctor"/>
    <n v="6"/>
    <x v="0"/>
    <s v="Low"/>
    <s v="No"/>
    <n v="105483"/>
    <n v="109701"/>
    <x v="0"/>
    <n v="51"/>
    <x v="1"/>
    <n v="9"/>
    <n v="9.14"/>
    <n v="4218"/>
    <n v="3.9987486135206618"/>
    <s v="Intermediate"/>
    <s v="Low Impact"/>
  </r>
  <r>
    <s v="E0036"/>
    <n v="50"/>
    <s v="Female"/>
    <s v="High School"/>
    <x v="2"/>
    <s v="Digital Marketer"/>
    <n v="27"/>
    <x v="0"/>
    <s v="Medium"/>
    <s v="Yes"/>
    <n v="76975"/>
    <n v="76652"/>
    <x v="1"/>
    <n v="37"/>
    <x v="0"/>
    <n v="7"/>
    <n v="9.14"/>
    <n v="-323"/>
    <n v="-0.41961675868788567"/>
    <s v="Expert"/>
    <s v="Medium Impact"/>
  </r>
  <r>
    <s v="E1097"/>
    <n v="43"/>
    <s v="Male"/>
    <s v="Master"/>
    <x v="5"/>
    <s v="Teacher"/>
    <n v="19"/>
    <x v="0"/>
    <s v="High"/>
    <s v="Yes"/>
    <n v="89055"/>
    <n v="90515"/>
    <x v="0"/>
    <n v="51"/>
    <x v="0"/>
    <n v="8"/>
    <n v="9.1199999999999992"/>
    <n v="1460"/>
    <n v="1.6394363034080064"/>
    <s v="Expert"/>
    <s v="Low Impact"/>
  </r>
  <r>
    <s v="E1906"/>
    <n v="23"/>
    <s v="Other"/>
    <s v="High School"/>
    <x v="1"/>
    <s v="Supervisor"/>
    <n v="0"/>
    <x v="1"/>
    <s v="Medium"/>
    <s v="Yes"/>
    <n v="82044"/>
    <n v="86728"/>
    <x v="1"/>
    <n v="45"/>
    <x v="1"/>
    <n v="8"/>
    <n v="9.1199999999999992"/>
    <n v="4684"/>
    <n v="5.7091316854370824"/>
    <s v="Beginner"/>
    <s v="Medium Impact"/>
  </r>
  <r>
    <s v="E0163"/>
    <n v="31"/>
    <s v="Female"/>
    <s v="High School"/>
    <x v="0"/>
    <s v="DevOps Engineer"/>
    <n v="7"/>
    <x v="2"/>
    <s v="Low"/>
    <s v="Yes"/>
    <n v="116143"/>
    <n v="105604"/>
    <x v="0"/>
    <n v="51"/>
    <x v="0"/>
    <n v="8"/>
    <n v="9.09"/>
    <n v="-10539"/>
    <n v="-9.0741585803707494"/>
    <s v="Intermediate"/>
    <s v="Low Impact"/>
  </r>
  <r>
    <s v="E1264"/>
    <n v="43"/>
    <s v="Female"/>
    <s v="PhD"/>
    <x v="6"/>
    <s v="Doctor"/>
    <n v="17"/>
    <x v="2"/>
    <s v="High"/>
    <s v="No"/>
    <n v="69770"/>
    <n v="71984"/>
    <x v="1"/>
    <n v="49"/>
    <x v="0"/>
    <n v="4"/>
    <n v="9.09"/>
    <n v="2214"/>
    <n v="3.1732836462663032"/>
    <s v="Expert"/>
    <s v="Medium Impact"/>
  </r>
  <r>
    <s v="E0762"/>
    <n v="27"/>
    <s v="Other"/>
    <s v="PhD"/>
    <x v="6"/>
    <s v="Nurse"/>
    <n v="2"/>
    <x v="2"/>
    <s v="High"/>
    <s v="No"/>
    <n v="66133"/>
    <n v="73210"/>
    <x v="1"/>
    <n v="42"/>
    <x v="1"/>
    <n v="9"/>
    <n v="9"/>
    <n v="7077"/>
    <n v="10.701162808280284"/>
    <s v="Beginner"/>
    <s v="Medium Impact"/>
  </r>
  <r>
    <s v="E1478"/>
    <n v="26"/>
    <s v="Male"/>
    <s v="PhD"/>
    <x v="0"/>
    <s v="Data Analyst"/>
    <n v="1"/>
    <x v="1"/>
    <s v="Low"/>
    <s v="Yes"/>
    <n v="52063"/>
    <n v="53322"/>
    <x v="0"/>
    <n v="37"/>
    <x v="0"/>
    <n v="6"/>
    <n v="9"/>
    <n v="1259"/>
    <n v="2.4182240746787547"/>
    <s v="Beginner"/>
    <s v="Low Impact"/>
  </r>
  <r>
    <s v="E0072"/>
    <n v="28"/>
    <s v="Male"/>
    <s v="Bachelor"/>
    <x v="3"/>
    <s v="Investment Analyst"/>
    <n v="3"/>
    <x v="1"/>
    <s v="Low"/>
    <s v="No"/>
    <n v="112637"/>
    <n v="124242"/>
    <x v="0"/>
    <n v="49"/>
    <x v="1"/>
    <n v="7"/>
    <n v="8.9499999999999993"/>
    <n v="11605"/>
    <n v="10.303008780418512"/>
    <s v="Beginner"/>
    <s v="Low Impact"/>
  </r>
  <r>
    <s v="E1233"/>
    <n v="43"/>
    <s v="Male"/>
    <s v="Bachelor"/>
    <x v="0"/>
    <s v="Data Analyst"/>
    <n v="20"/>
    <x v="1"/>
    <s v="High"/>
    <s v="No"/>
    <n v="70232"/>
    <n v="84164"/>
    <x v="0"/>
    <n v="35"/>
    <x v="1"/>
    <n v="3"/>
    <n v="8.92"/>
    <n v="13932"/>
    <n v="19.837111288301628"/>
    <s v="Expert"/>
    <s v="Low Impact"/>
  </r>
  <r>
    <s v="E0122"/>
    <n v="47"/>
    <s v="Female"/>
    <s v="Master"/>
    <x v="6"/>
    <s v="Nurse"/>
    <n v="21"/>
    <x v="2"/>
    <s v="Low"/>
    <s v="Yes"/>
    <n v="31917"/>
    <n v="28489"/>
    <x v="0"/>
    <n v="45"/>
    <x v="0"/>
    <n v="5"/>
    <n v="8.8699999999999992"/>
    <n v="-3428"/>
    <n v="-10.740357803051666"/>
    <s v="Expert"/>
    <s v="Low Impact"/>
  </r>
  <r>
    <s v="E0347"/>
    <n v="47"/>
    <s v="Other"/>
    <s v="Master"/>
    <x v="6"/>
    <s v="Doctor"/>
    <n v="23"/>
    <x v="0"/>
    <s v="Medium"/>
    <s v="No"/>
    <n v="92812"/>
    <n v="94599"/>
    <x v="1"/>
    <n v="44"/>
    <x v="1"/>
    <n v="7"/>
    <n v="8.85"/>
    <n v="1787"/>
    <n v="1.9253975778994095"/>
    <s v="Expert"/>
    <s v="Medium Impact"/>
  </r>
  <r>
    <s v="E1436"/>
    <n v="40"/>
    <s v="Female"/>
    <s v="High School"/>
    <x v="2"/>
    <s v="Content Creator"/>
    <n v="17"/>
    <x v="1"/>
    <s v="High"/>
    <s v="No"/>
    <n v="91606"/>
    <n v="99066"/>
    <x v="0"/>
    <n v="43"/>
    <x v="0"/>
    <n v="9"/>
    <n v="8.81"/>
    <n v="7460"/>
    <n v="8.1435713817872202"/>
    <s v="Expert"/>
    <s v="Low Impact"/>
  </r>
  <r>
    <s v="E0224"/>
    <n v="34"/>
    <s v="Male"/>
    <s v="PhD"/>
    <x v="3"/>
    <s v="Auditor"/>
    <n v="12"/>
    <x v="0"/>
    <s v="Medium"/>
    <s v="No"/>
    <n v="56589"/>
    <n v="57091"/>
    <x v="1"/>
    <n v="40"/>
    <x v="1"/>
    <n v="5"/>
    <n v="8.8000000000000007"/>
    <n v="502"/>
    <n v="0.88709819929668299"/>
    <s v="Intermediate"/>
    <s v="Medium Impact"/>
  </r>
  <r>
    <s v="E0187"/>
    <n v="50"/>
    <s v="Other"/>
    <s v="PhD"/>
    <x v="5"/>
    <s v="Teacher"/>
    <n v="28"/>
    <x v="0"/>
    <s v="High"/>
    <s v="No"/>
    <n v="91916"/>
    <n v="87838"/>
    <x v="0"/>
    <n v="50"/>
    <x v="1"/>
    <n v="6"/>
    <n v="8.7899999999999991"/>
    <n v="-4078"/>
    <n v="-4.4366595587275341"/>
    <s v="Expert"/>
    <s v="Low Impact"/>
  </r>
  <r>
    <s v="E1442"/>
    <n v="23"/>
    <s v="Female"/>
    <s v="Master"/>
    <x v="3"/>
    <s v="Investment Analyst"/>
    <n v="0"/>
    <x v="0"/>
    <s v="Low"/>
    <s v="No"/>
    <n v="66648"/>
    <n v="63518"/>
    <x v="0"/>
    <n v="49"/>
    <x v="1"/>
    <n v="7"/>
    <n v="8.76"/>
    <n v="-3130"/>
    <n v="-4.6963149681910936"/>
    <s v="Beginner"/>
    <s v="Low Impact"/>
  </r>
  <r>
    <s v="E0321"/>
    <n v="25"/>
    <s v="Other"/>
    <s v="PhD"/>
    <x v="3"/>
    <s v="Auditor"/>
    <n v="3"/>
    <x v="1"/>
    <s v="High"/>
    <s v="No"/>
    <n v="89560"/>
    <n v="106392"/>
    <x v="0"/>
    <n v="52"/>
    <x v="0"/>
    <n v="4"/>
    <n v="8.6999999999999993"/>
    <n v="16832"/>
    <n v="18.794104510942386"/>
    <s v="Beginner"/>
    <s v="Low Impact"/>
  </r>
  <r>
    <s v="E1173"/>
    <n v="40"/>
    <s v="Female"/>
    <s v="Master"/>
    <x v="3"/>
    <s v="Accountant"/>
    <n v="18"/>
    <x v="2"/>
    <s v="Low"/>
    <s v="Yes"/>
    <n v="86866"/>
    <n v="114411"/>
    <x v="0"/>
    <n v="35"/>
    <x v="0"/>
    <n v="4"/>
    <n v="8.6300000000000008"/>
    <n v="27545"/>
    <n v="31.709759860014273"/>
    <s v="Expert"/>
    <s v="Low Impact"/>
  </r>
  <r>
    <s v="E0812"/>
    <n v="57"/>
    <s v="Male"/>
    <s v="PhD"/>
    <x v="3"/>
    <s v="Accountant"/>
    <n v="31"/>
    <x v="2"/>
    <s v="High"/>
    <s v="Yes"/>
    <n v="52504"/>
    <n v="51701"/>
    <x v="1"/>
    <n v="50"/>
    <x v="1"/>
    <n v="7"/>
    <n v="8.6300000000000008"/>
    <n v="-803"/>
    <n v="-1.5294072832546091"/>
    <s v="Expert"/>
    <s v="Medium Impact"/>
  </r>
  <r>
    <s v="E1199"/>
    <n v="23"/>
    <s v="Male"/>
    <s v="High School"/>
    <x v="4"/>
    <s v="Sales Associate"/>
    <n v="0"/>
    <x v="1"/>
    <s v="High"/>
    <s v="Yes"/>
    <n v="78380"/>
    <n v="82550"/>
    <x v="0"/>
    <n v="54"/>
    <x v="1"/>
    <n v="9"/>
    <n v="8.6199999999999992"/>
    <n v="4170"/>
    <n v="5.3202347537637156"/>
    <s v="Beginner"/>
    <s v="Low Impact"/>
  </r>
  <r>
    <s v="E1817"/>
    <n v="48"/>
    <s v="Male"/>
    <s v="High School"/>
    <x v="0"/>
    <s v="DevOps Engineer"/>
    <n v="24"/>
    <x v="1"/>
    <s v="Medium"/>
    <s v="No"/>
    <n v="40712"/>
    <n v="44910"/>
    <x v="1"/>
    <n v="52"/>
    <x v="1"/>
    <n v="6"/>
    <n v="8.56"/>
    <n v="4198"/>
    <n v="10.311456081744939"/>
    <s v="Expert"/>
    <s v="Medium Impact"/>
  </r>
  <r>
    <s v="E1584"/>
    <n v="33"/>
    <s v="Female"/>
    <s v="Bachelor"/>
    <x v="1"/>
    <s v="Quality Inspector"/>
    <n v="9"/>
    <x v="2"/>
    <s v="High"/>
    <s v="Yes"/>
    <n v="83871"/>
    <n v="83496"/>
    <x v="2"/>
    <n v="46"/>
    <x v="0"/>
    <n v="5"/>
    <n v="8.5399999999999991"/>
    <n v="-375"/>
    <n v="-0.44711521264799514"/>
    <s v="Intermediate"/>
    <s v="High Impact"/>
  </r>
  <r>
    <s v="E0104"/>
    <n v="37"/>
    <s v="Male"/>
    <s v="High School"/>
    <x v="1"/>
    <s v="Machine Operator"/>
    <n v="12"/>
    <x v="0"/>
    <s v="Medium"/>
    <s v="No"/>
    <n v="71240"/>
    <n v="77261"/>
    <x v="1"/>
    <n v="52"/>
    <x v="1"/>
    <n v="7"/>
    <n v="8.44"/>
    <n v="6021"/>
    <n v="8.4517125210555868"/>
    <s v="Intermediate"/>
    <s v="Medium Impact"/>
  </r>
  <r>
    <s v="E1258"/>
    <n v="31"/>
    <s v="Other"/>
    <s v="High School"/>
    <x v="1"/>
    <s v="Quality Inspector"/>
    <n v="9"/>
    <x v="1"/>
    <s v="High"/>
    <s v="No"/>
    <n v="49642"/>
    <n v="49719"/>
    <x v="0"/>
    <n v="37"/>
    <x v="1"/>
    <n v="8"/>
    <n v="8.41"/>
    <n v="77"/>
    <n v="0.1551105918375569"/>
    <s v="Intermediate"/>
    <s v="Low Impact"/>
  </r>
  <r>
    <s v="E0180"/>
    <n v="37"/>
    <s v="Male"/>
    <s v="PhD"/>
    <x v="1"/>
    <s v="Machine Operator"/>
    <n v="15"/>
    <x v="2"/>
    <s v="Low"/>
    <s v="Yes"/>
    <n v="42182"/>
    <n v="47812"/>
    <x v="0"/>
    <n v="41"/>
    <x v="0"/>
    <n v="8"/>
    <n v="8.39"/>
    <n v="5630"/>
    <n v="13.346925228770564"/>
    <s v="Expert"/>
    <s v="Low Impact"/>
  </r>
  <r>
    <s v="E0925"/>
    <n v="41"/>
    <s v="Other"/>
    <s v="Bachelor"/>
    <x v="0"/>
    <s v="Software Engineer"/>
    <n v="19"/>
    <x v="2"/>
    <s v="Medium"/>
    <s v="Yes"/>
    <n v="71115"/>
    <n v="68102"/>
    <x v="1"/>
    <n v="49"/>
    <x v="1"/>
    <n v="8"/>
    <n v="8.33"/>
    <n v="-3013"/>
    <n v="-4.2367995500246076"/>
    <s v="Expert"/>
    <s v="Medium Impact"/>
  </r>
  <r>
    <s v="E1249"/>
    <n v="50"/>
    <s v="Female"/>
    <s v="PhD"/>
    <x v="1"/>
    <s v="Quality Inspector"/>
    <n v="25"/>
    <x v="1"/>
    <s v="Medium"/>
    <s v="Yes"/>
    <n v="81529"/>
    <n v="85067"/>
    <x v="1"/>
    <n v="36"/>
    <x v="1"/>
    <n v="3"/>
    <n v="8.2799999999999994"/>
    <n v="3538"/>
    <n v="4.3395601565087265"/>
    <s v="Expert"/>
    <s v="Medium Impact"/>
  </r>
  <r>
    <s v="E1884"/>
    <n v="35"/>
    <s v="Female"/>
    <s v="PhD"/>
    <x v="5"/>
    <s v="Teacher"/>
    <n v="9"/>
    <x v="1"/>
    <s v="Medium"/>
    <s v="No"/>
    <n v="47223"/>
    <n v="54607"/>
    <x v="1"/>
    <n v="51"/>
    <x v="1"/>
    <n v="5"/>
    <n v="8.2799999999999994"/>
    <n v="7384"/>
    <n v="15.636448340850857"/>
    <s v="Intermediate"/>
    <s v="Medium Impact"/>
  </r>
  <r>
    <s v="E1735"/>
    <n v="56"/>
    <s v="Male"/>
    <s v="Master"/>
    <x v="2"/>
    <s v="SEO Specialist"/>
    <n v="34"/>
    <x v="0"/>
    <s v="Low"/>
    <s v="No"/>
    <n v="32466"/>
    <n v="32426"/>
    <x v="0"/>
    <n v="40"/>
    <x v="1"/>
    <n v="6"/>
    <n v="8.27"/>
    <n v="-40"/>
    <n v="-0.12320581531448285"/>
    <s v="Expert"/>
    <s v="Low Impact"/>
  </r>
  <r>
    <s v="E0650"/>
    <n v="52"/>
    <s v="Female"/>
    <s v="High School"/>
    <x v="5"/>
    <s v="Professor"/>
    <n v="26"/>
    <x v="2"/>
    <s v="Medium"/>
    <s v="No"/>
    <n v="35698"/>
    <n v="33841"/>
    <x v="1"/>
    <n v="44"/>
    <x v="0"/>
    <n v="3"/>
    <n v="8.26"/>
    <n v="-1857"/>
    <n v="-5.2019720992772704"/>
    <s v="Expert"/>
    <s v="Medium Impact"/>
  </r>
  <r>
    <s v="E1852"/>
    <n v="45"/>
    <s v="Other"/>
    <s v="Bachelor"/>
    <x v="4"/>
    <s v="Store Manager"/>
    <n v="22"/>
    <x v="1"/>
    <s v="Low"/>
    <s v="Yes"/>
    <n v="96940"/>
    <n v="103672"/>
    <x v="0"/>
    <n v="44"/>
    <x v="0"/>
    <n v="3"/>
    <n v="8.23"/>
    <n v="6732"/>
    <n v="6.9445017536620597"/>
    <s v="Expert"/>
    <s v="Low Impact"/>
  </r>
  <r>
    <s v="E1929"/>
    <n v="33"/>
    <s v="Female"/>
    <s v="Bachelor"/>
    <x v="2"/>
    <s v="Content Creator"/>
    <n v="7"/>
    <x v="2"/>
    <s v="Low"/>
    <s v="Yes"/>
    <n v="76221"/>
    <n v="76174"/>
    <x v="0"/>
    <n v="53"/>
    <x v="1"/>
    <n v="6"/>
    <n v="8.23"/>
    <n v="-47"/>
    <n v="-6.1662796342215401E-2"/>
    <s v="Intermediate"/>
    <s v="Low Impact"/>
  </r>
  <r>
    <s v="E1451"/>
    <n v="33"/>
    <s v="Female"/>
    <s v="Master"/>
    <x v="3"/>
    <s v="Auditor"/>
    <n v="9"/>
    <x v="0"/>
    <s v="High"/>
    <s v="No"/>
    <n v="65050"/>
    <n v="70502"/>
    <x v="0"/>
    <n v="50"/>
    <x v="0"/>
    <n v="6"/>
    <n v="8.23"/>
    <n v="5452"/>
    <n v="8.3812451960030749"/>
    <s v="Intermediate"/>
    <s v="Low Impact"/>
  </r>
  <r>
    <s v="E0041"/>
    <n v="25"/>
    <s v="Female"/>
    <s v="Master"/>
    <x v="4"/>
    <s v="Sales Associate"/>
    <n v="1"/>
    <x v="2"/>
    <s v="Medium"/>
    <s v="Yes"/>
    <n v="103744"/>
    <n v="144902"/>
    <x v="1"/>
    <n v="48"/>
    <x v="1"/>
    <n v="7"/>
    <n v="8.1999999999999993"/>
    <n v="41158"/>
    <n v="39.672655768044422"/>
    <s v="Beginner"/>
    <s v="Medium Impact"/>
  </r>
  <r>
    <s v="E1691"/>
    <n v="57"/>
    <s v="Other"/>
    <s v="Bachelor"/>
    <x v="0"/>
    <s v="Data Analyst"/>
    <n v="32"/>
    <x v="2"/>
    <s v="Medium"/>
    <s v="Yes"/>
    <n v="39290"/>
    <n v="49069"/>
    <x v="1"/>
    <n v="39"/>
    <x v="0"/>
    <n v="8"/>
    <n v="8.18"/>
    <n v="9779"/>
    <n v="24.889284805293968"/>
    <s v="Expert"/>
    <s v="Medium Impact"/>
  </r>
  <r>
    <s v="E1654"/>
    <n v="39"/>
    <s v="Female"/>
    <s v="High School"/>
    <x v="5"/>
    <s v="Administrator"/>
    <n v="17"/>
    <x v="2"/>
    <s v="High"/>
    <s v="No"/>
    <n v="119532"/>
    <n v="109181"/>
    <x v="2"/>
    <n v="50"/>
    <x v="0"/>
    <n v="4"/>
    <n v="8.17"/>
    <n v="-10351"/>
    <n v="-8.6596057959374892"/>
    <s v="Expert"/>
    <s v="High Impact"/>
  </r>
  <r>
    <s v="E0753"/>
    <n v="27"/>
    <s v="Male"/>
    <s v="PhD"/>
    <x v="3"/>
    <s v="Accountant"/>
    <n v="2"/>
    <x v="0"/>
    <s v="Medium"/>
    <s v="No"/>
    <n v="39927"/>
    <n v="42731"/>
    <x v="1"/>
    <n v="52"/>
    <x v="1"/>
    <n v="9"/>
    <n v="8.17"/>
    <n v="2804"/>
    <n v="7.0228166403686734"/>
    <s v="Beginner"/>
    <s v="Medium Impact"/>
  </r>
  <r>
    <s v="E1637"/>
    <n v="41"/>
    <s v="Other"/>
    <s v="Master"/>
    <x v="3"/>
    <s v="Auditor"/>
    <n v="19"/>
    <x v="2"/>
    <s v="Medium"/>
    <s v="No"/>
    <n v="86880"/>
    <n v="75258"/>
    <x v="1"/>
    <n v="47"/>
    <x v="0"/>
    <n v="5"/>
    <n v="8.07"/>
    <n v="-11622"/>
    <n v="-13.377071823204419"/>
    <s v="Expert"/>
    <s v="Medium Impact"/>
  </r>
  <r>
    <s v="E1585"/>
    <n v="29"/>
    <s v="Female"/>
    <s v="PhD"/>
    <x v="5"/>
    <s v="Teacher"/>
    <n v="4"/>
    <x v="2"/>
    <s v="Low"/>
    <s v="Yes"/>
    <n v="37470"/>
    <n v="49965"/>
    <x v="0"/>
    <n v="51"/>
    <x v="0"/>
    <n v="9"/>
    <n v="8.07"/>
    <n v="12495"/>
    <n v="33.346677341873502"/>
    <s v="Beginner"/>
    <s v="Low Impact"/>
  </r>
  <r>
    <s v="E0921"/>
    <n v="38"/>
    <s v="Other"/>
    <s v="PhD"/>
    <x v="1"/>
    <s v="Quality Inspector"/>
    <n v="12"/>
    <x v="2"/>
    <s v="Medium"/>
    <s v="Yes"/>
    <n v="65897"/>
    <n v="58032"/>
    <x v="1"/>
    <n v="42"/>
    <x v="0"/>
    <n v="8"/>
    <n v="8.06"/>
    <n v="-7865"/>
    <n v="-11.935292957190766"/>
    <s v="Intermediate"/>
    <s v="Medium Impact"/>
  </r>
  <r>
    <s v="E1499"/>
    <n v="46"/>
    <s v="Male"/>
    <s v="Bachelor"/>
    <x v="4"/>
    <s v="Sales Associate"/>
    <n v="21"/>
    <x v="2"/>
    <s v="Low"/>
    <s v="No"/>
    <n v="89622"/>
    <n v="94846"/>
    <x v="0"/>
    <n v="44"/>
    <x v="1"/>
    <n v="8"/>
    <n v="8.0299999999999994"/>
    <n v="5224"/>
    <n v="5.8289259333645758"/>
    <s v="Expert"/>
    <s v="Low Impact"/>
  </r>
  <r>
    <s v="E0635"/>
    <n v="47"/>
    <s v="Other"/>
    <s v="Master"/>
    <x v="4"/>
    <s v="Cashier"/>
    <n v="23"/>
    <x v="0"/>
    <s v="Medium"/>
    <s v="No"/>
    <n v="84028"/>
    <n v="85726"/>
    <x v="1"/>
    <n v="50"/>
    <x v="0"/>
    <n v="9"/>
    <n v="7.98"/>
    <n v="1698"/>
    <n v="2.020754986433094"/>
    <s v="Expert"/>
    <s v="Medium Impact"/>
  </r>
  <r>
    <s v="E1746"/>
    <n v="37"/>
    <s v="Female"/>
    <s v="Bachelor"/>
    <x v="0"/>
    <s v="Data Analyst"/>
    <n v="11"/>
    <x v="1"/>
    <s v="Low"/>
    <s v="Yes"/>
    <n v="36611"/>
    <n v="40633"/>
    <x v="0"/>
    <n v="54"/>
    <x v="0"/>
    <n v="6"/>
    <n v="7.95"/>
    <n v="4022"/>
    <n v="10.985769304307448"/>
    <s v="Intermediate"/>
    <s v="Low Impact"/>
  </r>
  <r>
    <s v="E0205"/>
    <n v="28"/>
    <s v="Other"/>
    <s v="Bachelor"/>
    <x v="3"/>
    <s v="Investment Analyst"/>
    <n v="2"/>
    <x v="2"/>
    <s v="Low"/>
    <s v="No"/>
    <n v="78874"/>
    <n v="108592"/>
    <x v="0"/>
    <n v="44"/>
    <x v="1"/>
    <n v="4"/>
    <n v="7.93"/>
    <n v="29718"/>
    <n v="37.677815249638662"/>
    <s v="Beginner"/>
    <s v="Low Impact"/>
  </r>
  <r>
    <s v="E1348"/>
    <n v="58"/>
    <s v="Male"/>
    <s v="PhD"/>
    <x v="5"/>
    <s v="Teacher"/>
    <n v="35"/>
    <x v="1"/>
    <s v="High"/>
    <s v="Yes"/>
    <n v="75278"/>
    <n v="74553"/>
    <x v="0"/>
    <n v="43"/>
    <x v="1"/>
    <n v="4"/>
    <n v="7.8"/>
    <n v="-725"/>
    <n v="-0.96309678790616127"/>
    <s v="Expert"/>
    <s v="Low Impact"/>
  </r>
  <r>
    <s v="E0818"/>
    <n v="35"/>
    <s v="Male"/>
    <s v="High School"/>
    <x v="3"/>
    <s v="Auditor"/>
    <n v="13"/>
    <x v="2"/>
    <s v="Low"/>
    <s v="No"/>
    <n v="53649"/>
    <n v="48309"/>
    <x v="0"/>
    <n v="40"/>
    <x v="0"/>
    <n v="8"/>
    <n v="7.76"/>
    <n v="-5340"/>
    <n v="-9.9535872057261088"/>
    <s v="Intermediate"/>
    <s v="Low Impact"/>
  </r>
  <r>
    <s v="E0109"/>
    <n v="43"/>
    <s v="Female"/>
    <s v="High School"/>
    <x v="2"/>
    <s v="Digital Marketer"/>
    <n v="20"/>
    <x v="1"/>
    <s v="High"/>
    <s v="Yes"/>
    <n v="58699"/>
    <n v="59325"/>
    <x v="0"/>
    <n v="47"/>
    <x v="0"/>
    <n v="4"/>
    <n v="7.75"/>
    <n v="626"/>
    <n v="1.0664576909317025"/>
    <s v="Expert"/>
    <s v="Low Impact"/>
  </r>
  <r>
    <s v="E1689"/>
    <n v="46"/>
    <s v="Female"/>
    <s v="PhD"/>
    <x v="0"/>
    <s v="Software Engineer"/>
    <n v="22"/>
    <x v="1"/>
    <s v="Low"/>
    <s v="Yes"/>
    <n v="77403"/>
    <n v="87544"/>
    <x v="0"/>
    <n v="52"/>
    <x v="0"/>
    <n v="7"/>
    <n v="7.74"/>
    <n v="10141"/>
    <n v="13.101559371083807"/>
    <s v="Expert"/>
    <s v="Low Impact"/>
  </r>
  <r>
    <s v="E0317"/>
    <n v="26"/>
    <s v="Other"/>
    <s v="Master"/>
    <x v="4"/>
    <s v="Store Manager"/>
    <n v="1"/>
    <x v="0"/>
    <s v="Medium"/>
    <s v="Yes"/>
    <n v="118340"/>
    <n v="119303"/>
    <x v="1"/>
    <n v="38"/>
    <x v="0"/>
    <n v="5"/>
    <n v="7.72"/>
    <n v="963"/>
    <n v="0.81375697143822889"/>
    <s v="Beginner"/>
    <s v="Medium Impact"/>
  </r>
  <r>
    <s v="E1339"/>
    <n v="57"/>
    <s v="Female"/>
    <s v="High School"/>
    <x v="3"/>
    <s v="Accountant"/>
    <n v="33"/>
    <x v="2"/>
    <s v="High"/>
    <s v="No"/>
    <n v="116158"/>
    <n v="101766"/>
    <x v="2"/>
    <n v="47"/>
    <x v="0"/>
    <n v="4"/>
    <n v="7.72"/>
    <n v="-14392"/>
    <n v="-12.390020489333493"/>
    <s v="Expert"/>
    <s v="High Impact"/>
  </r>
  <r>
    <s v="E0829"/>
    <n v="39"/>
    <s v="Female"/>
    <s v="PhD"/>
    <x v="5"/>
    <s v="Professor"/>
    <n v="15"/>
    <x v="1"/>
    <s v="Medium"/>
    <s v="Yes"/>
    <n v="93261"/>
    <n v="105703"/>
    <x v="1"/>
    <n v="37"/>
    <x v="0"/>
    <n v="9"/>
    <n v="7.64"/>
    <n v="12442"/>
    <n v="13.341053602256034"/>
    <s v="Expert"/>
    <s v="Medium Impact"/>
  </r>
  <r>
    <s v="E0361"/>
    <n v="23"/>
    <s v="Other"/>
    <s v="Master"/>
    <x v="4"/>
    <s v="Store Manager"/>
    <n v="0"/>
    <x v="1"/>
    <s v="Low"/>
    <s v="No"/>
    <n v="95633"/>
    <n v="110800"/>
    <x v="0"/>
    <n v="41"/>
    <x v="0"/>
    <n v="8"/>
    <n v="7.61"/>
    <n v="15167"/>
    <n v="15.859588217456317"/>
    <s v="Beginner"/>
    <s v="Low Impact"/>
  </r>
  <r>
    <s v="E0684"/>
    <n v="24"/>
    <s v="Other"/>
    <s v="Bachelor"/>
    <x v="1"/>
    <s v="Supervisor"/>
    <n v="2"/>
    <x v="1"/>
    <s v="Medium"/>
    <s v="No"/>
    <n v="86635"/>
    <n v="82939"/>
    <x v="1"/>
    <n v="52"/>
    <x v="1"/>
    <n v="3"/>
    <n v="7.58"/>
    <n v="-3696"/>
    <n v="-4.2661741790269518"/>
    <s v="Beginner"/>
    <s v="Medium Impact"/>
  </r>
  <r>
    <s v="E0776"/>
    <n v="47"/>
    <s v="Male"/>
    <s v="High School"/>
    <x v="4"/>
    <s v="Cashier"/>
    <n v="23"/>
    <x v="0"/>
    <s v="High"/>
    <s v="No"/>
    <n v="43921"/>
    <n v="46022"/>
    <x v="0"/>
    <n v="40"/>
    <x v="1"/>
    <n v="7"/>
    <n v="7.58"/>
    <n v="2101"/>
    <n v="4.7835887161039139"/>
    <s v="Expert"/>
    <s v="Low Impact"/>
  </r>
  <r>
    <s v="E1313"/>
    <n v="41"/>
    <s v="Other"/>
    <s v="Bachelor"/>
    <x v="5"/>
    <s v="Teacher"/>
    <n v="18"/>
    <x v="1"/>
    <s v="Medium"/>
    <s v="Yes"/>
    <n v="118553"/>
    <n v="140888"/>
    <x v="1"/>
    <n v="40"/>
    <x v="1"/>
    <n v="6"/>
    <n v="7.54"/>
    <n v="22335"/>
    <n v="18.839675082030823"/>
    <s v="Expert"/>
    <s v="Medium Impact"/>
  </r>
  <r>
    <s v="E0432"/>
    <n v="48"/>
    <s v="Female"/>
    <s v="Master"/>
    <x v="3"/>
    <s v="Auditor"/>
    <n v="22"/>
    <x v="2"/>
    <s v="High"/>
    <s v="No"/>
    <n v="54842"/>
    <n v="55504"/>
    <x v="1"/>
    <n v="45"/>
    <x v="0"/>
    <n v="9"/>
    <n v="7.51"/>
    <n v="662"/>
    <n v="1.2071040443455745"/>
    <s v="Expert"/>
    <s v="Medium Impact"/>
  </r>
  <r>
    <s v="E0793"/>
    <n v="37"/>
    <s v="Female"/>
    <s v="High School"/>
    <x v="3"/>
    <s v="Investment Analyst"/>
    <n v="13"/>
    <x v="0"/>
    <s v="Medium"/>
    <s v="Yes"/>
    <n v="36008"/>
    <n v="38993"/>
    <x v="1"/>
    <n v="54"/>
    <x v="0"/>
    <n v="9"/>
    <n v="7.51"/>
    <n v="2985"/>
    <n v="8.2898244834481236"/>
    <s v="Intermediate"/>
    <s v="Medium Impact"/>
  </r>
  <r>
    <s v="E1246"/>
    <n v="53"/>
    <s v="Female"/>
    <s v="Bachelor"/>
    <x v="5"/>
    <s v="Professor"/>
    <n v="29"/>
    <x v="1"/>
    <s v="High"/>
    <s v="No"/>
    <n v="98916"/>
    <n v="114537"/>
    <x v="0"/>
    <n v="47"/>
    <x v="0"/>
    <n v="5"/>
    <n v="7.5"/>
    <n v="15621"/>
    <n v="15.792187310445227"/>
    <s v="Expert"/>
    <s v="Low Impact"/>
  </r>
  <r>
    <s v="E0633"/>
    <n v="41"/>
    <s v="Male"/>
    <s v="Bachelor"/>
    <x v="1"/>
    <s v="Machine Operator"/>
    <n v="16"/>
    <x v="2"/>
    <s v="High"/>
    <s v="Yes"/>
    <n v="30336"/>
    <n v="27036"/>
    <x v="2"/>
    <n v="49"/>
    <x v="1"/>
    <n v="7"/>
    <n v="7.5"/>
    <n v="-3300"/>
    <n v="-10.878164556962025"/>
    <s v="Expert"/>
    <s v="High Impact"/>
  </r>
  <r>
    <s v="E1768"/>
    <n v="36"/>
    <s v="Other"/>
    <s v="PhD"/>
    <x v="3"/>
    <s v="Accountant"/>
    <n v="14"/>
    <x v="1"/>
    <s v="Low"/>
    <s v="No"/>
    <n v="84081"/>
    <n v="88238"/>
    <x v="0"/>
    <n v="36"/>
    <x v="1"/>
    <n v="5"/>
    <n v="7.46"/>
    <n v="4157"/>
    <n v="4.9440420546853634"/>
    <s v="Intermediate"/>
    <s v="Low Impact"/>
  </r>
  <r>
    <s v="E0197"/>
    <n v="30"/>
    <s v="Other"/>
    <s v="PhD"/>
    <x v="4"/>
    <s v="Sales Associate"/>
    <n v="5"/>
    <x v="2"/>
    <s v="Medium"/>
    <s v="Yes"/>
    <n v="64701"/>
    <n v="85151"/>
    <x v="1"/>
    <n v="37"/>
    <x v="0"/>
    <n v="5"/>
    <n v="7.45"/>
    <n v="20450"/>
    <n v="31.60693034110756"/>
    <s v="Intermediate"/>
    <s v="Medium Impact"/>
  </r>
  <r>
    <s v="E1372"/>
    <n v="25"/>
    <s v="Other"/>
    <s v="High School"/>
    <x v="5"/>
    <s v="Teacher"/>
    <n v="3"/>
    <x v="2"/>
    <s v="Low"/>
    <s v="Yes"/>
    <n v="49333"/>
    <n v="41066"/>
    <x v="0"/>
    <n v="51"/>
    <x v="0"/>
    <n v="6"/>
    <n v="7.43"/>
    <n v="-8267"/>
    <n v="-16.75754565909229"/>
    <s v="Beginner"/>
    <s v="Low Impact"/>
  </r>
  <r>
    <s v="E0918"/>
    <n v="55"/>
    <s v="Male"/>
    <s v="High School"/>
    <x v="3"/>
    <s v="Investment Analyst"/>
    <n v="32"/>
    <x v="1"/>
    <s v="Medium"/>
    <s v="No"/>
    <n v="69236"/>
    <n v="62460"/>
    <x v="1"/>
    <n v="43"/>
    <x v="0"/>
    <n v="7"/>
    <n v="7.4"/>
    <n v="-6776"/>
    <n v="-9.7868161072274535"/>
    <s v="Expert"/>
    <s v="Medium Impact"/>
  </r>
  <r>
    <s v="E1395"/>
    <n v="29"/>
    <s v="Female"/>
    <s v="High School"/>
    <x v="1"/>
    <s v="Quality Inspector"/>
    <n v="6"/>
    <x v="1"/>
    <s v="High"/>
    <s v="Yes"/>
    <n v="73909"/>
    <n v="80214"/>
    <x v="0"/>
    <n v="44"/>
    <x v="0"/>
    <n v="4"/>
    <n v="7.38"/>
    <n v="6305"/>
    <n v="8.5307608004437885"/>
    <s v="Intermediate"/>
    <s v="Low Impact"/>
  </r>
  <r>
    <s v="E1311"/>
    <n v="42"/>
    <s v="Other"/>
    <s v="Master"/>
    <x v="4"/>
    <s v="Cashier"/>
    <n v="18"/>
    <x v="2"/>
    <s v="Low"/>
    <s v="No"/>
    <n v="45150"/>
    <n v="40146"/>
    <x v="0"/>
    <n v="41"/>
    <x v="1"/>
    <n v="6"/>
    <n v="7.37"/>
    <n v="-5004"/>
    <n v="-11.083056478405316"/>
    <s v="Expert"/>
    <s v="Low Impact"/>
  </r>
  <r>
    <s v="E1856"/>
    <n v="34"/>
    <s v="Other"/>
    <s v="Master"/>
    <x v="2"/>
    <s v="Digital Marketer"/>
    <n v="12"/>
    <x v="0"/>
    <s v="High"/>
    <s v="Yes"/>
    <n v="66719"/>
    <n v="66363"/>
    <x v="0"/>
    <n v="51"/>
    <x v="0"/>
    <n v="7"/>
    <n v="7.35"/>
    <n v="-356"/>
    <n v="-0.53358113880603719"/>
    <s v="Intermediate"/>
    <s v="Low Impact"/>
  </r>
  <r>
    <s v="E0959"/>
    <n v="37"/>
    <s v="Other"/>
    <s v="Master"/>
    <x v="3"/>
    <s v="Auditor"/>
    <n v="15"/>
    <x v="0"/>
    <s v="Medium"/>
    <s v="Yes"/>
    <n v="90102"/>
    <n v="89623"/>
    <x v="1"/>
    <n v="40"/>
    <x v="1"/>
    <n v="7"/>
    <n v="7.3"/>
    <n v="-479"/>
    <n v="-0.5316197198730328"/>
    <s v="Expert"/>
    <s v="Medium Impact"/>
  </r>
  <r>
    <s v="E0084"/>
    <n v="39"/>
    <s v="Other"/>
    <s v="Bachelor"/>
    <x v="0"/>
    <s v="Software Engineer"/>
    <n v="17"/>
    <x v="0"/>
    <s v="High"/>
    <s v="No"/>
    <n v="82528"/>
    <n v="87014"/>
    <x v="0"/>
    <n v="37"/>
    <x v="1"/>
    <n v="9"/>
    <n v="7.27"/>
    <n v="4486"/>
    <n v="5.43573090345095"/>
    <s v="Expert"/>
    <s v="Low Impact"/>
  </r>
  <r>
    <s v="E1147"/>
    <n v="26"/>
    <s v="Other"/>
    <s v="Master"/>
    <x v="4"/>
    <s v="Store Manager"/>
    <n v="3"/>
    <x v="1"/>
    <s v="Low"/>
    <s v="No"/>
    <n v="71548"/>
    <n v="81361"/>
    <x v="0"/>
    <n v="37"/>
    <x v="0"/>
    <n v="9"/>
    <n v="7.24"/>
    <n v="9813"/>
    <n v="13.715268071783976"/>
    <s v="Beginner"/>
    <s v="Low Impact"/>
  </r>
  <r>
    <s v="E0626"/>
    <n v="56"/>
    <s v="Female"/>
    <s v="PhD"/>
    <x v="0"/>
    <s v="Software Engineer"/>
    <n v="33"/>
    <x v="0"/>
    <s v="High"/>
    <s v="Yes"/>
    <n v="41151"/>
    <n v="41119"/>
    <x v="0"/>
    <n v="42"/>
    <x v="0"/>
    <n v="7"/>
    <n v="7.24"/>
    <n v="-32"/>
    <n v="-7.7762387305290268E-2"/>
    <s v="Expert"/>
    <s v="Low Impact"/>
  </r>
  <r>
    <s v="E1358"/>
    <n v="44"/>
    <s v="Male"/>
    <s v="High School"/>
    <x v="1"/>
    <s v="Supervisor"/>
    <n v="22"/>
    <x v="0"/>
    <s v="Low"/>
    <s v="Yes"/>
    <n v="68031"/>
    <n v="72799"/>
    <x v="0"/>
    <n v="44"/>
    <x v="0"/>
    <n v="7"/>
    <n v="7.23"/>
    <n v="4768"/>
    <n v="7.0085696226720176"/>
    <s v="Expert"/>
    <s v="Low Impact"/>
  </r>
  <r>
    <s v="E1065"/>
    <n v="39"/>
    <s v="Male"/>
    <s v="Bachelor"/>
    <x v="1"/>
    <s v="Quality Inspector"/>
    <n v="13"/>
    <x v="1"/>
    <s v="Low"/>
    <s v="Yes"/>
    <n v="56393"/>
    <n v="59103"/>
    <x v="0"/>
    <n v="42"/>
    <x v="1"/>
    <n v="6"/>
    <n v="7.21"/>
    <n v="2710"/>
    <n v="4.8055609738797367"/>
    <s v="Intermediate"/>
    <s v="Low Impact"/>
  </r>
  <r>
    <s v="E1527"/>
    <n v="47"/>
    <s v="Female"/>
    <s v="Bachelor"/>
    <x v="6"/>
    <s v="Nurse"/>
    <n v="21"/>
    <x v="0"/>
    <s v="Low"/>
    <s v="Yes"/>
    <n v="79004"/>
    <n v="80218"/>
    <x v="0"/>
    <n v="44"/>
    <x v="0"/>
    <n v="5"/>
    <n v="7.14"/>
    <n v="1214"/>
    <n v="1.5366310566553592"/>
    <s v="Expert"/>
    <s v="Low Impact"/>
  </r>
  <r>
    <s v="E1460"/>
    <n v="22"/>
    <s v="Other"/>
    <s v="Master"/>
    <x v="3"/>
    <s v="Auditor"/>
    <n v="0"/>
    <x v="2"/>
    <s v="Low"/>
    <s v="Yes"/>
    <n v="32347"/>
    <n v="32675"/>
    <x v="0"/>
    <n v="54"/>
    <x v="1"/>
    <n v="9"/>
    <n v="7.13"/>
    <n v="328"/>
    <n v="1.0140043898970539"/>
    <s v="Beginner"/>
    <s v="Low Impact"/>
  </r>
  <r>
    <s v="E0743"/>
    <n v="57"/>
    <s v="Male"/>
    <s v="Master"/>
    <x v="1"/>
    <s v="Supervisor"/>
    <n v="33"/>
    <x v="2"/>
    <s v="Low"/>
    <s v="Yes"/>
    <n v="50827"/>
    <n v="71089"/>
    <x v="0"/>
    <n v="54"/>
    <x v="0"/>
    <n v="7"/>
    <n v="7.1"/>
    <n v="20262"/>
    <n v="39.864638873039922"/>
    <s v="Expert"/>
    <s v="Low Impact"/>
  </r>
  <r>
    <s v="E0819"/>
    <n v="29"/>
    <s v="Female"/>
    <s v="Bachelor"/>
    <x v="4"/>
    <s v="Store Manager"/>
    <n v="5"/>
    <x v="1"/>
    <s v="High"/>
    <s v="No"/>
    <n v="44645"/>
    <n v="46529"/>
    <x v="0"/>
    <n v="54"/>
    <x v="0"/>
    <n v="7"/>
    <n v="7.08"/>
    <n v="1884"/>
    <n v="4.2199574420427819"/>
    <s v="Intermediate"/>
    <s v="Low Impact"/>
  </r>
  <r>
    <s v="E1867"/>
    <n v="40"/>
    <s v="Female"/>
    <s v="PhD"/>
    <x v="3"/>
    <s v="Auditor"/>
    <n v="15"/>
    <x v="2"/>
    <s v="High"/>
    <s v="Yes"/>
    <n v="70379"/>
    <n v="92945"/>
    <x v="1"/>
    <n v="44"/>
    <x v="0"/>
    <n v="4"/>
    <n v="7.06"/>
    <n v="22566"/>
    <n v="32.063541681467484"/>
    <s v="Expert"/>
    <s v="Medium Impact"/>
  </r>
  <r>
    <s v="E0586"/>
    <n v="23"/>
    <s v="Male"/>
    <s v="Master"/>
    <x v="1"/>
    <s v="Machine Operator"/>
    <n v="0"/>
    <x v="1"/>
    <s v="High"/>
    <s v="No"/>
    <n v="102075"/>
    <n v="105459"/>
    <x v="0"/>
    <n v="51"/>
    <x v="1"/>
    <n v="8"/>
    <n v="7.05"/>
    <n v="3384"/>
    <n v="3.3152094048493757"/>
    <s v="Beginner"/>
    <s v="Low Impact"/>
  </r>
  <r>
    <s v="E0005"/>
    <n v="24"/>
    <s v="Male"/>
    <s v="Bachelor"/>
    <x v="6"/>
    <s v="Doctor"/>
    <n v="0"/>
    <x v="2"/>
    <s v="Medium"/>
    <s v="No"/>
    <n v="33890"/>
    <n v="40945"/>
    <x v="1"/>
    <n v="52"/>
    <x v="1"/>
    <n v="6"/>
    <n v="7.03"/>
    <n v="7055"/>
    <n v="20.817350250811447"/>
    <s v="Beginner"/>
    <s v="Medium Impact"/>
  </r>
  <r>
    <s v="E0862"/>
    <n v="46"/>
    <s v="Female"/>
    <s v="High School"/>
    <x v="6"/>
    <s v="Nurse"/>
    <n v="23"/>
    <x v="2"/>
    <s v="Medium"/>
    <s v="No"/>
    <n v="59813"/>
    <n v="72030"/>
    <x v="1"/>
    <n v="41"/>
    <x v="0"/>
    <n v="6"/>
    <n v="7.02"/>
    <n v="12217"/>
    <n v="20.425325598114121"/>
    <s v="Expert"/>
    <s v="Medium Impact"/>
  </r>
  <r>
    <s v="E0693"/>
    <n v="42"/>
    <s v="Male"/>
    <s v="High School"/>
    <x v="3"/>
    <s v="Accountant"/>
    <n v="16"/>
    <x v="0"/>
    <s v="Medium"/>
    <s v="Yes"/>
    <n v="79241"/>
    <n v="76412"/>
    <x v="1"/>
    <n v="49"/>
    <x v="1"/>
    <n v="6"/>
    <n v="7"/>
    <n v="-2829"/>
    <n v="-3.5701215279968701"/>
    <s v="Expert"/>
    <s v="Medium Impact"/>
  </r>
  <r>
    <s v="E0976"/>
    <n v="24"/>
    <s v="Male"/>
    <s v="High School"/>
    <x v="6"/>
    <s v="Technician"/>
    <n v="0"/>
    <x v="0"/>
    <s v="High"/>
    <s v="No"/>
    <n v="60766"/>
    <n v="65847"/>
    <x v="0"/>
    <n v="45"/>
    <x v="0"/>
    <n v="7"/>
    <n v="6.94"/>
    <n v="5081"/>
    <n v="8.3615837804035156"/>
    <s v="Beginner"/>
    <s v="Low Impact"/>
  </r>
  <r>
    <s v="E1645"/>
    <n v="52"/>
    <s v="Male"/>
    <s v="PhD"/>
    <x v="5"/>
    <s v="Professor"/>
    <n v="29"/>
    <x v="1"/>
    <s v="High"/>
    <s v="Yes"/>
    <n v="91161"/>
    <n v="100143"/>
    <x v="0"/>
    <n v="38"/>
    <x v="1"/>
    <n v="6"/>
    <n v="6.89"/>
    <n v="8982"/>
    <n v="9.8528976206930601"/>
    <s v="Expert"/>
    <s v="Low Impact"/>
  </r>
  <r>
    <s v="E1908"/>
    <n v="40"/>
    <s v="Other"/>
    <s v="High School"/>
    <x v="0"/>
    <s v="Software Engineer"/>
    <n v="18"/>
    <x v="1"/>
    <s v="Medium"/>
    <s v="No"/>
    <n v="85715"/>
    <n v="96176"/>
    <x v="1"/>
    <n v="48"/>
    <x v="1"/>
    <n v="5"/>
    <n v="6.89"/>
    <n v="10461"/>
    <n v="12.204398296680861"/>
    <s v="Expert"/>
    <s v="Medium Impact"/>
  </r>
  <r>
    <s v="E1407"/>
    <n v="30"/>
    <s v="Male"/>
    <s v="PhD"/>
    <x v="3"/>
    <s v="Auditor"/>
    <n v="7"/>
    <x v="2"/>
    <s v="Medium"/>
    <s v="No"/>
    <n v="91731"/>
    <n v="122532"/>
    <x v="1"/>
    <n v="53"/>
    <x v="1"/>
    <n v="3"/>
    <n v="6.88"/>
    <n v="30801"/>
    <n v="33.577525591130588"/>
    <s v="Intermediate"/>
    <s v="Medium Impact"/>
  </r>
  <r>
    <s v="E1803"/>
    <n v="56"/>
    <s v="Other"/>
    <s v="Master"/>
    <x v="3"/>
    <s v="Auditor"/>
    <n v="34"/>
    <x v="0"/>
    <s v="High"/>
    <s v="No"/>
    <n v="50128"/>
    <n v="50105"/>
    <x v="0"/>
    <n v="48"/>
    <x v="1"/>
    <n v="6"/>
    <n v="6.88"/>
    <n v="-23"/>
    <n v="-4.5882540695818701E-2"/>
    <s v="Expert"/>
    <s v="Low Impact"/>
  </r>
  <r>
    <s v="E1389"/>
    <n v="34"/>
    <s v="Male"/>
    <s v="High School"/>
    <x v="5"/>
    <s v="Professor"/>
    <n v="8"/>
    <x v="1"/>
    <s v="High"/>
    <s v="No"/>
    <n v="65036"/>
    <n v="73239"/>
    <x v="0"/>
    <n v="54"/>
    <x v="1"/>
    <n v="4"/>
    <n v="6.83"/>
    <n v="8203"/>
    <n v="12.613014330524633"/>
    <s v="Intermediate"/>
    <s v="Low Impact"/>
  </r>
  <r>
    <s v="E1106"/>
    <n v="28"/>
    <s v="Other"/>
    <s v="High School"/>
    <x v="4"/>
    <s v="Cashier"/>
    <n v="4"/>
    <x v="1"/>
    <s v="Medium"/>
    <s v="Yes"/>
    <n v="100198"/>
    <n v="113500"/>
    <x v="1"/>
    <n v="42"/>
    <x v="0"/>
    <n v="3"/>
    <n v="6.81"/>
    <n v="13302"/>
    <n v="13.275714086109502"/>
    <s v="Beginner"/>
    <s v="Medium Impact"/>
  </r>
  <r>
    <s v="E1028"/>
    <n v="28"/>
    <s v="Other"/>
    <s v="High School"/>
    <x v="0"/>
    <s v="Data Analyst"/>
    <n v="5"/>
    <x v="1"/>
    <s v="High"/>
    <s v="No"/>
    <n v="46984"/>
    <n v="51066"/>
    <x v="0"/>
    <n v="43"/>
    <x v="0"/>
    <n v="9"/>
    <n v="6.81"/>
    <n v="4082"/>
    <n v="8.6880640217946539"/>
    <s v="Intermediate"/>
    <s v="Low Impact"/>
  </r>
  <r>
    <s v="E0214"/>
    <n v="36"/>
    <s v="Other"/>
    <s v="High School"/>
    <x v="0"/>
    <s v="Data Analyst"/>
    <n v="12"/>
    <x v="2"/>
    <s v="High"/>
    <s v="No"/>
    <n v="57082"/>
    <n v="69067"/>
    <x v="1"/>
    <n v="48"/>
    <x v="0"/>
    <n v="4"/>
    <n v="6.75"/>
    <n v="11985"/>
    <n v="20.996110858063837"/>
    <s v="Intermediate"/>
    <s v="Medium Impact"/>
  </r>
  <r>
    <s v="E0733"/>
    <n v="34"/>
    <s v="Other"/>
    <s v="High School"/>
    <x v="0"/>
    <s v="DevOps Engineer"/>
    <n v="9"/>
    <x v="0"/>
    <s v="Medium"/>
    <s v="Yes"/>
    <n v="82664"/>
    <n v="82058"/>
    <x v="1"/>
    <n v="47"/>
    <x v="0"/>
    <n v="8"/>
    <n v="6.58"/>
    <n v="-606"/>
    <n v="-0.73308816413432698"/>
    <s v="Intermediate"/>
    <s v="Medium Impact"/>
  </r>
  <r>
    <s v="E0599"/>
    <n v="25"/>
    <s v="Female"/>
    <s v="Bachelor"/>
    <x v="6"/>
    <s v="Doctor"/>
    <n v="0"/>
    <x v="0"/>
    <s v="Medium"/>
    <s v="No"/>
    <n v="101196"/>
    <n v="107622"/>
    <x v="1"/>
    <n v="44"/>
    <x v="0"/>
    <n v="7"/>
    <n v="6.54"/>
    <n v="6426"/>
    <n v="6.3500533617929564"/>
    <s v="Beginner"/>
    <s v="Medium Impact"/>
  </r>
  <r>
    <s v="E1672"/>
    <n v="59"/>
    <s v="Female"/>
    <s v="Bachelor"/>
    <x v="2"/>
    <s v="Content Creator"/>
    <n v="36"/>
    <x v="2"/>
    <s v="High"/>
    <s v="No"/>
    <n v="100423"/>
    <n v="91814"/>
    <x v="1"/>
    <n v="49"/>
    <x v="0"/>
    <n v="5"/>
    <n v="6.53"/>
    <n v="-8609"/>
    <n v="-8.572737321131612"/>
    <s v="Expert"/>
    <s v="Medium Impact"/>
  </r>
  <r>
    <s v="E1657"/>
    <n v="50"/>
    <s v="Other"/>
    <s v="PhD"/>
    <x v="4"/>
    <s v="Sales Associate"/>
    <n v="26"/>
    <x v="1"/>
    <s v="Medium"/>
    <s v="No"/>
    <n v="103802"/>
    <n v="106450"/>
    <x v="1"/>
    <n v="43"/>
    <x v="0"/>
    <n v="8"/>
    <n v="6.45"/>
    <n v="2648"/>
    <n v="2.5510105778308705"/>
    <s v="Expert"/>
    <s v="Medium Impact"/>
  </r>
  <r>
    <s v="E0371"/>
    <n v="29"/>
    <s v="Male"/>
    <s v="Bachelor"/>
    <x v="6"/>
    <s v="Nurse"/>
    <n v="3"/>
    <x v="0"/>
    <s v="High"/>
    <s v="No"/>
    <n v="47071"/>
    <n v="45791"/>
    <x v="0"/>
    <n v="40"/>
    <x v="0"/>
    <n v="8"/>
    <n v="6.42"/>
    <n v="-1280"/>
    <n v="-2.7192963820611418"/>
    <s v="Beginner"/>
    <s v="Low Impact"/>
  </r>
  <r>
    <s v="E1261"/>
    <n v="36"/>
    <s v="Female"/>
    <s v="Master"/>
    <x v="1"/>
    <s v="Quality Inspector"/>
    <n v="13"/>
    <x v="0"/>
    <s v="Low"/>
    <s v="Yes"/>
    <n v="52391"/>
    <n v="52305"/>
    <x v="0"/>
    <n v="45"/>
    <x v="0"/>
    <n v="4"/>
    <n v="6.41"/>
    <n v="-86"/>
    <n v="-0.1641503311637495"/>
    <s v="Intermediate"/>
    <s v="Low Impact"/>
  </r>
  <r>
    <s v="E0927"/>
    <n v="56"/>
    <s v="Male"/>
    <s v="Master"/>
    <x v="1"/>
    <s v="Quality Inspector"/>
    <n v="34"/>
    <x v="0"/>
    <s v="Low"/>
    <s v="Yes"/>
    <n v="79703"/>
    <n v="77565"/>
    <x v="0"/>
    <n v="40"/>
    <x v="0"/>
    <n v="7"/>
    <n v="6.37"/>
    <n v="-2138"/>
    <n v="-2.6824586276551701"/>
    <s v="Expert"/>
    <s v="Low Impact"/>
  </r>
  <r>
    <s v="E0324"/>
    <n v="30"/>
    <s v="Female"/>
    <s v="Master"/>
    <x v="1"/>
    <s v="Machine Operator"/>
    <n v="8"/>
    <x v="2"/>
    <s v="Medium"/>
    <s v="No"/>
    <n v="100119"/>
    <n v="106050"/>
    <x v="1"/>
    <n v="52"/>
    <x v="1"/>
    <n v="8"/>
    <n v="6.36"/>
    <n v="5931"/>
    <n v="5.9239504989063017"/>
    <s v="Intermediate"/>
    <s v="Medium Impact"/>
  </r>
  <r>
    <s v="E0880"/>
    <n v="50"/>
    <s v="Female"/>
    <s v="PhD"/>
    <x v="1"/>
    <s v="Quality Inspector"/>
    <n v="27"/>
    <x v="2"/>
    <s v="Medium"/>
    <s v="Yes"/>
    <n v="40492"/>
    <n v="48387"/>
    <x v="1"/>
    <n v="46"/>
    <x v="1"/>
    <n v="4"/>
    <n v="6.26"/>
    <n v="7895"/>
    <n v="19.497678553788404"/>
    <s v="Expert"/>
    <s v="Medium Impact"/>
  </r>
  <r>
    <s v="E1948"/>
    <n v="51"/>
    <s v="Female"/>
    <s v="PhD"/>
    <x v="5"/>
    <s v="Administrator"/>
    <n v="29"/>
    <x v="2"/>
    <s v="Medium"/>
    <s v="Yes"/>
    <n v="79581"/>
    <n v="64050"/>
    <x v="1"/>
    <n v="50"/>
    <x v="0"/>
    <n v="8"/>
    <n v="6.25"/>
    <n v="-15531"/>
    <n v="-19.515964865985598"/>
    <s v="Expert"/>
    <s v="Medium Impact"/>
  </r>
  <r>
    <s v="E0243"/>
    <n v="23"/>
    <s v="Male"/>
    <s v="PhD"/>
    <x v="1"/>
    <s v="Supervisor"/>
    <n v="0"/>
    <x v="2"/>
    <s v="High"/>
    <s v="No"/>
    <n v="94324"/>
    <n v="79371"/>
    <x v="2"/>
    <n v="49"/>
    <x v="0"/>
    <n v="8"/>
    <n v="6.23"/>
    <n v="-14953"/>
    <n v="-15.852805224545186"/>
    <s v="Beginner"/>
    <s v="High Impact"/>
  </r>
  <r>
    <s v="E1342"/>
    <n v="40"/>
    <s v="Female"/>
    <s v="High School"/>
    <x v="1"/>
    <s v="Quality Inspector"/>
    <n v="18"/>
    <x v="1"/>
    <s v="High"/>
    <s v="Yes"/>
    <n v="72036"/>
    <n v="71892"/>
    <x v="0"/>
    <n v="48"/>
    <x v="1"/>
    <n v="8"/>
    <n v="6.23"/>
    <n v="-144"/>
    <n v="-0.19990004997501248"/>
    <s v="Expert"/>
    <s v="Low Impact"/>
  </r>
  <r>
    <s v="E1440"/>
    <n v="34"/>
    <s v="Female"/>
    <s v="Bachelor"/>
    <x v="2"/>
    <s v="Content Creator"/>
    <n v="9"/>
    <x v="1"/>
    <s v="Low"/>
    <s v="Yes"/>
    <n v="101934"/>
    <n v="105414"/>
    <x v="0"/>
    <n v="38"/>
    <x v="1"/>
    <n v="6"/>
    <n v="6.22"/>
    <n v="3480"/>
    <n v="3.4139737477191123"/>
    <s v="Intermediate"/>
    <s v="Low Impact"/>
  </r>
  <r>
    <s v="E0056"/>
    <n v="22"/>
    <s v="Female"/>
    <s v="Master"/>
    <x v="1"/>
    <s v="Quality Inspector"/>
    <n v="0"/>
    <x v="1"/>
    <s v="Medium"/>
    <s v="Yes"/>
    <n v="83222"/>
    <n v="91305"/>
    <x v="1"/>
    <n v="37"/>
    <x v="1"/>
    <n v="6"/>
    <n v="6.14"/>
    <n v="8083"/>
    <n v="9.7125760015380553"/>
    <s v="Beginner"/>
    <s v="Medium Impact"/>
  </r>
  <r>
    <s v="E1404"/>
    <n v="28"/>
    <s v="Female"/>
    <s v="High School"/>
    <x v="0"/>
    <s v="Data Analyst"/>
    <n v="6"/>
    <x v="2"/>
    <s v="Medium"/>
    <s v="No"/>
    <n v="37507"/>
    <n v="42847"/>
    <x v="1"/>
    <n v="36"/>
    <x v="1"/>
    <n v="3"/>
    <n v="6.14"/>
    <n v="5340"/>
    <n v="14.23734236275895"/>
    <s v="Intermediate"/>
    <s v="Medium Impact"/>
  </r>
  <r>
    <s v="E1801"/>
    <n v="41"/>
    <s v="Male"/>
    <s v="PhD"/>
    <x v="1"/>
    <s v="Machine Operator"/>
    <n v="17"/>
    <x v="1"/>
    <s v="High"/>
    <s v="No"/>
    <n v="100605"/>
    <n v="115326"/>
    <x v="0"/>
    <n v="37"/>
    <x v="0"/>
    <n v="7"/>
    <n v="6.13"/>
    <n v="14721"/>
    <n v="14.63247353511257"/>
    <s v="Expert"/>
    <s v="Low Impact"/>
  </r>
  <r>
    <s v="E0079"/>
    <n v="48"/>
    <s v="Female"/>
    <s v="High School"/>
    <x v="2"/>
    <s v="SEO Specialist"/>
    <n v="25"/>
    <x v="0"/>
    <s v="Medium"/>
    <s v="Yes"/>
    <n v="85129"/>
    <n v="85089"/>
    <x v="1"/>
    <n v="47"/>
    <x v="1"/>
    <n v="7"/>
    <n v="6.07"/>
    <n v="-40"/>
    <n v="-4.698751306840207E-2"/>
    <s v="Expert"/>
    <s v="Medium Impact"/>
  </r>
  <r>
    <s v="E0576"/>
    <n v="39"/>
    <s v="Other"/>
    <s v="Bachelor"/>
    <x v="0"/>
    <s v="Software Engineer"/>
    <n v="16"/>
    <x v="1"/>
    <s v="High"/>
    <s v="Yes"/>
    <n v="36476"/>
    <n v="41624"/>
    <x v="0"/>
    <n v="44"/>
    <x v="0"/>
    <n v="7"/>
    <n v="6.01"/>
    <n v="5148"/>
    <n v="14.11338962605549"/>
    <s v="Expert"/>
    <s v="Low Impact"/>
  </r>
  <r>
    <s v="E1875"/>
    <n v="42"/>
    <s v="Other"/>
    <s v="PhD"/>
    <x v="2"/>
    <s v="Content Creator"/>
    <n v="19"/>
    <x v="1"/>
    <s v="High"/>
    <s v="Yes"/>
    <n v="102597"/>
    <n v="108006"/>
    <x v="0"/>
    <n v="39"/>
    <x v="0"/>
    <n v="5"/>
    <n v="6"/>
    <n v="5409"/>
    <n v="5.2720839790637148"/>
    <s v="Expert"/>
    <s v="Low Impact"/>
  </r>
  <r>
    <s v="E0484"/>
    <n v="27"/>
    <s v="Male"/>
    <s v="Bachelor"/>
    <x v="6"/>
    <s v="Technician"/>
    <n v="4"/>
    <x v="2"/>
    <s v="Medium"/>
    <s v="No"/>
    <n v="95101"/>
    <n v="107268"/>
    <x v="1"/>
    <n v="37"/>
    <x v="0"/>
    <n v="8"/>
    <n v="5.97"/>
    <n v="12167"/>
    <n v="12.793766627059652"/>
    <s v="Beginner"/>
    <s v="Medium Impact"/>
  </r>
  <r>
    <s v="E0114"/>
    <n v="57"/>
    <s v="Other"/>
    <s v="High School"/>
    <x v="5"/>
    <s v="Professor"/>
    <n v="34"/>
    <x v="0"/>
    <s v="Medium"/>
    <s v="No"/>
    <n v="42910"/>
    <n v="45562"/>
    <x v="1"/>
    <n v="53"/>
    <x v="0"/>
    <n v="4"/>
    <n v="5.9"/>
    <n v="2652"/>
    <n v="6.180377534374272"/>
    <s v="Expert"/>
    <s v="Medium Impact"/>
  </r>
  <r>
    <s v="E1216"/>
    <n v="30"/>
    <s v="Female"/>
    <s v="Bachelor"/>
    <x v="5"/>
    <s v="Professor"/>
    <n v="7"/>
    <x v="2"/>
    <s v="High"/>
    <s v="Yes"/>
    <n v="77928"/>
    <n v="76519"/>
    <x v="1"/>
    <n v="42"/>
    <x v="1"/>
    <n v="8"/>
    <n v="5.77"/>
    <n v="-1409"/>
    <n v="-1.8080792526434659"/>
    <s v="Intermediate"/>
    <s v="Medium Impact"/>
  </r>
  <r>
    <s v="E1831"/>
    <n v="59"/>
    <s v="Male"/>
    <s v="Master"/>
    <x v="0"/>
    <s v="Software Engineer"/>
    <n v="36"/>
    <x v="1"/>
    <s v="High"/>
    <s v="Yes"/>
    <n v="96332"/>
    <n v="103947"/>
    <x v="0"/>
    <n v="51"/>
    <x v="0"/>
    <n v="3"/>
    <n v="5.67"/>
    <n v="7615"/>
    <n v="7.9049537017813396"/>
    <s v="Expert"/>
    <s v="Low Impact"/>
  </r>
  <r>
    <s v="E1196"/>
    <n v="37"/>
    <s v="Female"/>
    <s v="Bachelor"/>
    <x v="0"/>
    <s v="DevOps Engineer"/>
    <n v="15"/>
    <x v="1"/>
    <s v="Low"/>
    <s v="Yes"/>
    <n v="38859"/>
    <n v="38050"/>
    <x v="0"/>
    <n v="36"/>
    <x v="1"/>
    <n v="5"/>
    <n v="5.65"/>
    <n v="-809"/>
    <n v="-2.0818857922231659"/>
    <s v="Expert"/>
    <s v="Low Impact"/>
  </r>
  <r>
    <s v="E0714"/>
    <n v="55"/>
    <s v="Female"/>
    <s v="Master"/>
    <x v="0"/>
    <s v="Data Analyst"/>
    <n v="30"/>
    <x v="0"/>
    <s v="Low"/>
    <s v="Yes"/>
    <n v="102742"/>
    <n v="107335"/>
    <x v="0"/>
    <n v="38"/>
    <x v="0"/>
    <n v="8"/>
    <n v="5.58"/>
    <n v="4593"/>
    <n v="4.4704210546806564"/>
    <s v="Expert"/>
    <s v="Low Impact"/>
  </r>
  <r>
    <s v="E1987"/>
    <n v="46"/>
    <s v="Other"/>
    <s v="Bachelor"/>
    <x v="2"/>
    <s v="Digital Marketer"/>
    <n v="24"/>
    <x v="0"/>
    <s v="Medium"/>
    <s v="Yes"/>
    <n v="39461"/>
    <n v="42737"/>
    <x v="1"/>
    <n v="50"/>
    <x v="1"/>
    <n v="6"/>
    <n v="5.57"/>
    <n v="3276"/>
    <n v="8.3018676668102689"/>
    <s v="Expert"/>
    <s v="Medium Impact"/>
  </r>
  <r>
    <s v="E0848"/>
    <n v="47"/>
    <s v="Female"/>
    <s v="Bachelor"/>
    <x v="4"/>
    <s v="Cashier"/>
    <n v="24"/>
    <x v="2"/>
    <s v="Low"/>
    <s v="Yes"/>
    <n v="85421"/>
    <n v="80731"/>
    <x v="0"/>
    <n v="53"/>
    <x v="0"/>
    <n v="9"/>
    <n v="5.56"/>
    <n v="-4690"/>
    <n v="-5.4904531672539534"/>
    <s v="Expert"/>
    <s v="Low Impact"/>
  </r>
  <r>
    <s v="E0008"/>
    <n v="57"/>
    <s v="Male"/>
    <s v="Bachelor"/>
    <x v="3"/>
    <s v="Auditor"/>
    <n v="34"/>
    <x v="0"/>
    <s v="High"/>
    <s v="No"/>
    <n v="99479"/>
    <n v="105776"/>
    <x v="0"/>
    <n v="44"/>
    <x v="1"/>
    <n v="6"/>
    <n v="5.51"/>
    <n v="6297"/>
    <n v="6.3299791915881736"/>
    <s v="Expert"/>
    <s v="Low Impact"/>
  </r>
  <r>
    <s v="E1128"/>
    <n v="27"/>
    <s v="Other"/>
    <s v="Bachelor"/>
    <x v="6"/>
    <s v="Nurse"/>
    <n v="4"/>
    <x v="1"/>
    <s v="Medium"/>
    <s v="No"/>
    <n v="32739"/>
    <n v="33232"/>
    <x v="1"/>
    <n v="51"/>
    <x v="0"/>
    <n v="3"/>
    <n v="5.46"/>
    <n v="493"/>
    <n v="1.5058492928922691"/>
    <s v="Beginner"/>
    <s v="Medium Impact"/>
  </r>
  <r>
    <s v="E0169"/>
    <n v="47"/>
    <s v="Other"/>
    <s v="Bachelor"/>
    <x v="1"/>
    <s v="Quality Inspector"/>
    <n v="21"/>
    <x v="1"/>
    <s v="High"/>
    <s v="Yes"/>
    <n v="119563"/>
    <n v="135258"/>
    <x v="0"/>
    <n v="36"/>
    <x v="1"/>
    <n v="6"/>
    <n v="5.32"/>
    <n v="15695"/>
    <n v="13.126970718366049"/>
    <s v="Expert"/>
    <s v="Low Impact"/>
  </r>
  <r>
    <s v="E0668"/>
    <n v="27"/>
    <s v="Other"/>
    <s v="Master"/>
    <x v="2"/>
    <s v="Content Creator"/>
    <n v="1"/>
    <x v="2"/>
    <s v="High"/>
    <s v="No"/>
    <n v="43269"/>
    <n v="36603"/>
    <x v="1"/>
    <n v="36"/>
    <x v="0"/>
    <n v="4"/>
    <n v="5.25"/>
    <n v="-6666"/>
    <n v="-15.405948831727104"/>
    <s v="Beginner"/>
    <s v="Medium Impact"/>
  </r>
  <r>
    <s v="E1464"/>
    <n v="29"/>
    <s v="Other"/>
    <s v="PhD"/>
    <x v="1"/>
    <s v="Machine Operator"/>
    <n v="7"/>
    <x v="1"/>
    <s v="Medium"/>
    <s v="Yes"/>
    <n v="61655"/>
    <n v="64686"/>
    <x v="1"/>
    <n v="47"/>
    <x v="1"/>
    <n v="5"/>
    <n v="5.2"/>
    <n v="3031"/>
    <n v="4.9160652015246127"/>
    <s v="Intermediate"/>
    <s v="Medium Impact"/>
  </r>
  <r>
    <s v="E0685"/>
    <n v="30"/>
    <s v="Female"/>
    <s v="PhD"/>
    <x v="6"/>
    <s v="Doctor"/>
    <n v="7"/>
    <x v="2"/>
    <s v="Medium"/>
    <s v="Yes"/>
    <n v="80258"/>
    <n v="106925"/>
    <x v="1"/>
    <n v="54"/>
    <x v="0"/>
    <n v="9"/>
    <n v="5.19"/>
    <n v="26667"/>
    <n v="33.22659423359665"/>
    <s v="Intermediate"/>
    <s v="Medium Impact"/>
  </r>
  <r>
    <s v="E1472"/>
    <n v="50"/>
    <s v="Female"/>
    <s v="High School"/>
    <x v="2"/>
    <s v="Content Creator"/>
    <n v="24"/>
    <x v="1"/>
    <s v="Low"/>
    <s v="Yes"/>
    <n v="62844"/>
    <n v="58641"/>
    <x v="0"/>
    <n v="38"/>
    <x v="1"/>
    <n v="7"/>
    <n v="5.17"/>
    <n v="-4203"/>
    <n v="-6.6879893068550702"/>
    <s v="Expert"/>
    <s v="Low Impact"/>
  </r>
  <r>
    <s v="E0622"/>
    <n v="52"/>
    <s v="Female"/>
    <s v="High School"/>
    <x v="1"/>
    <s v="Quality Inspector"/>
    <n v="29"/>
    <x v="0"/>
    <s v="Medium"/>
    <s v="Yes"/>
    <n v="60134"/>
    <n v="57641"/>
    <x v="1"/>
    <n v="43"/>
    <x v="0"/>
    <n v="8"/>
    <n v="5.12"/>
    <n v="-2493"/>
    <n v="-4.1457411780357205"/>
    <s v="Expert"/>
    <s v="Medium Impact"/>
  </r>
  <r>
    <s v="E0185"/>
    <n v="54"/>
    <s v="Other"/>
    <s v="High School"/>
    <x v="2"/>
    <s v="SEO Specialist"/>
    <n v="28"/>
    <x v="0"/>
    <s v="High"/>
    <s v="Yes"/>
    <n v="109273"/>
    <n v="118178"/>
    <x v="0"/>
    <n v="37"/>
    <x v="0"/>
    <n v="4"/>
    <n v="5.05"/>
    <n v="8905"/>
    <n v="8.1493141032093934"/>
    <s v="Expert"/>
    <s v="Low Impact"/>
  </r>
  <r>
    <s v="E0191"/>
    <n v="58"/>
    <s v="Male"/>
    <s v="PhD"/>
    <x v="1"/>
    <s v="Supervisor"/>
    <n v="32"/>
    <x v="0"/>
    <s v="Low"/>
    <s v="No"/>
    <n v="75028"/>
    <n v="72282"/>
    <x v="0"/>
    <n v="48"/>
    <x v="0"/>
    <n v="5"/>
    <n v="5.05"/>
    <n v="-2746"/>
    <n v="-3.6599669456736148"/>
    <s v="Expert"/>
    <s v="Low Impact"/>
  </r>
  <r>
    <s v="E1843"/>
    <n v="22"/>
    <s v="Female"/>
    <s v="PhD"/>
    <x v="4"/>
    <s v="Store Manager"/>
    <n v="0"/>
    <x v="0"/>
    <s v="Low"/>
    <s v="No"/>
    <n v="68862"/>
    <n v="74956"/>
    <x v="0"/>
    <n v="48"/>
    <x v="0"/>
    <n v="8"/>
    <n v="5.04"/>
    <n v="6094"/>
    <n v="8.8495832244198542"/>
    <s v="Beginner"/>
    <s v="Low Impact"/>
  </r>
  <r>
    <s v="E1509"/>
    <n v="32"/>
    <s v="Male"/>
    <s v="Bachelor"/>
    <x v="5"/>
    <s v="Administrator"/>
    <n v="10"/>
    <x v="0"/>
    <s v="Medium"/>
    <s v="Yes"/>
    <n v="63717"/>
    <n v="67093"/>
    <x v="1"/>
    <n v="39"/>
    <x v="0"/>
    <n v="9"/>
    <n v="5"/>
    <n v="3376"/>
    <n v="5.2984289906932212"/>
    <s v="Intermediate"/>
    <s v="Medium Impact"/>
  </r>
  <r>
    <s v="E1659"/>
    <n v="39"/>
    <s v="Male"/>
    <s v="High School"/>
    <x v="6"/>
    <s v="Nurse"/>
    <n v="14"/>
    <x v="1"/>
    <s v="High"/>
    <s v="No"/>
    <n v="31214"/>
    <n v="31781"/>
    <x v="0"/>
    <n v="44"/>
    <x v="0"/>
    <n v="6"/>
    <n v="4.9800000000000004"/>
    <n v="567"/>
    <n v="1.8164925994745946"/>
    <s v="Intermediate"/>
    <s v="Low Impact"/>
  </r>
  <r>
    <s v="E0237"/>
    <n v="28"/>
    <s v="Female"/>
    <s v="Master"/>
    <x v="5"/>
    <s v="Professor"/>
    <n v="3"/>
    <x v="1"/>
    <s v="Low"/>
    <s v="No"/>
    <n v="102541"/>
    <n v="121842"/>
    <x v="0"/>
    <n v="54"/>
    <x v="1"/>
    <n v="7"/>
    <n v="4.95"/>
    <n v="19301"/>
    <n v="18.82271481651242"/>
    <s v="Beginner"/>
    <s v="Low Impact"/>
  </r>
  <r>
    <s v="E1823"/>
    <n v="40"/>
    <s v="Male"/>
    <s v="Bachelor"/>
    <x v="3"/>
    <s v="Investment Analyst"/>
    <n v="18"/>
    <x v="2"/>
    <s v="Medium"/>
    <s v="Yes"/>
    <n v="30434"/>
    <n v="28954"/>
    <x v="1"/>
    <n v="39"/>
    <x v="1"/>
    <n v="8"/>
    <n v="4.88"/>
    <n v="-1480"/>
    <n v="-4.8629821909706248"/>
    <s v="Expert"/>
    <s v="Medium Impact"/>
  </r>
  <r>
    <s v="E0605"/>
    <n v="40"/>
    <s v="Male"/>
    <s v="Master"/>
    <x v="2"/>
    <s v="Digital Marketer"/>
    <n v="18"/>
    <x v="0"/>
    <s v="Low"/>
    <s v="Yes"/>
    <n v="94575"/>
    <n v="101340"/>
    <x v="0"/>
    <n v="42"/>
    <x v="0"/>
    <n v="6"/>
    <n v="4.83"/>
    <n v="6765"/>
    <n v="7.1530531324345752"/>
    <s v="Expert"/>
    <s v="Low Impact"/>
  </r>
  <r>
    <s v="E0272"/>
    <n v="57"/>
    <s v="Male"/>
    <s v="Master"/>
    <x v="0"/>
    <s v="DevOps Engineer"/>
    <n v="34"/>
    <x v="2"/>
    <s v="Medium"/>
    <s v="Yes"/>
    <n v="42289"/>
    <n v="40748"/>
    <x v="1"/>
    <n v="45"/>
    <x v="0"/>
    <n v="9"/>
    <n v="4.8099999999999996"/>
    <n v="-1541"/>
    <n v="-3.6439736101586697"/>
    <s v="Expert"/>
    <s v="Medium Impact"/>
  </r>
  <r>
    <s v="E1377"/>
    <n v="44"/>
    <s v="Male"/>
    <s v="Bachelor"/>
    <x v="0"/>
    <s v="Data Analyst"/>
    <n v="19"/>
    <x v="2"/>
    <s v="High"/>
    <s v="No"/>
    <n v="78591"/>
    <n v="104399"/>
    <x v="2"/>
    <n v="37"/>
    <x v="1"/>
    <n v="9"/>
    <n v="4.7699999999999996"/>
    <n v="25808"/>
    <n v="32.838365716176156"/>
    <s v="Expert"/>
    <s v="High Impact"/>
  </r>
  <r>
    <s v="E0741"/>
    <n v="53"/>
    <s v="Female"/>
    <s v="Master"/>
    <x v="0"/>
    <s v="Software Engineer"/>
    <n v="31"/>
    <x v="2"/>
    <s v="High"/>
    <s v="Yes"/>
    <n v="109878"/>
    <n v="117845"/>
    <x v="1"/>
    <n v="43"/>
    <x v="0"/>
    <n v="9"/>
    <n v="4.74"/>
    <n v="7967"/>
    <n v="7.2507690347476297"/>
    <s v="Expert"/>
    <s v="Medium Impact"/>
  </r>
  <r>
    <s v="E0782"/>
    <n v="41"/>
    <s v="Male"/>
    <s v="Bachelor"/>
    <x v="1"/>
    <s v="Machine Operator"/>
    <n v="17"/>
    <x v="1"/>
    <s v="Medium"/>
    <s v="Yes"/>
    <n v="59320"/>
    <n v="66641"/>
    <x v="1"/>
    <n v="42"/>
    <x v="0"/>
    <n v="7"/>
    <n v="4.74"/>
    <n v="7321"/>
    <n v="12.341537424140256"/>
    <s v="Expert"/>
    <s v="Medium Impact"/>
  </r>
  <r>
    <s v="E0318"/>
    <n v="36"/>
    <s v="Female"/>
    <s v="Master"/>
    <x v="4"/>
    <s v="Store Manager"/>
    <n v="12"/>
    <x v="0"/>
    <s v="Low"/>
    <s v="No"/>
    <n v="94027"/>
    <n v="94330"/>
    <x v="0"/>
    <n v="39"/>
    <x v="0"/>
    <n v="8"/>
    <n v="4.7300000000000004"/>
    <n v="303"/>
    <n v="0.322247864974954"/>
    <s v="Intermediate"/>
    <s v="Low Impact"/>
  </r>
  <r>
    <s v="E1154"/>
    <n v="32"/>
    <s v="Other"/>
    <s v="High School"/>
    <x v="6"/>
    <s v="Doctor"/>
    <n v="7"/>
    <x v="0"/>
    <s v="High"/>
    <s v="Yes"/>
    <n v="65825"/>
    <n v="69440"/>
    <x v="0"/>
    <n v="54"/>
    <x v="0"/>
    <n v="9"/>
    <n v="4.72"/>
    <n v="3615"/>
    <n v="5.4918344094189138"/>
    <s v="Intermediate"/>
    <s v="Low Impact"/>
  </r>
  <r>
    <s v="E0944"/>
    <n v="26"/>
    <s v="Female"/>
    <s v="High School"/>
    <x v="5"/>
    <s v="Teacher"/>
    <n v="1"/>
    <x v="2"/>
    <s v="Low"/>
    <s v="No"/>
    <n v="36523"/>
    <n v="50582"/>
    <x v="0"/>
    <n v="44"/>
    <x v="1"/>
    <n v="9"/>
    <n v="4.67"/>
    <n v="14059"/>
    <n v="38.493552008323526"/>
    <s v="Beginner"/>
    <s v="Low Impact"/>
  </r>
  <r>
    <s v="E1396"/>
    <n v="44"/>
    <s v="Male"/>
    <s v="PhD"/>
    <x v="0"/>
    <s v="Data Analyst"/>
    <n v="20"/>
    <x v="2"/>
    <s v="Medium"/>
    <s v="No"/>
    <n v="50895"/>
    <n v="65186"/>
    <x v="1"/>
    <n v="54"/>
    <x v="0"/>
    <n v="5"/>
    <n v="4.63"/>
    <n v="14291"/>
    <n v="28.079379113861876"/>
    <s v="Expert"/>
    <s v="Medium Impact"/>
  </r>
  <r>
    <s v="E1146"/>
    <n v="36"/>
    <s v="Male"/>
    <s v="Master"/>
    <x v="3"/>
    <s v="Investment Analyst"/>
    <n v="11"/>
    <x v="0"/>
    <s v="Low"/>
    <s v="Yes"/>
    <n v="115193"/>
    <n v="120995"/>
    <x v="0"/>
    <n v="47"/>
    <x v="0"/>
    <n v="3"/>
    <n v="4.62"/>
    <n v="5802"/>
    <n v="5.0367643867248884"/>
    <s v="Intermediate"/>
    <s v="Low Impact"/>
  </r>
  <r>
    <s v="E1876"/>
    <n v="22"/>
    <s v="Female"/>
    <s v="PhD"/>
    <x v="4"/>
    <s v="Sales Associate"/>
    <n v="0"/>
    <x v="2"/>
    <s v="Medium"/>
    <s v="Yes"/>
    <n v="88473"/>
    <n v="88873"/>
    <x v="1"/>
    <n v="41"/>
    <x v="0"/>
    <n v="6"/>
    <n v="4.51"/>
    <n v="400"/>
    <n v="0.45211533462186204"/>
    <s v="Beginner"/>
    <s v="Medium Impact"/>
  </r>
  <r>
    <s v="E0382"/>
    <n v="46"/>
    <s v="Female"/>
    <s v="High School"/>
    <x v="5"/>
    <s v="Administrator"/>
    <n v="20"/>
    <x v="0"/>
    <s v="High"/>
    <s v="Yes"/>
    <n v="101906"/>
    <n v="108476"/>
    <x v="0"/>
    <n v="54"/>
    <x v="0"/>
    <n v="8"/>
    <n v="4.5"/>
    <n v="6570"/>
    <n v="6.4471179322120387"/>
    <s v="Expert"/>
    <s v="Low Impact"/>
  </r>
  <r>
    <s v="E0540"/>
    <n v="43"/>
    <s v="Other"/>
    <s v="PhD"/>
    <x v="6"/>
    <s v="Nurse"/>
    <n v="18"/>
    <x v="1"/>
    <s v="Low"/>
    <s v="Yes"/>
    <n v="114381"/>
    <n v="126280"/>
    <x v="0"/>
    <n v="51"/>
    <x v="1"/>
    <n v="7"/>
    <n v="4.49"/>
    <n v="11899"/>
    <n v="10.40295153915423"/>
    <s v="Expert"/>
    <s v="Low Impact"/>
  </r>
  <r>
    <s v="E0436"/>
    <n v="38"/>
    <s v="Other"/>
    <s v="High School"/>
    <x v="6"/>
    <s v="Technician"/>
    <n v="14"/>
    <x v="0"/>
    <s v="Medium"/>
    <s v="Yes"/>
    <n v="85220"/>
    <n v="93495"/>
    <x v="1"/>
    <n v="53"/>
    <x v="0"/>
    <n v="9"/>
    <n v="4.46"/>
    <n v="8275"/>
    <n v="9.7101619338183518"/>
    <s v="Intermediate"/>
    <s v="Medium Impact"/>
  </r>
  <r>
    <s v="E1905"/>
    <n v="49"/>
    <s v="Male"/>
    <s v="Bachelor"/>
    <x v="3"/>
    <s v="Auditor"/>
    <n v="27"/>
    <x v="0"/>
    <s v="Low"/>
    <s v="Yes"/>
    <n v="55530"/>
    <n v="54108"/>
    <x v="0"/>
    <n v="36"/>
    <x v="1"/>
    <n v="6"/>
    <n v="4.46"/>
    <n v="-1422"/>
    <n v="-2.560777957860616"/>
    <s v="Expert"/>
    <s v="Low Impact"/>
  </r>
  <r>
    <s v="E1033"/>
    <n v="34"/>
    <s v="Male"/>
    <s v="PhD"/>
    <x v="0"/>
    <s v="Data Analyst"/>
    <n v="12"/>
    <x v="2"/>
    <s v="High"/>
    <s v="No"/>
    <n v="84401"/>
    <n v="68770"/>
    <x v="1"/>
    <n v="37"/>
    <x v="1"/>
    <n v="8"/>
    <n v="4.41"/>
    <n v="-15631"/>
    <n v="-18.519922749730451"/>
    <s v="Intermediate"/>
    <s v="Medium Impact"/>
  </r>
  <r>
    <s v="E0487"/>
    <n v="37"/>
    <s v="Other"/>
    <s v="PhD"/>
    <x v="5"/>
    <s v="Administrator"/>
    <n v="12"/>
    <x v="0"/>
    <s v="Medium"/>
    <s v="Yes"/>
    <n v="89234"/>
    <n v="91441"/>
    <x v="1"/>
    <n v="46"/>
    <x v="1"/>
    <n v="5"/>
    <n v="4.4000000000000004"/>
    <n v="2207"/>
    <n v="2.4732725194432614"/>
    <s v="Intermediate"/>
    <s v="Medium Impact"/>
  </r>
  <r>
    <s v="E0945"/>
    <n v="51"/>
    <s v="Other"/>
    <s v="PhD"/>
    <x v="5"/>
    <s v="Administrator"/>
    <n v="26"/>
    <x v="1"/>
    <s v="Low"/>
    <s v="Yes"/>
    <n v="44457"/>
    <n v="50498"/>
    <x v="0"/>
    <n v="43"/>
    <x v="1"/>
    <n v="9"/>
    <n v="4.3099999999999996"/>
    <n v="6041"/>
    <n v="13.588411273815149"/>
    <s v="Expert"/>
    <s v="Low Impact"/>
  </r>
  <r>
    <s v="E1305"/>
    <n v="26"/>
    <s v="Male"/>
    <s v="Bachelor"/>
    <x v="5"/>
    <s v="Teacher"/>
    <n v="4"/>
    <x v="0"/>
    <s v="High"/>
    <s v="No"/>
    <n v="118027"/>
    <n v="128991"/>
    <x v="0"/>
    <n v="38"/>
    <x v="0"/>
    <n v="4"/>
    <n v="4.29"/>
    <n v="10964"/>
    <n v="9.2893998830776017"/>
    <s v="Beginner"/>
    <s v="Low Impact"/>
  </r>
  <r>
    <s v="E0573"/>
    <n v="35"/>
    <s v="Other"/>
    <s v="Master"/>
    <x v="2"/>
    <s v="SEO Specialist"/>
    <n v="9"/>
    <x v="0"/>
    <s v="Low"/>
    <s v="Yes"/>
    <n v="34434"/>
    <n v="36950"/>
    <x v="0"/>
    <n v="49"/>
    <x v="0"/>
    <n v="5"/>
    <n v="4.2699999999999996"/>
    <n v="2516"/>
    <n v="7.3067317186501706"/>
    <s v="Intermediate"/>
    <s v="Low Impact"/>
  </r>
  <r>
    <s v="E1416"/>
    <n v="25"/>
    <s v="Other"/>
    <s v="Bachelor"/>
    <x v="1"/>
    <s v="Machine Operator"/>
    <n v="0"/>
    <x v="1"/>
    <s v="Low"/>
    <s v="Yes"/>
    <n v="79416"/>
    <n v="87936"/>
    <x v="0"/>
    <n v="50"/>
    <x v="0"/>
    <n v="4"/>
    <n v="4.25"/>
    <n v="8520"/>
    <n v="10.728316711997582"/>
    <s v="Beginner"/>
    <s v="Low Impact"/>
  </r>
  <r>
    <s v="E0261"/>
    <n v="34"/>
    <s v="Other"/>
    <s v="Bachelor"/>
    <x v="1"/>
    <s v="Quality Inspector"/>
    <n v="12"/>
    <x v="0"/>
    <s v="Low"/>
    <s v="Yes"/>
    <n v="69882"/>
    <n v="75596"/>
    <x v="0"/>
    <n v="48"/>
    <x v="1"/>
    <n v="6"/>
    <n v="4.25"/>
    <n v="5714"/>
    <n v="8.1766406227640882"/>
    <s v="Intermediate"/>
    <s v="Low Impact"/>
  </r>
  <r>
    <s v="E1283"/>
    <n v="34"/>
    <s v="Female"/>
    <s v="Bachelor"/>
    <x v="5"/>
    <s v="Teacher"/>
    <n v="12"/>
    <x v="2"/>
    <s v="High"/>
    <s v="Yes"/>
    <n v="45831"/>
    <n v="51165"/>
    <x v="1"/>
    <n v="53"/>
    <x v="1"/>
    <n v="9"/>
    <n v="4.17"/>
    <n v="5334"/>
    <n v="11.638410682725667"/>
    <s v="Intermediate"/>
    <s v="Medium Impact"/>
  </r>
  <r>
    <s v="E1274"/>
    <n v="43"/>
    <s v="Male"/>
    <s v="Bachelor"/>
    <x v="3"/>
    <s v="Auditor"/>
    <n v="18"/>
    <x v="2"/>
    <s v="Medium"/>
    <s v="No"/>
    <n v="85184"/>
    <n v="99206"/>
    <x v="1"/>
    <n v="49"/>
    <x v="1"/>
    <n v="8"/>
    <n v="4.16"/>
    <n v="14022"/>
    <n v="16.460837716003006"/>
    <s v="Expert"/>
    <s v="Medium Impact"/>
  </r>
  <r>
    <s v="E1369"/>
    <n v="52"/>
    <s v="Other"/>
    <s v="PhD"/>
    <x v="2"/>
    <s v="SEO Specialist"/>
    <n v="29"/>
    <x v="0"/>
    <s v="High"/>
    <s v="No"/>
    <n v="94892"/>
    <n v="98329"/>
    <x v="0"/>
    <n v="46"/>
    <x v="1"/>
    <n v="4"/>
    <n v="4.1399999999999997"/>
    <n v="3437"/>
    <n v="3.622012393036294"/>
    <s v="Expert"/>
    <s v="Low Impact"/>
  </r>
  <r>
    <s v="E0598"/>
    <n v="56"/>
    <s v="Other"/>
    <s v="Master"/>
    <x v="2"/>
    <s v="Content Creator"/>
    <n v="32"/>
    <x v="1"/>
    <s v="Medium"/>
    <s v="Yes"/>
    <n v="76287"/>
    <n v="78151"/>
    <x v="1"/>
    <n v="53"/>
    <x v="0"/>
    <n v="3"/>
    <n v="4.1399999999999997"/>
    <n v="1864"/>
    <n v="2.4434045119089753"/>
    <s v="Expert"/>
    <s v="Medium Impact"/>
  </r>
  <r>
    <s v="E0813"/>
    <n v="53"/>
    <s v="Male"/>
    <s v="PhD"/>
    <x v="2"/>
    <s v="Content Creator"/>
    <n v="29"/>
    <x v="0"/>
    <s v="Medium"/>
    <s v="Yes"/>
    <n v="63139"/>
    <n v="68826"/>
    <x v="1"/>
    <n v="48"/>
    <x v="0"/>
    <n v="9"/>
    <n v="4.13"/>
    <n v="5687"/>
    <n v="9.0071112941288263"/>
    <s v="Expert"/>
    <s v="Medium Impact"/>
  </r>
  <r>
    <s v="E1608"/>
    <n v="58"/>
    <s v="Other"/>
    <s v="Master"/>
    <x v="5"/>
    <s v="Professor"/>
    <n v="32"/>
    <x v="1"/>
    <s v="Low"/>
    <s v="Yes"/>
    <n v="61704"/>
    <n v="70946"/>
    <x v="0"/>
    <n v="49"/>
    <x v="0"/>
    <n v="6"/>
    <n v="4.1100000000000003"/>
    <n v="9242"/>
    <n v="14.977959289511213"/>
    <s v="Expert"/>
    <s v="Low Impact"/>
  </r>
  <r>
    <s v="E1990"/>
    <n v="50"/>
    <s v="Male"/>
    <s v="PhD"/>
    <x v="3"/>
    <s v="Investment Analyst"/>
    <n v="27"/>
    <x v="2"/>
    <s v="High"/>
    <s v="Yes"/>
    <n v="115078"/>
    <n v="93786"/>
    <x v="2"/>
    <n v="42"/>
    <x v="1"/>
    <n v="8"/>
    <n v="3.97"/>
    <n v="-21292"/>
    <n v="-18.502233267870487"/>
    <s v="Expert"/>
    <s v="High Impact"/>
  </r>
  <r>
    <s v="E0904"/>
    <n v="31"/>
    <s v="Female"/>
    <s v="High School"/>
    <x v="6"/>
    <s v="Doctor"/>
    <n v="7"/>
    <x v="2"/>
    <s v="High"/>
    <s v="Yes"/>
    <n v="118741"/>
    <n v="117100"/>
    <x v="1"/>
    <n v="53"/>
    <x v="1"/>
    <n v="4"/>
    <n v="3.95"/>
    <n v="-1641"/>
    <n v="-1.3819994778551639"/>
    <s v="Intermediate"/>
    <s v="Medium Impact"/>
  </r>
  <r>
    <s v="E0541"/>
    <n v="25"/>
    <s v="Other"/>
    <s v="PhD"/>
    <x v="4"/>
    <s v="Store Manager"/>
    <n v="3"/>
    <x v="2"/>
    <s v="Medium"/>
    <s v="Yes"/>
    <n v="95618"/>
    <n v="131431"/>
    <x v="1"/>
    <n v="47"/>
    <x v="1"/>
    <n v="8"/>
    <n v="3.94"/>
    <n v="35813"/>
    <n v="37.454245016628668"/>
    <s v="Beginner"/>
    <s v="Medium Impact"/>
  </r>
  <r>
    <s v="E0059"/>
    <n v="57"/>
    <s v="Other"/>
    <s v="PhD"/>
    <x v="5"/>
    <s v="Teacher"/>
    <n v="35"/>
    <x v="2"/>
    <s v="Medium"/>
    <s v="No"/>
    <n v="86573"/>
    <n v="91794"/>
    <x v="1"/>
    <n v="44"/>
    <x v="0"/>
    <n v="8"/>
    <n v="3.91"/>
    <n v="5221"/>
    <n v="6.0307486167742823"/>
    <s v="Expert"/>
    <s v="Medium Impact"/>
  </r>
  <r>
    <s v="E0715"/>
    <n v="48"/>
    <s v="Female"/>
    <s v="PhD"/>
    <x v="4"/>
    <s v="Cashier"/>
    <n v="25"/>
    <x v="0"/>
    <s v="High"/>
    <s v="Yes"/>
    <n v="56270"/>
    <n v="60255"/>
    <x v="0"/>
    <n v="49"/>
    <x v="0"/>
    <n v="6"/>
    <n v="3.87"/>
    <n v="3985"/>
    <n v="7.0819264261595878"/>
    <s v="Expert"/>
    <s v="Low Impact"/>
  </r>
  <r>
    <s v="E0700"/>
    <n v="36"/>
    <s v="Female"/>
    <s v="Bachelor"/>
    <x v="2"/>
    <s v="Digital Marketer"/>
    <n v="14"/>
    <x v="1"/>
    <s v="Low"/>
    <s v="Yes"/>
    <n v="113231"/>
    <n v="129910"/>
    <x v="0"/>
    <n v="54"/>
    <x v="1"/>
    <n v="9"/>
    <n v="3.82"/>
    <n v="16679"/>
    <n v="14.730065088182565"/>
    <s v="Intermediate"/>
    <s v="Low Impact"/>
  </r>
  <r>
    <s v="E0228"/>
    <n v="51"/>
    <s v="Male"/>
    <s v="High School"/>
    <x v="1"/>
    <s v="Supervisor"/>
    <n v="29"/>
    <x v="2"/>
    <s v="High"/>
    <s v="Yes"/>
    <n v="118652"/>
    <n v="100515"/>
    <x v="2"/>
    <n v="36"/>
    <x v="1"/>
    <n v="8"/>
    <n v="3.82"/>
    <n v="-18137"/>
    <n v="-15.28587802986886"/>
    <s v="Expert"/>
    <s v="High Impact"/>
  </r>
  <r>
    <s v="E1626"/>
    <n v="48"/>
    <s v="Male"/>
    <s v="PhD"/>
    <x v="5"/>
    <s v="Administrator"/>
    <n v="23"/>
    <x v="2"/>
    <s v="Low"/>
    <s v="No"/>
    <n v="80304"/>
    <n v="79886"/>
    <x v="0"/>
    <n v="53"/>
    <x v="0"/>
    <n v="5"/>
    <n v="3.77"/>
    <n v="-418"/>
    <n v="-0.52052201633791595"/>
    <s v="Expert"/>
    <s v="Low Impact"/>
  </r>
  <r>
    <s v="E1116"/>
    <n v="50"/>
    <s v="Other"/>
    <s v="Master"/>
    <x v="6"/>
    <s v="Doctor"/>
    <n v="28"/>
    <x v="2"/>
    <s v="Low"/>
    <s v="Yes"/>
    <n v="115435"/>
    <n v="151675"/>
    <x v="0"/>
    <n v="43"/>
    <x v="0"/>
    <n v="9"/>
    <n v="3.76"/>
    <n v="36240"/>
    <n v="31.394291159527004"/>
    <s v="Expert"/>
    <s v="Low Impact"/>
  </r>
  <r>
    <s v="E0368"/>
    <n v="58"/>
    <s v="Male"/>
    <s v="PhD"/>
    <x v="0"/>
    <s v="Data Analyst"/>
    <n v="32"/>
    <x v="1"/>
    <s v="Medium"/>
    <s v="No"/>
    <n v="37239"/>
    <n v="42429"/>
    <x v="1"/>
    <n v="50"/>
    <x v="1"/>
    <n v="8"/>
    <n v="3.76"/>
    <n v="5190"/>
    <n v="13.937001530653347"/>
    <s v="Expert"/>
    <s v="Medium Impact"/>
  </r>
  <r>
    <s v="E0239"/>
    <n v="53"/>
    <s v="Female"/>
    <s v="Bachelor"/>
    <x v="5"/>
    <s v="Teacher"/>
    <n v="31"/>
    <x v="1"/>
    <s v="High"/>
    <s v="No"/>
    <n v="102099"/>
    <n v="92789"/>
    <x v="0"/>
    <n v="38"/>
    <x v="1"/>
    <n v="4"/>
    <n v="3.73"/>
    <n v="-9310"/>
    <n v="-9.1186005739527314"/>
    <s v="Expert"/>
    <s v="Low Impact"/>
  </r>
  <r>
    <s v="E0009"/>
    <n v="50"/>
    <s v="Other"/>
    <s v="Bachelor"/>
    <x v="5"/>
    <s v="Professor"/>
    <n v="27"/>
    <x v="0"/>
    <s v="High"/>
    <s v="Yes"/>
    <n v="102409"/>
    <n v="104197"/>
    <x v="0"/>
    <n v="38"/>
    <x v="0"/>
    <n v="8"/>
    <n v="3.71"/>
    <n v="1788"/>
    <n v="1.7459402982159773"/>
    <s v="Expert"/>
    <s v="Low Impact"/>
  </r>
  <r>
    <s v="E0682"/>
    <n v="32"/>
    <s v="Male"/>
    <s v="Master"/>
    <x v="3"/>
    <s v="Investment Analyst"/>
    <n v="8"/>
    <x v="1"/>
    <s v="Low"/>
    <s v="Yes"/>
    <n v="70031"/>
    <n v="83317"/>
    <x v="0"/>
    <n v="43"/>
    <x v="0"/>
    <n v="5"/>
    <n v="3.71"/>
    <n v="13286"/>
    <n v="18.97159829218489"/>
    <s v="Intermediate"/>
    <s v="Low Impact"/>
  </r>
  <r>
    <s v="E0085"/>
    <n v="32"/>
    <s v="Male"/>
    <s v="High School"/>
    <x v="6"/>
    <s v="Nurse"/>
    <n v="7"/>
    <x v="1"/>
    <s v="High"/>
    <s v="No"/>
    <n v="40975"/>
    <n v="37588"/>
    <x v="0"/>
    <n v="42"/>
    <x v="0"/>
    <n v="4"/>
    <n v="3.67"/>
    <n v="-3387"/>
    <n v="-8.2660158633312992"/>
    <s v="Intermediate"/>
    <s v="Low Impact"/>
  </r>
  <r>
    <s v="E0799"/>
    <n v="52"/>
    <s v="Other"/>
    <s v="PhD"/>
    <x v="5"/>
    <s v="Professor"/>
    <n v="30"/>
    <x v="0"/>
    <s v="High"/>
    <s v="Yes"/>
    <n v="30798"/>
    <n v="33719"/>
    <x v="0"/>
    <n v="51"/>
    <x v="1"/>
    <n v="7"/>
    <n v="3.61"/>
    <n v="2921"/>
    <n v="9.4843821027339423"/>
    <s v="Expert"/>
    <s v="Low Impact"/>
  </r>
  <r>
    <s v="E0887"/>
    <n v="42"/>
    <s v="Female"/>
    <s v="High School"/>
    <x v="3"/>
    <s v="Investment Analyst"/>
    <n v="19"/>
    <x v="0"/>
    <s v="Medium"/>
    <s v="Yes"/>
    <n v="108353"/>
    <n v="104569"/>
    <x v="1"/>
    <n v="54"/>
    <x v="0"/>
    <n v="5"/>
    <n v="3.6"/>
    <n v="-3784"/>
    <n v="-3.492289092134043"/>
    <s v="Expert"/>
    <s v="Medium Impact"/>
  </r>
  <r>
    <s v="E1575"/>
    <n v="36"/>
    <s v="Other"/>
    <s v="PhD"/>
    <x v="1"/>
    <s v="Machine Operator"/>
    <n v="10"/>
    <x v="0"/>
    <s v="Medium"/>
    <s v="No"/>
    <n v="94471"/>
    <n v="100728"/>
    <x v="1"/>
    <n v="50"/>
    <x v="1"/>
    <n v="9"/>
    <n v="3.56"/>
    <n v="6257"/>
    <n v="6.6231965365032659"/>
    <s v="Intermediate"/>
    <s v="Medium Impact"/>
  </r>
  <r>
    <s v="E0496"/>
    <n v="22"/>
    <s v="Male"/>
    <s v="Master"/>
    <x v="0"/>
    <s v="Software Engineer"/>
    <n v="0"/>
    <x v="0"/>
    <s v="High"/>
    <s v="Yes"/>
    <n v="83574"/>
    <n v="84055"/>
    <x v="0"/>
    <n v="37"/>
    <x v="1"/>
    <n v="5"/>
    <n v="3.55"/>
    <n v="481"/>
    <n v="0.57553784669873409"/>
    <s v="Beginner"/>
    <s v="Low Impact"/>
  </r>
  <r>
    <s v="E1356"/>
    <n v="43"/>
    <s v="Male"/>
    <s v="Bachelor"/>
    <x v="1"/>
    <s v="Machine Operator"/>
    <n v="17"/>
    <x v="2"/>
    <s v="High"/>
    <s v="Yes"/>
    <n v="61996"/>
    <n v="74850"/>
    <x v="2"/>
    <n v="35"/>
    <x v="1"/>
    <n v="6"/>
    <n v="3.52"/>
    <n v="12854"/>
    <n v="20.733595715852633"/>
    <s v="Expert"/>
    <s v="High Impact"/>
  </r>
  <r>
    <s v="E0569"/>
    <n v="50"/>
    <s v="Other"/>
    <s v="High School"/>
    <x v="5"/>
    <s v="Administrator"/>
    <n v="27"/>
    <x v="2"/>
    <s v="Low"/>
    <s v="No"/>
    <n v="101696"/>
    <n v="93941"/>
    <x v="0"/>
    <n v="51"/>
    <x v="1"/>
    <n v="5"/>
    <n v="3.51"/>
    <n v="-7755"/>
    <n v="-7.6256686595342984"/>
    <s v="Expert"/>
    <s v="Low Impact"/>
  </r>
  <r>
    <s v="E0244"/>
    <n v="46"/>
    <s v="Female"/>
    <s v="Master"/>
    <x v="3"/>
    <s v="Investment Analyst"/>
    <n v="21"/>
    <x v="1"/>
    <s v="Low"/>
    <s v="No"/>
    <n v="99350"/>
    <n v="94288"/>
    <x v="0"/>
    <n v="36"/>
    <x v="0"/>
    <n v="5"/>
    <n v="3.46"/>
    <n v="-5062"/>
    <n v="-5.0951182687468544"/>
    <s v="Expert"/>
    <s v="Low Impact"/>
  </r>
  <r>
    <s v="E0526"/>
    <n v="37"/>
    <s v="Female"/>
    <s v="Bachelor"/>
    <x v="0"/>
    <s v="Data Analyst"/>
    <n v="12"/>
    <x v="2"/>
    <s v="Medium"/>
    <s v="No"/>
    <n v="30112"/>
    <n v="24447"/>
    <x v="1"/>
    <n v="39"/>
    <x v="0"/>
    <n v="5"/>
    <n v="3.44"/>
    <n v="-5665"/>
    <n v="-18.813097768331563"/>
    <s v="Intermediate"/>
    <s v="Medium Impact"/>
  </r>
  <r>
    <s v="E0656"/>
    <n v="36"/>
    <s v="Male"/>
    <s v="Master"/>
    <x v="1"/>
    <s v="Quality Inspector"/>
    <n v="14"/>
    <x v="2"/>
    <s v="Medium"/>
    <s v="Yes"/>
    <n v="61508"/>
    <n v="70744"/>
    <x v="1"/>
    <n v="40"/>
    <x v="1"/>
    <n v="3"/>
    <n v="3.41"/>
    <n v="9236"/>
    <n v="15.015932886778954"/>
    <s v="Intermediate"/>
    <s v="Medium Impact"/>
  </r>
  <r>
    <s v="E0070"/>
    <n v="51"/>
    <s v="Male"/>
    <s v="Master"/>
    <x v="4"/>
    <s v="Cashier"/>
    <n v="29"/>
    <x v="1"/>
    <s v="Medium"/>
    <s v="Yes"/>
    <n v="44397"/>
    <n v="46571"/>
    <x v="1"/>
    <n v="47"/>
    <x v="1"/>
    <n v="5"/>
    <n v="3.38"/>
    <n v="2174"/>
    <n v="4.896727256346149"/>
    <s v="Expert"/>
    <s v="Medium Impact"/>
  </r>
  <r>
    <s v="E0425"/>
    <n v="50"/>
    <s v="Male"/>
    <s v="High School"/>
    <x v="5"/>
    <s v="Professor"/>
    <n v="24"/>
    <x v="1"/>
    <s v="High"/>
    <s v="Yes"/>
    <n v="50538"/>
    <n v="60056"/>
    <x v="0"/>
    <n v="47"/>
    <x v="0"/>
    <n v="8"/>
    <n v="3.37"/>
    <n v="9518"/>
    <n v="18.833353120424235"/>
    <s v="Expert"/>
    <s v="Low Impact"/>
  </r>
  <r>
    <s v="E1516"/>
    <n v="45"/>
    <s v="Male"/>
    <s v="PhD"/>
    <x v="1"/>
    <s v="Machine Operator"/>
    <n v="19"/>
    <x v="2"/>
    <s v="Low"/>
    <s v="No"/>
    <n v="90289"/>
    <n v="84152"/>
    <x v="0"/>
    <n v="46"/>
    <x v="1"/>
    <n v="6"/>
    <n v="3.31"/>
    <n v="-6137"/>
    <n v="-6.7970627651208897"/>
    <s v="Expert"/>
    <s v="Low Impact"/>
  </r>
  <r>
    <s v="E0480"/>
    <n v="40"/>
    <s v="Female"/>
    <s v="High School"/>
    <x v="4"/>
    <s v="Cashier"/>
    <n v="16"/>
    <x v="0"/>
    <s v="Low"/>
    <s v="No"/>
    <n v="85751"/>
    <n v="89643"/>
    <x v="0"/>
    <n v="45"/>
    <x v="0"/>
    <n v="5"/>
    <n v="3.29"/>
    <n v="3892"/>
    <n v="4.5387225804946887"/>
    <s v="Expert"/>
    <s v="Low Impact"/>
  </r>
  <r>
    <s v="E1160"/>
    <n v="22"/>
    <s v="Other"/>
    <s v="High School"/>
    <x v="0"/>
    <s v="DevOps Engineer"/>
    <n v="0"/>
    <x v="2"/>
    <s v="Medium"/>
    <s v="Yes"/>
    <n v="116784"/>
    <n v="150069"/>
    <x v="1"/>
    <n v="38"/>
    <x v="1"/>
    <n v="9"/>
    <n v="3.28"/>
    <n v="33285"/>
    <n v="28.501335799424577"/>
    <s v="Beginner"/>
    <s v="Medium Impact"/>
  </r>
  <r>
    <s v="E0581"/>
    <n v="58"/>
    <s v="Male"/>
    <s v="Master"/>
    <x v="0"/>
    <s v="Software Engineer"/>
    <n v="34"/>
    <x v="2"/>
    <s v="Low"/>
    <s v="Yes"/>
    <n v="119791"/>
    <n v="147096"/>
    <x v="0"/>
    <n v="43"/>
    <x v="0"/>
    <n v="9"/>
    <n v="3.2"/>
    <n v="27305"/>
    <n v="22.793865983254168"/>
    <s v="Expert"/>
    <s v="Low Impact"/>
  </r>
  <r>
    <s v="E0966"/>
    <n v="47"/>
    <s v="Female"/>
    <s v="High School"/>
    <x v="4"/>
    <s v="Store Manager"/>
    <n v="24"/>
    <x v="1"/>
    <s v="Low"/>
    <s v="Yes"/>
    <n v="63332"/>
    <n v="59535"/>
    <x v="0"/>
    <n v="36"/>
    <x v="0"/>
    <n v="7"/>
    <n v="3.2"/>
    <n v="-3797"/>
    <n v="-5.9953893766184558"/>
    <s v="Expert"/>
    <s v="Low Impact"/>
  </r>
  <r>
    <s v="E1143"/>
    <n v="27"/>
    <s v="Female"/>
    <s v="PhD"/>
    <x v="6"/>
    <s v="Nurse"/>
    <n v="2"/>
    <x v="2"/>
    <s v="Medium"/>
    <s v="Yes"/>
    <n v="117700"/>
    <n v="133715"/>
    <x v="1"/>
    <n v="41"/>
    <x v="1"/>
    <n v="6"/>
    <n v="3.19"/>
    <n v="16015"/>
    <n v="13.606627017841971"/>
    <s v="Beginner"/>
    <s v="Medium Impact"/>
  </r>
  <r>
    <s v="E0186"/>
    <n v="55"/>
    <s v="Other"/>
    <s v="High School"/>
    <x v="3"/>
    <s v="Investment Analyst"/>
    <n v="31"/>
    <x v="1"/>
    <s v="High"/>
    <s v="Yes"/>
    <n v="59430"/>
    <n v="56793"/>
    <x v="0"/>
    <n v="37"/>
    <x v="0"/>
    <n v="5"/>
    <n v="3.04"/>
    <n v="-2637"/>
    <n v="-4.4371529530540137"/>
    <s v="Expert"/>
    <s v="Low Impact"/>
  </r>
  <r>
    <s v="E1373"/>
    <n v="56"/>
    <s v="Female"/>
    <s v="Master"/>
    <x v="6"/>
    <s v="Technician"/>
    <n v="30"/>
    <x v="2"/>
    <s v="Low"/>
    <s v="Yes"/>
    <n v="99109"/>
    <n v="122808"/>
    <x v="0"/>
    <n v="52"/>
    <x v="0"/>
    <n v="9"/>
    <n v="3.03"/>
    <n v="23699"/>
    <n v="23.912056422726494"/>
    <s v="Expert"/>
    <s v="Low Impact"/>
  </r>
  <r>
    <s v="E1223"/>
    <n v="36"/>
    <s v="Female"/>
    <s v="PhD"/>
    <x v="4"/>
    <s v="Store Manager"/>
    <n v="12"/>
    <x v="0"/>
    <s v="Low"/>
    <s v="Yes"/>
    <n v="45659"/>
    <n v="50117"/>
    <x v="0"/>
    <n v="38"/>
    <x v="1"/>
    <n v="5"/>
    <n v="3.01"/>
    <n v="4458"/>
    <n v="9.763682954072582"/>
    <s v="Intermediate"/>
    <s v="Low Impact"/>
  </r>
  <r>
    <s v="E0756"/>
    <n v="39"/>
    <s v="Female"/>
    <s v="Master"/>
    <x v="5"/>
    <s v="Professor"/>
    <n v="15"/>
    <x v="2"/>
    <s v="High"/>
    <s v="Yes"/>
    <n v="88502"/>
    <n v="118720"/>
    <x v="1"/>
    <n v="39"/>
    <x v="0"/>
    <n v="4"/>
    <n v="2.99"/>
    <n v="30218"/>
    <n v="34.143861155680099"/>
    <s v="Expert"/>
    <s v="Medium Impact"/>
  </r>
  <r>
    <s v="E1625"/>
    <n v="50"/>
    <s v="Female"/>
    <s v="Bachelor"/>
    <x v="6"/>
    <s v="Technician"/>
    <n v="26"/>
    <x v="0"/>
    <s v="Low"/>
    <s v="No"/>
    <n v="87944"/>
    <n v="89774"/>
    <x v="0"/>
    <n v="50"/>
    <x v="1"/>
    <n v="5"/>
    <n v="2.97"/>
    <n v="1830"/>
    <n v="2.0808696443191121"/>
    <s v="Expert"/>
    <s v="Low Impact"/>
  </r>
  <r>
    <s v="E0886"/>
    <n v="55"/>
    <s v="Male"/>
    <s v="PhD"/>
    <x v="1"/>
    <s v="Quality Inspector"/>
    <n v="33"/>
    <x v="1"/>
    <s v="High"/>
    <s v="No"/>
    <n v="71139"/>
    <n v="73094"/>
    <x v="0"/>
    <n v="41"/>
    <x v="1"/>
    <n v="3"/>
    <n v="2.97"/>
    <n v="1955"/>
    <n v="2.7481409634658909"/>
    <s v="Expert"/>
    <s v="Low Impact"/>
  </r>
  <r>
    <s v="E1754"/>
    <n v="53"/>
    <s v="Female"/>
    <s v="Master"/>
    <x v="3"/>
    <s v="Auditor"/>
    <n v="28"/>
    <x v="2"/>
    <s v="Low"/>
    <s v="No"/>
    <n v="37450"/>
    <n v="48563"/>
    <x v="0"/>
    <n v="44"/>
    <x v="0"/>
    <n v="9"/>
    <n v="2.97"/>
    <n v="11113"/>
    <n v="29.67423230974633"/>
    <s v="Expert"/>
    <s v="Low Impact"/>
  </r>
  <r>
    <s v="E0683"/>
    <n v="26"/>
    <s v="Other"/>
    <s v="Master"/>
    <x v="4"/>
    <s v="Cashier"/>
    <n v="2"/>
    <x v="0"/>
    <s v="Low"/>
    <s v="Yes"/>
    <n v="70469"/>
    <n v="68345"/>
    <x v="0"/>
    <n v="45"/>
    <x v="1"/>
    <n v="7"/>
    <n v="2.94"/>
    <n v="-2124"/>
    <n v="-3.014091302558572"/>
    <s v="Beginner"/>
    <s v="Low Impact"/>
  </r>
  <r>
    <s v="E1612"/>
    <n v="47"/>
    <s v="Male"/>
    <s v="High School"/>
    <x v="4"/>
    <s v="Store Manager"/>
    <n v="21"/>
    <x v="2"/>
    <s v="High"/>
    <s v="No"/>
    <n v="100022"/>
    <n v="119848"/>
    <x v="1"/>
    <n v="39"/>
    <x v="0"/>
    <n v="3"/>
    <n v="2.87"/>
    <n v="19826"/>
    <n v="19.82163923936734"/>
    <s v="Expert"/>
    <s v="Medium Impact"/>
  </r>
  <r>
    <s v="E0385"/>
    <n v="59"/>
    <s v="Female"/>
    <s v="Master"/>
    <x v="4"/>
    <s v="Sales Associate"/>
    <n v="34"/>
    <x v="1"/>
    <s v="Low"/>
    <s v="No"/>
    <n v="116516"/>
    <n v="123972"/>
    <x v="0"/>
    <n v="48"/>
    <x v="1"/>
    <n v="5"/>
    <n v="2.82"/>
    <n v="7456"/>
    <n v="6.3991211507432446"/>
    <s v="Expert"/>
    <s v="Low Impact"/>
  </r>
  <r>
    <s v="E1642"/>
    <n v="27"/>
    <s v="Other"/>
    <s v="PhD"/>
    <x v="5"/>
    <s v="Professor"/>
    <n v="4"/>
    <x v="1"/>
    <s v="Low"/>
    <s v="Yes"/>
    <n v="83950"/>
    <n v="81536"/>
    <x v="0"/>
    <n v="54"/>
    <x v="0"/>
    <n v="7"/>
    <n v="2.79"/>
    <n v="-2414"/>
    <n v="-2.8755211435378203"/>
    <s v="Beginner"/>
    <s v="Low Impact"/>
  </r>
  <r>
    <s v="E0266"/>
    <n v="35"/>
    <s v="Female"/>
    <s v="High School"/>
    <x v="5"/>
    <s v="Teacher"/>
    <n v="12"/>
    <x v="1"/>
    <s v="Low"/>
    <s v="No"/>
    <n v="55537"/>
    <n v="57705"/>
    <x v="0"/>
    <n v="42"/>
    <x v="0"/>
    <n v="4"/>
    <n v="2.79"/>
    <n v="2168"/>
    <n v="3.9037038370815855"/>
    <s v="Intermediate"/>
    <s v="Low Impact"/>
  </r>
  <r>
    <s v="E0248"/>
    <n v="22"/>
    <s v="Male"/>
    <s v="Bachelor"/>
    <x v="1"/>
    <s v="Machine Operator"/>
    <n v="0"/>
    <x v="2"/>
    <s v="Low"/>
    <s v="Yes"/>
    <n v="112495"/>
    <n v="114244"/>
    <x v="0"/>
    <n v="45"/>
    <x v="1"/>
    <n v="7"/>
    <n v="2.76"/>
    <n v="1749"/>
    <n v="1.554735766034046"/>
    <s v="Beginner"/>
    <s v="Low Impact"/>
  </r>
  <r>
    <s v="E0600"/>
    <n v="46"/>
    <s v="Other"/>
    <s v="Bachelor"/>
    <x v="3"/>
    <s v="Accountant"/>
    <n v="21"/>
    <x v="1"/>
    <s v="High"/>
    <s v="Yes"/>
    <n v="114178"/>
    <n v="132506"/>
    <x v="0"/>
    <n v="36"/>
    <x v="1"/>
    <n v="9"/>
    <n v="2.75"/>
    <n v="18328"/>
    <n v="16.052129131706632"/>
    <s v="Expert"/>
    <s v="Low Impact"/>
  </r>
  <r>
    <s v="E1580"/>
    <n v="26"/>
    <s v="Other"/>
    <s v="High School"/>
    <x v="1"/>
    <s v="Machine Operator"/>
    <n v="1"/>
    <x v="1"/>
    <s v="Medium"/>
    <s v="No"/>
    <n v="119439"/>
    <n v="108977"/>
    <x v="1"/>
    <n v="52"/>
    <x v="1"/>
    <n v="7"/>
    <n v="2.73"/>
    <n v="-10462"/>
    <n v="-8.7592829812707738"/>
    <s v="Beginner"/>
    <s v="Medium Impact"/>
  </r>
  <r>
    <s v="E1085"/>
    <n v="28"/>
    <s v="Male"/>
    <s v="Master"/>
    <x v="2"/>
    <s v="SEO Specialist"/>
    <n v="3"/>
    <x v="1"/>
    <s v="Low"/>
    <s v="No"/>
    <n v="43163"/>
    <n v="41106"/>
    <x v="0"/>
    <n v="54"/>
    <x v="0"/>
    <n v="5"/>
    <n v="2.72"/>
    <n v="-2057"/>
    <n v="-4.7656557699881841"/>
    <s v="Beginner"/>
    <s v="Low Impact"/>
  </r>
  <r>
    <s v="E1352"/>
    <n v="28"/>
    <s v="Male"/>
    <s v="Bachelor"/>
    <x v="2"/>
    <s v="Digital Marketer"/>
    <n v="6"/>
    <x v="1"/>
    <s v="Medium"/>
    <s v="Yes"/>
    <n v="38625"/>
    <n v="38036"/>
    <x v="1"/>
    <n v="47"/>
    <x v="0"/>
    <n v="9"/>
    <n v="2.68"/>
    <n v="-589"/>
    <n v="-1.5249190938511328"/>
    <s v="Intermediate"/>
    <s v="Medium Impact"/>
  </r>
  <r>
    <s v="E0458"/>
    <n v="39"/>
    <s v="Other"/>
    <s v="PhD"/>
    <x v="5"/>
    <s v="Administrator"/>
    <n v="15"/>
    <x v="0"/>
    <s v="Low"/>
    <s v="No"/>
    <n v="73148"/>
    <n v="74125"/>
    <x v="0"/>
    <n v="46"/>
    <x v="1"/>
    <n v="5"/>
    <n v="2.64"/>
    <n v="977"/>
    <n v="1.335648274730683"/>
    <s v="Expert"/>
    <s v="Low Impact"/>
  </r>
  <r>
    <s v="E0090"/>
    <n v="54"/>
    <s v="Male"/>
    <s v="Master"/>
    <x v="0"/>
    <s v="Data Analyst"/>
    <n v="32"/>
    <x v="1"/>
    <s v="Low"/>
    <s v="No"/>
    <n v="38415"/>
    <n v="45928"/>
    <x v="0"/>
    <n v="51"/>
    <x v="0"/>
    <n v="7"/>
    <n v="2.6"/>
    <n v="7513"/>
    <n v="19.55746453208382"/>
    <s v="Expert"/>
    <s v="Low Impact"/>
  </r>
  <r>
    <s v="E0078"/>
    <n v="28"/>
    <s v="Female"/>
    <s v="PhD"/>
    <x v="1"/>
    <s v="Machine Operator"/>
    <n v="6"/>
    <x v="1"/>
    <s v="High"/>
    <s v="Yes"/>
    <n v="31324"/>
    <n v="35271"/>
    <x v="0"/>
    <n v="53"/>
    <x v="1"/>
    <n v="7"/>
    <n v="2.58"/>
    <n v="3947"/>
    <n v="12.60056186949304"/>
    <s v="Intermediate"/>
    <s v="Low Impact"/>
  </r>
  <r>
    <s v="E0081"/>
    <n v="22"/>
    <s v="Male"/>
    <s v="Bachelor"/>
    <x v="2"/>
    <s v="SEO Specialist"/>
    <n v="0"/>
    <x v="1"/>
    <s v="High"/>
    <s v="Yes"/>
    <n v="110219"/>
    <n v="131012"/>
    <x v="0"/>
    <n v="51"/>
    <x v="1"/>
    <n v="3"/>
    <n v="2.4900000000000002"/>
    <n v="20793"/>
    <n v="18.865168437383755"/>
    <s v="Beginner"/>
    <s v="Low Impact"/>
  </r>
  <r>
    <s v="E0798"/>
    <n v="44"/>
    <s v="Female"/>
    <s v="Master"/>
    <x v="6"/>
    <s v="Doctor"/>
    <n v="18"/>
    <x v="2"/>
    <s v="High"/>
    <s v="Yes"/>
    <n v="47558"/>
    <n v="49059"/>
    <x v="2"/>
    <n v="39"/>
    <x v="0"/>
    <n v="9"/>
    <n v="2.44"/>
    <n v="1501"/>
    <n v="3.1561461794019934"/>
    <s v="Expert"/>
    <s v="High Impact"/>
  </r>
  <r>
    <s v="E0154"/>
    <n v="29"/>
    <s v="Other"/>
    <s v="Bachelor"/>
    <x v="0"/>
    <s v="Data Analyst"/>
    <n v="3"/>
    <x v="2"/>
    <s v="Low"/>
    <s v="Yes"/>
    <n v="42342"/>
    <n v="57909"/>
    <x v="0"/>
    <n v="44"/>
    <x v="0"/>
    <n v="5"/>
    <n v="2.4"/>
    <n v="15567"/>
    <n v="36.764914269519629"/>
    <s v="Beginner"/>
    <s v="Low Impact"/>
  </r>
  <r>
    <s v="E1164"/>
    <n v="50"/>
    <s v="Male"/>
    <s v="PhD"/>
    <x v="2"/>
    <s v="Digital Marketer"/>
    <n v="24"/>
    <x v="2"/>
    <s v="Low"/>
    <s v="Yes"/>
    <n v="34944"/>
    <n v="28293"/>
    <x v="0"/>
    <n v="45"/>
    <x v="1"/>
    <n v="5"/>
    <n v="2.36"/>
    <n v="-6651"/>
    <n v="-19.033310439560438"/>
    <s v="Expert"/>
    <s v="Low Impact"/>
  </r>
  <r>
    <s v="E1878"/>
    <n v="31"/>
    <s v="Female"/>
    <s v="Bachelor"/>
    <x v="5"/>
    <s v="Teacher"/>
    <n v="8"/>
    <x v="0"/>
    <s v="Low"/>
    <s v="No"/>
    <n v="62286"/>
    <n v="61893"/>
    <x v="0"/>
    <n v="40"/>
    <x v="1"/>
    <n v="5"/>
    <n v="2.34"/>
    <n v="-393"/>
    <n v="-0.63096040843849344"/>
    <s v="Intermediate"/>
    <s v="Low Impact"/>
  </r>
  <r>
    <s v="E0068"/>
    <n v="30"/>
    <s v="Other"/>
    <s v="High School"/>
    <x v="1"/>
    <s v="Machine Operator"/>
    <n v="6"/>
    <x v="1"/>
    <s v="High"/>
    <s v="Yes"/>
    <n v="113042"/>
    <n v="115730"/>
    <x v="0"/>
    <n v="41"/>
    <x v="0"/>
    <n v="9"/>
    <n v="2.3199999999999998"/>
    <n v="2688"/>
    <n v="2.3778772491640274"/>
    <s v="Intermediate"/>
    <s v="Low Impact"/>
  </r>
  <r>
    <s v="E0366"/>
    <n v="54"/>
    <s v="Male"/>
    <s v="Bachelor"/>
    <x v="5"/>
    <s v="Administrator"/>
    <n v="31"/>
    <x v="2"/>
    <s v="Medium"/>
    <s v="No"/>
    <n v="71971"/>
    <n v="92051"/>
    <x v="1"/>
    <n v="52"/>
    <x v="1"/>
    <n v="5"/>
    <n v="2.3199999999999998"/>
    <n v="20080"/>
    <n v="27.900126439816038"/>
    <s v="Expert"/>
    <s v="Medium Impact"/>
  </r>
  <r>
    <s v="E0855"/>
    <n v="41"/>
    <s v="Female"/>
    <s v="PhD"/>
    <x v="5"/>
    <s v="Teacher"/>
    <n v="15"/>
    <x v="2"/>
    <s v="Low"/>
    <s v="Yes"/>
    <n v="63324"/>
    <n v="63115"/>
    <x v="0"/>
    <n v="51"/>
    <x v="1"/>
    <n v="7"/>
    <n v="2.3199999999999998"/>
    <n v="-209"/>
    <n v="-0.33004863874676266"/>
    <s v="Expert"/>
    <s v="Low Impact"/>
  </r>
  <r>
    <s v="E1974"/>
    <n v="52"/>
    <s v="Female"/>
    <s v="PhD"/>
    <x v="3"/>
    <s v="Accountant"/>
    <n v="29"/>
    <x v="0"/>
    <s v="High"/>
    <s v="Yes"/>
    <n v="81843"/>
    <n v="87061"/>
    <x v="0"/>
    <n v="49"/>
    <x v="1"/>
    <n v="5"/>
    <n v="2.31"/>
    <n v="5218"/>
    <n v="6.3756216169983988"/>
    <s v="Expert"/>
    <s v="Low Impact"/>
  </r>
  <r>
    <s v="E0464"/>
    <n v="58"/>
    <s v="Male"/>
    <s v="Master"/>
    <x v="4"/>
    <s v="Store Manager"/>
    <n v="32"/>
    <x v="1"/>
    <s v="Low"/>
    <s v="No"/>
    <n v="56654"/>
    <n v="63219"/>
    <x v="0"/>
    <n v="40"/>
    <x v="1"/>
    <n v="5"/>
    <n v="2.27"/>
    <n v="6565"/>
    <n v="11.58788435061955"/>
    <s v="Expert"/>
    <s v="Low Impact"/>
  </r>
  <r>
    <s v="E1858"/>
    <n v="33"/>
    <s v="Female"/>
    <s v="Bachelor"/>
    <x v="5"/>
    <s v="Administrator"/>
    <n v="8"/>
    <x v="0"/>
    <s v="Medium"/>
    <s v="Yes"/>
    <n v="113766"/>
    <n v="120490"/>
    <x v="1"/>
    <n v="38"/>
    <x v="1"/>
    <n v="4"/>
    <n v="2.2400000000000002"/>
    <n v="6724"/>
    <n v="5.910377441414834"/>
    <s v="Intermediate"/>
    <s v="Medium Impact"/>
  </r>
  <r>
    <s v="E0077"/>
    <n v="58"/>
    <s v="Male"/>
    <s v="Bachelor"/>
    <x v="1"/>
    <s v="Machine Operator"/>
    <n v="34"/>
    <x v="2"/>
    <s v="High"/>
    <s v="Yes"/>
    <n v="58295"/>
    <n v="59726"/>
    <x v="2"/>
    <n v="54"/>
    <x v="0"/>
    <n v="3"/>
    <n v="2.2400000000000002"/>
    <n v="1431"/>
    <n v="2.4547559825027876"/>
    <s v="Expert"/>
    <s v="High Impact"/>
  </r>
  <r>
    <s v="E1889"/>
    <n v="39"/>
    <s v="Female"/>
    <s v="PhD"/>
    <x v="5"/>
    <s v="Teacher"/>
    <n v="13"/>
    <x v="2"/>
    <s v="Medium"/>
    <s v="Yes"/>
    <n v="62735"/>
    <n v="69953"/>
    <x v="1"/>
    <n v="52"/>
    <x v="0"/>
    <n v="9"/>
    <n v="2.12"/>
    <n v="7218"/>
    <n v="11.505539172710607"/>
    <s v="Intermediate"/>
    <s v="Medium Impact"/>
  </r>
  <r>
    <s v="E1925"/>
    <n v="48"/>
    <s v="Female"/>
    <s v="Master"/>
    <x v="6"/>
    <s v="Technician"/>
    <n v="26"/>
    <x v="0"/>
    <s v="Low"/>
    <s v="Yes"/>
    <n v="96836"/>
    <n v="105235"/>
    <x v="0"/>
    <n v="36"/>
    <x v="0"/>
    <n v="8"/>
    <n v="2.1"/>
    <n v="8399"/>
    <n v="8.6734272378041233"/>
    <s v="Expert"/>
    <s v="Low Impact"/>
  </r>
  <r>
    <s v="E1792"/>
    <n v="36"/>
    <s v="Male"/>
    <s v="High School"/>
    <x v="2"/>
    <s v="Digital Marketer"/>
    <n v="12"/>
    <x v="1"/>
    <s v="High"/>
    <s v="Yes"/>
    <n v="71751"/>
    <n v="70587"/>
    <x v="0"/>
    <n v="36"/>
    <x v="0"/>
    <n v="7"/>
    <n v="2.08"/>
    <n v="-1164"/>
    <n v="-1.6222770414349625"/>
    <s v="Intermediate"/>
    <s v="Low Impact"/>
  </r>
  <r>
    <s v="E1939"/>
    <n v="43"/>
    <s v="Male"/>
    <s v="High School"/>
    <x v="2"/>
    <s v="Content Creator"/>
    <n v="21"/>
    <x v="2"/>
    <s v="High"/>
    <s v="Yes"/>
    <n v="49727"/>
    <n v="57966"/>
    <x v="2"/>
    <n v="52"/>
    <x v="1"/>
    <n v="5"/>
    <n v="2.0699999999999998"/>
    <n v="8239"/>
    <n v="16.568463812415789"/>
    <s v="Expert"/>
    <s v="High Impact"/>
  </r>
  <r>
    <s v="E0027"/>
    <n v="32"/>
    <s v="Male"/>
    <s v="Master"/>
    <x v="5"/>
    <s v="Administrator"/>
    <n v="8"/>
    <x v="0"/>
    <s v="High"/>
    <s v="Yes"/>
    <n v="42688"/>
    <n v="45216"/>
    <x v="0"/>
    <n v="54"/>
    <x v="1"/>
    <n v="4"/>
    <n v="2.0699999999999998"/>
    <n v="2528"/>
    <n v="5.9220389805097451"/>
    <s v="Intermediate"/>
    <s v="Low Impact"/>
  </r>
  <r>
    <s v="E1149"/>
    <n v="38"/>
    <s v="Other"/>
    <s v="Master"/>
    <x v="0"/>
    <s v="Software Engineer"/>
    <n v="16"/>
    <x v="1"/>
    <s v="Low"/>
    <s v="Yes"/>
    <n v="33412"/>
    <n v="36048"/>
    <x v="0"/>
    <n v="45"/>
    <x v="1"/>
    <n v="3"/>
    <n v="1.96"/>
    <n v="2636"/>
    <n v="7.8893810606967554"/>
    <s v="Expert"/>
    <s v="Low Impact"/>
  </r>
  <r>
    <s v="E1937"/>
    <n v="23"/>
    <s v="Female"/>
    <s v="Master"/>
    <x v="5"/>
    <s v="Teacher"/>
    <n v="0"/>
    <x v="2"/>
    <s v="High"/>
    <s v="No"/>
    <n v="115470"/>
    <n v="138147"/>
    <x v="1"/>
    <n v="40"/>
    <x v="0"/>
    <n v="9"/>
    <n v="1.87"/>
    <n v="22677"/>
    <n v="19.638867238243698"/>
    <s v="Beginner"/>
    <s v="Medium Impact"/>
  </r>
  <r>
    <s v="E0106"/>
    <n v="26"/>
    <s v="Other"/>
    <s v="Master"/>
    <x v="3"/>
    <s v="Accountant"/>
    <n v="4"/>
    <x v="2"/>
    <s v="High"/>
    <s v="Yes"/>
    <n v="46907"/>
    <n v="43332"/>
    <x v="2"/>
    <n v="48"/>
    <x v="0"/>
    <n v="4"/>
    <n v="1.86"/>
    <n v="-3575"/>
    <n v="-7.6214637474150981"/>
    <s v="Beginner"/>
    <s v="High Impact"/>
  </r>
  <r>
    <s v="E1847"/>
    <n v="36"/>
    <s v="Other"/>
    <s v="High School"/>
    <x v="0"/>
    <s v="Data Analyst"/>
    <n v="10"/>
    <x v="1"/>
    <s v="Low"/>
    <s v="No"/>
    <n v="98623"/>
    <n v="99657"/>
    <x v="0"/>
    <n v="43"/>
    <x v="0"/>
    <n v="8"/>
    <n v="1.84"/>
    <n v="1034"/>
    <n v="1.0484369771757096"/>
    <s v="Intermediate"/>
    <s v="Low Impact"/>
  </r>
  <r>
    <s v="E1382"/>
    <n v="40"/>
    <s v="Female"/>
    <s v="High School"/>
    <x v="1"/>
    <s v="Machine Operator"/>
    <n v="14"/>
    <x v="2"/>
    <s v="Low"/>
    <s v="No"/>
    <n v="107518"/>
    <n v="116680"/>
    <x v="0"/>
    <n v="44"/>
    <x v="0"/>
    <n v="8"/>
    <n v="1.81"/>
    <n v="9162"/>
    <n v="8.5213638646552212"/>
    <s v="Intermediate"/>
    <s v="Low Impact"/>
  </r>
  <r>
    <s v="E0860"/>
    <n v="24"/>
    <s v="Other"/>
    <s v="Master"/>
    <x v="0"/>
    <s v="DevOps Engineer"/>
    <n v="0"/>
    <x v="2"/>
    <s v="High"/>
    <s v="Yes"/>
    <n v="53600"/>
    <n v="70166"/>
    <x v="1"/>
    <n v="54"/>
    <x v="0"/>
    <n v="6"/>
    <n v="1.8"/>
    <n v="16566"/>
    <n v="30.906716417910445"/>
    <s v="Beginner"/>
    <s v="Medium Impact"/>
  </r>
  <r>
    <s v="E1098"/>
    <n v="59"/>
    <s v="Other"/>
    <s v="PhD"/>
    <x v="1"/>
    <s v="Supervisor"/>
    <n v="33"/>
    <x v="2"/>
    <s v="Low"/>
    <s v="Yes"/>
    <n v="31242"/>
    <n v="25246"/>
    <x v="0"/>
    <n v="49"/>
    <x v="0"/>
    <n v="6"/>
    <n v="1.77"/>
    <n v="-5996"/>
    <n v="-19.192113180974328"/>
    <s v="Expert"/>
    <s v="Low Impact"/>
  </r>
  <r>
    <s v="E1850"/>
    <n v="46"/>
    <s v="Other"/>
    <s v="High School"/>
    <x v="3"/>
    <s v="Auditor"/>
    <n v="23"/>
    <x v="1"/>
    <s v="High"/>
    <s v="No"/>
    <n v="77940"/>
    <n v="79322"/>
    <x v="0"/>
    <n v="44"/>
    <x v="0"/>
    <n v="9"/>
    <n v="1.74"/>
    <n v="1382"/>
    <n v="1.7731588401334362"/>
    <s v="Expert"/>
    <s v="Low Impact"/>
  </r>
  <r>
    <s v="E1083"/>
    <n v="29"/>
    <s v="Female"/>
    <s v="High School"/>
    <x v="2"/>
    <s v="Digital Marketer"/>
    <n v="6"/>
    <x v="2"/>
    <s v="Medium"/>
    <s v="Yes"/>
    <n v="84712"/>
    <n v="107443"/>
    <x v="1"/>
    <n v="42"/>
    <x v="0"/>
    <n v="6"/>
    <n v="1.7"/>
    <n v="22731"/>
    <n v="26.833270374917369"/>
    <s v="Intermediate"/>
    <s v="Medium Impact"/>
  </r>
  <r>
    <s v="E0659"/>
    <n v="26"/>
    <s v="Male"/>
    <s v="High School"/>
    <x v="6"/>
    <s v="Nurse"/>
    <n v="3"/>
    <x v="1"/>
    <s v="High"/>
    <s v="No"/>
    <n v="90652"/>
    <n v="83644"/>
    <x v="0"/>
    <n v="47"/>
    <x v="0"/>
    <n v="8"/>
    <n v="1.69"/>
    <n v="-7008"/>
    <n v="-7.7306623130212238"/>
    <s v="Beginner"/>
    <s v="Low Impact"/>
  </r>
  <r>
    <s v="E0911"/>
    <n v="45"/>
    <s v="Other"/>
    <s v="Master"/>
    <x v="2"/>
    <s v="SEO Specialist"/>
    <n v="21"/>
    <x v="2"/>
    <s v="Low"/>
    <s v="Yes"/>
    <n v="107527"/>
    <n v="116142"/>
    <x v="0"/>
    <n v="49"/>
    <x v="1"/>
    <n v="7"/>
    <n v="1.58"/>
    <n v="8615"/>
    <n v="8.0119411868646946"/>
    <s v="Expert"/>
    <s v="Low Impact"/>
  </r>
  <r>
    <s v="E1430"/>
    <n v="56"/>
    <s v="Female"/>
    <s v="PhD"/>
    <x v="6"/>
    <s v="Technician"/>
    <n v="34"/>
    <x v="1"/>
    <s v="Medium"/>
    <s v="No"/>
    <n v="103177"/>
    <n v="109924"/>
    <x v="1"/>
    <n v="49"/>
    <x v="1"/>
    <n v="8"/>
    <n v="1.57"/>
    <n v="6747"/>
    <n v="6.5392480882367199"/>
    <s v="Expert"/>
    <s v="Medium Impact"/>
  </r>
  <r>
    <s v="E0664"/>
    <n v="22"/>
    <s v="Female"/>
    <s v="Bachelor"/>
    <x v="2"/>
    <s v="SEO Specialist"/>
    <n v="0"/>
    <x v="0"/>
    <s v="Low"/>
    <s v="Yes"/>
    <n v="59432"/>
    <n v="61609"/>
    <x v="0"/>
    <n v="49"/>
    <x v="1"/>
    <n v="3"/>
    <n v="1.55"/>
    <n v="2177"/>
    <n v="3.6630098263561721"/>
    <s v="Beginner"/>
    <s v="Low Impact"/>
  </r>
  <r>
    <s v="E1791"/>
    <n v="23"/>
    <s v="Male"/>
    <s v="Master"/>
    <x v="6"/>
    <s v="Nurse"/>
    <n v="0"/>
    <x v="1"/>
    <s v="High"/>
    <s v="Yes"/>
    <n v="76326"/>
    <n v="88708"/>
    <x v="0"/>
    <n v="40"/>
    <x v="0"/>
    <n v="9"/>
    <n v="1.54"/>
    <n v="12382"/>
    <n v="16.2225191939837"/>
    <s v="Beginner"/>
    <s v="Low Impact"/>
  </r>
  <r>
    <s v="E1030"/>
    <n v="24"/>
    <s v="Male"/>
    <s v="Bachelor"/>
    <x v="1"/>
    <s v="Quality Inspector"/>
    <n v="1"/>
    <x v="1"/>
    <s v="Medium"/>
    <s v="No"/>
    <n v="106407"/>
    <n v="123064"/>
    <x v="1"/>
    <n v="51"/>
    <x v="0"/>
    <n v="5"/>
    <n v="1.53"/>
    <n v="16657"/>
    <n v="15.654045316567519"/>
    <s v="Beginner"/>
    <s v="Medium Impact"/>
  </r>
  <r>
    <s v="E0045"/>
    <n v="45"/>
    <s v="Other"/>
    <s v="PhD"/>
    <x v="0"/>
    <s v="DevOps Engineer"/>
    <n v="22"/>
    <x v="1"/>
    <s v="Medium"/>
    <s v="Yes"/>
    <n v="102991"/>
    <n v="113428"/>
    <x v="1"/>
    <n v="44"/>
    <x v="0"/>
    <n v="4"/>
    <n v="1.52"/>
    <n v="10437"/>
    <n v="10.133895194725753"/>
    <s v="Expert"/>
    <s v="Medium Impact"/>
  </r>
  <r>
    <s v="E0951"/>
    <n v="25"/>
    <s v="Male"/>
    <s v="Master"/>
    <x v="3"/>
    <s v="Auditor"/>
    <n v="3"/>
    <x v="1"/>
    <s v="High"/>
    <s v="Yes"/>
    <n v="88535"/>
    <n v="98714"/>
    <x v="0"/>
    <n v="46"/>
    <x v="0"/>
    <n v="3"/>
    <n v="1.52"/>
    <n v="10179"/>
    <n v="11.497148020556843"/>
    <s v="Beginner"/>
    <s v="Low Impact"/>
  </r>
  <r>
    <s v="E1024"/>
    <n v="39"/>
    <s v="Male"/>
    <s v="PhD"/>
    <x v="2"/>
    <s v="SEO Specialist"/>
    <n v="16"/>
    <x v="1"/>
    <s v="Medium"/>
    <s v="No"/>
    <n v="42404"/>
    <n v="46137"/>
    <x v="1"/>
    <n v="41"/>
    <x v="1"/>
    <n v="3"/>
    <n v="1.52"/>
    <n v="3733"/>
    <n v="8.803414772191303"/>
    <s v="Expert"/>
    <s v="Medium Impact"/>
  </r>
  <r>
    <s v="E0666"/>
    <n v="47"/>
    <s v="Male"/>
    <s v="PhD"/>
    <x v="5"/>
    <s v="Teacher"/>
    <n v="21"/>
    <x v="0"/>
    <s v="Medium"/>
    <s v="Yes"/>
    <n v="38848"/>
    <n v="41768"/>
    <x v="1"/>
    <n v="47"/>
    <x v="0"/>
    <n v="8"/>
    <n v="1.5"/>
    <n v="2920"/>
    <n v="7.5164744645799013"/>
    <s v="Expert"/>
    <s v="Medium Impact"/>
  </r>
  <r>
    <s v="E1198"/>
    <n v="31"/>
    <s v="Male"/>
    <s v="High School"/>
    <x v="0"/>
    <s v="DevOps Engineer"/>
    <n v="7"/>
    <x v="0"/>
    <s v="Medium"/>
    <s v="Yes"/>
    <n v="97853"/>
    <n v="95996"/>
    <x v="1"/>
    <n v="50"/>
    <x v="0"/>
    <n v="5"/>
    <n v="1.49"/>
    <n v="-1857"/>
    <n v="-1.8977445760477452"/>
    <s v="Intermediate"/>
    <s v="Medium Impact"/>
  </r>
  <r>
    <s v="E0095"/>
    <n v="22"/>
    <s v="Other"/>
    <s v="Bachelor"/>
    <x v="5"/>
    <s v="Administrator"/>
    <n v="0"/>
    <x v="0"/>
    <s v="Medium"/>
    <s v="Yes"/>
    <n v="75543"/>
    <n v="78770"/>
    <x v="1"/>
    <n v="42"/>
    <x v="0"/>
    <n v="9"/>
    <n v="1.49"/>
    <n v="3227"/>
    <n v="4.271739274320586"/>
    <s v="Beginner"/>
    <s v="Medium Impact"/>
  </r>
  <r>
    <s v="E1501"/>
    <n v="40"/>
    <s v="Male"/>
    <s v="High School"/>
    <x v="1"/>
    <s v="Quality Inspector"/>
    <n v="17"/>
    <x v="2"/>
    <s v="Medium"/>
    <s v="Yes"/>
    <n v="55230"/>
    <n v="73580"/>
    <x v="1"/>
    <n v="47"/>
    <x v="1"/>
    <n v="7"/>
    <n v="1.49"/>
    <n v="18350"/>
    <n v="33.224696722795585"/>
    <s v="Expert"/>
    <s v="Medium Impact"/>
  </r>
  <r>
    <s v="E1914"/>
    <n v="44"/>
    <s v="Female"/>
    <s v="High School"/>
    <x v="0"/>
    <s v="Data Analyst"/>
    <n v="20"/>
    <x v="2"/>
    <s v="Low"/>
    <s v="No"/>
    <n v="111981"/>
    <n v="135008"/>
    <x v="0"/>
    <n v="54"/>
    <x v="0"/>
    <n v="4"/>
    <n v="1.42"/>
    <n v="23027"/>
    <n v="20.563309847206224"/>
    <s v="Expert"/>
    <s v="Low Impact"/>
  </r>
  <r>
    <s v="E1108"/>
    <n v="23"/>
    <s v="Male"/>
    <s v="Bachelor"/>
    <x v="5"/>
    <s v="Teacher"/>
    <n v="0"/>
    <x v="1"/>
    <s v="High"/>
    <s v="No"/>
    <n v="104353"/>
    <n v="112142"/>
    <x v="0"/>
    <n v="42"/>
    <x v="0"/>
    <n v="9"/>
    <n v="1.41"/>
    <n v="7789"/>
    <n v="7.4640882389581513"/>
    <s v="Beginner"/>
    <s v="Low Impact"/>
  </r>
  <r>
    <s v="E1485"/>
    <n v="42"/>
    <s v="Female"/>
    <s v="High School"/>
    <x v="2"/>
    <s v="SEO Specialist"/>
    <n v="19"/>
    <x v="2"/>
    <s v="High"/>
    <s v="Yes"/>
    <n v="102683"/>
    <n v="116833"/>
    <x v="1"/>
    <n v="38"/>
    <x v="1"/>
    <n v="5"/>
    <n v="1.4"/>
    <n v="14150"/>
    <n v="13.780275215955903"/>
    <s v="Expert"/>
    <s v="Medium Impact"/>
  </r>
  <r>
    <s v="E1879"/>
    <n v="23"/>
    <s v="Female"/>
    <s v="Bachelor"/>
    <x v="6"/>
    <s v="Technician"/>
    <n v="0"/>
    <x v="2"/>
    <s v="Low"/>
    <s v="Yes"/>
    <n v="105396"/>
    <n v="104631"/>
    <x v="0"/>
    <n v="37"/>
    <x v="1"/>
    <n v="8"/>
    <n v="1.38"/>
    <n v="-765"/>
    <n v="-0.72583399749516109"/>
    <s v="Beginner"/>
    <s v="Low Impact"/>
  </r>
  <r>
    <s v="E0545"/>
    <n v="44"/>
    <s v="Female"/>
    <s v="Bachelor"/>
    <x v="3"/>
    <s v="Investment Analyst"/>
    <n v="19"/>
    <x v="2"/>
    <s v="Medium"/>
    <s v="No"/>
    <n v="84318"/>
    <n v="68947"/>
    <x v="1"/>
    <n v="48"/>
    <x v="1"/>
    <n v="7"/>
    <n v="1.36"/>
    <n v="-15371"/>
    <n v="-18.229796721933631"/>
    <s v="Expert"/>
    <s v="Medium Impact"/>
  </r>
  <r>
    <s v="E0338"/>
    <n v="42"/>
    <s v="Male"/>
    <s v="PhD"/>
    <x v="4"/>
    <s v="Sales Associate"/>
    <n v="16"/>
    <x v="1"/>
    <s v="High"/>
    <s v="No"/>
    <n v="110073"/>
    <n v="119525"/>
    <x v="0"/>
    <n v="47"/>
    <x v="0"/>
    <n v="6"/>
    <n v="1.33"/>
    <n v="9452"/>
    <n v="8.5870286082872287"/>
    <s v="Expert"/>
    <s v="Low Impact"/>
  </r>
  <r>
    <s v="E0618"/>
    <n v="51"/>
    <s v="Female"/>
    <s v="Master"/>
    <x v="1"/>
    <s v="Machine Operator"/>
    <n v="26"/>
    <x v="1"/>
    <s v="High"/>
    <s v="Yes"/>
    <n v="112569"/>
    <n v="109973"/>
    <x v="0"/>
    <n v="47"/>
    <x v="0"/>
    <n v="6"/>
    <n v="1.32"/>
    <n v="-2596"/>
    <n v="-2.3061411223338575"/>
    <s v="Expert"/>
    <s v="Low Impact"/>
  </r>
  <r>
    <s v="E0673"/>
    <n v="38"/>
    <s v="Other"/>
    <s v="Bachelor"/>
    <x v="3"/>
    <s v="Auditor"/>
    <n v="14"/>
    <x v="2"/>
    <s v="High"/>
    <s v="No"/>
    <n v="80225"/>
    <n v="69276"/>
    <x v="2"/>
    <n v="47"/>
    <x v="1"/>
    <n v="8"/>
    <n v="1.29"/>
    <n v="-10949"/>
    <n v="-13.647865378622623"/>
    <s v="Intermediate"/>
    <s v="High Impact"/>
  </r>
  <r>
    <s v="E0943"/>
    <n v="59"/>
    <s v="Female"/>
    <s v="High School"/>
    <x v="6"/>
    <s v="Technician"/>
    <n v="34"/>
    <x v="1"/>
    <s v="Low"/>
    <s v="No"/>
    <n v="54014"/>
    <n v="54872"/>
    <x v="0"/>
    <n v="46"/>
    <x v="0"/>
    <n v="4"/>
    <n v="1.21"/>
    <n v="858"/>
    <n v="1.5884770615025734"/>
    <s v="Expert"/>
    <s v="Low Impact"/>
  </r>
  <r>
    <s v="E0984"/>
    <n v="50"/>
    <s v="Female"/>
    <s v="Master"/>
    <x v="5"/>
    <s v="Professor"/>
    <n v="24"/>
    <x v="0"/>
    <s v="Low"/>
    <s v="Yes"/>
    <n v="102233"/>
    <n v="100278"/>
    <x v="0"/>
    <n v="48"/>
    <x v="1"/>
    <n v="4"/>
    <n v="1.1499999999999999"/>
    <n v="-1955"/>
    <n v="-1.9122983772363131"/>
    <s v="Expert"/>
    <s v="Low Impact"/>
  </r>
  <r>
    <s v="E0174"/>
    <n v="30"/>
    <s v="Male"/>
    <s v="PhD"/>
    <x v="5"/>
    <s v="Professor"/>
    <n v="7"/>
    <x v="0"/>
    <s v="High"/>
    <s v="No"/>
    <n v="31524"/>
    <n v="31576"/>
    <x v="0"/>
    <n v="35"/>
    <x v="1"/>
    <n v="3"/>
    <n v="1.0900000000000001"/>
    <n v="52"/>
    <n v="0.16495368608044664"/>
    <s v="Intermediate"/>
    <s v="Low Impact"/>
  </r>
  <r>
    <s v="E1798"/>
    <n v="46"/>
    <s v="Male"/>
    <s v="High School"/>
    <x v="5"/>
    <s v="Professor"/>
    <n v="23"/>
    <x v="1"/>
    <s v="Low"/>
    <s v="No"/>
    <n v="102717"/>
    <n v="105296"/>
    <x v="0"/>
    <n v="40"/>
    <x v="0"/>
    <n v="4"/>
    <n v="1.03"/>
    <n v="2579"/>
    <n v="2.5107820516564927"/>
    <s v="Expert"/>
    <s v="Low Impact"/>
  </r>
  <r>
    <s v="E0815"/>
    <n v="35"/>
    <s v="Female"/>
    <s v="High School"/>
    <x v="6"/>
    <s v="Technician"/>
    <n v="12"/>
    <x v="2"/>
    <s v="Low"/>
    <s v="No"/>
    <n v="100990"/>
    <n v="85089"/>
    <x v="0"/>
    <n v="52"/>
    <x v="0"/>
    <n v="6"/>
    <n v="0.99"/>
    <n v="-15901"/>
    <n v="-15.745123279532628"/>
    <s v="Intermediate"/>
    <s v="Low Impact"/>
  </r>
  <r>
    <s v="E1978"/>
    <n v="38"/>
    <s v="Other"/>
    <s v="High School"/>
    <x v="5"/>
    <s v="Teacher"/>
    <n v="15"/>
    <x v="1"/>
    <s v="Low"/>
    <s v="No"/>
    <n v="30594"/>
    <n v="34186"/>
    <x v="0"/>
    <n v="38"/>
    <x v="0"/>
    <n v="3"/>
    <n v="0.99"/>
    <n v="3592"/>
    <n v="11.740864221742825"/>
    <s v="Expert"/>
    <s v="Low Impact"/>
  </r>
  <r>
    <s v="E1975"/>
    <n v="59"/>
    <s v="Female"/>
    <s v="Master"/>
    <x v="0"/>
    <s v="Software Engineer"/>
    <n v="37"/>
    <x v="0"/>
    <s v="Medium"/>
    <s v="Yes"/>
    <n v="68349"/>
    <n v="74992"/>
    <x v="1"/>
    <n v="42"/>
    <x v="0"/>
    <n v="4"/>
    <n v="0.97"/>
    <n v="6643"/>
    <n v="9.7192351021960821"/>
    <s v="Expert"/>
    <s v="Medium Impact"/>
  </r>
  <r>
    <s v="E0151"/>
    <n v="51"/>
    <s v="Other"/>
    <s v="Bachelor"/>
    <x v="1"/>
    <s v="Machine Operator"/>
    <n v="27"/>
    <x v="0"/>
    <s v="High"/>
    <s v="No"/>
    <n v="54442"/>
    <n v="58251"/>
    <x v="0"/>
    <n v="51"/>
    <x v="1"/>
    <n v="7"/>
    <n v="0.96"/>
    <n v="3809"/>
    <n v="6.9964365747033543"/>
    <s v="Expert"/>
    <s v="Low Impact"/>
  </r>
  <r>
    <s v="E0105"/>
    <n v="40"/>
    <s v="Male"/>
    <s v="Master"/>
    <x v="4"/>
    <s v="Cashier"/>
    <n v="14"/>
    <x v="0"/>
    <s v="Medium"/>
    <s v="No"/>
    <n v="117044"/>
    <n v="117250"/>
    <x v="1"/>
    <n v="40"/>
    <x v="0"/>
    <n v="3"/>
    <n v="0.86"/>
    <n v="206"/>
    <n v="0.1760021872116469"/>
    <s v="Intermediate"/>
    <s v="Medium Impact"/>
  </r>
  <r>
    <s v="E1619"/>
    <n v="43"/>
    <s v="Male"/>
    <s v="Master"/>
    <x v="2"/>
    <s v="SEO Specialist"/>
    <n v="21"/>
    <x v="2"/>
    <s v="High"/>
    <s v="No"/>
    <n v="60314"/>
    <n v="57975"/>
    <x v="2"/>
    <n v="45"/>
    <x v="0"/>
    <n v="3"/>
    <n v="0.86"/>
    <n v="-2339"/>
    <n v="-3.8780382664058095"/>
    <s v="Expert"/>
    <s v="High Impact"/>
  </r>
  <r>
    <s v="E0935"/>
    <n v="38"/>
    <s v="Male"/>
    <s v="High School"/>
    <x v="0"/>
    <s v="Software Engineer"/>
    <n v="14"/>
    <x v="2"/>
    <s v="Medium"/>
    <s v="Yes"/>
    <n v="117318"/>
    <n v="120920"/>
    <x v="1"/>
    <n v="43"/>
    <x v="1"/>
    <n v="9"/>
    <n v="0.82"/>
    <n v="3602"/>
    <n v="3.0702875944015413"/>
    <s v="Intermediate"/>
    <s v="Medium Impact"/>
  </r>
  <r>
    <s v="E0146"/>
    <n v="47"/>
    <s v="Female"/>
    <s v="Bachelor"/>
    <x v="0"/>
    <s v="Data Analyst"/>
    <n v="23"/>
    <x v="2"/>
    <s v="Low"/>
    <s v="Yes"/>
    <n v="103509"/>
    <n v="104317"/>
    <x v="0"/>
    <n v="36"/>
    <x v="0"/>
    <n v="5"/>
    <n v="0.82"/>
    <n v="808"/>
    <n v="0.78060844950680619"/>
    <s v="Expert"/>
    <s v="Low Impact"/>
  </r>
  <r>
    <s v="E1658"/>
    <n v="30"/>
    <s v="Female"/>
    <s v="Master"/>
    <x v="0"/>
    <s v="DevOps Engineer"/>
    <n v="6"/>
    <x v="2"/>
    <s v="Medium"/>
    <s v="Yes"/>
    <n v="99852"/>
    <n v="91068"/>
    <x v="1"/>
    <n v="46"/>
    <x v="0"/>
    <n v="8"/>
    <n v="0.76"/>
    <n v="-8784"/>
    <n v="-8.7970195889917076"/>
    <s v="Intermediate"/>
    <s v="Medium Impact"/>
  </r>
  <r>
    <s v="E0353"/>
    <n v="41"/>
    <s v="Female"/>
    <s v="Bachelor"/>
    <x v="2"/>
    <s v="SEO Specialist"/>
    <n v="18"/>
    <x v="2"/>
    <s v="High"/>
    <s v="No"/>
    <n v="48681"/>
    <n v="55359"/>
    <x v="2"/>
    <n v="52"/>
    <x v="1"/>
    <n v="3"/>
    <n v="0.76"/>
    <n v="6678"/>
    <n v="13.717877611388426"/>
    <s v="Expert"/>
    <s v="High Impact"/>
  </r>
  <r>
    <s v="E0742"/>
    <n v="44"/>
    <s v="Female"/>
    <s v="Bachelor"/>
    <x v="0"/>
    <s v="DevOps Engineer"/>
    <n v="21"/>
    <x v="0"/>
    <s v="Medium"/>
    <s v="No"/>
    <n v="70475"/>
    <n v="73079"/>
    <x v="1"/>
    <n v="53"/>
    <x v="1"/>
    <n v="3"/>
    <n v="0.74"/>
    <n v="2604"/>
    <n v="3.6949272791770134"/>
    <s v="Expert"/>
    <s v="Medium Impact"/>
  </r>
  <r>
    <s v="E1694"/>
    <n v="35"/>
    <s v="Male"/>
    <s v="PhD"/>
    <x v="4"/>
    <s v="Store Manager"/>
    <n v="9"/>
    <x v="2"/>
    <s v="High"/>
    <s v="No"/>
    <n v="113816"/>
    <n v="154751"/>
    <x v="2"/>
    <n v="38"/>
    <x v="1"/>
    <n v="4"/>
    <n v="0.71"/>
    <n v="40935"/>
    <n v="35.965945034090105"/>
    <s v="Intermediate"/>
    <s v="High Impact"/>
  </r>
  <r>
    <s v="E1489"/>
    <n v="42"/>
    <s v="Female"/>
    <s v="Bachelor"/>
    <x v="0"/>
    <s v="DevOps Engineer"/>
    <n v="18"/>
    <x v="0"/>
    <s v="Low"/>
    <s v="No"/>
    <n v="53284"/>
    <n v="52001"/>
    <x v="0"/>
    <n v="54"/>
    <x v="0"/>
    <n v="6"/>
    <n v="0.67"/>
    <n v="-1283"/>
    <n v="-2.4078522633435928"/>
    <s v="Expert"/>
    <s v="Low Impact"/>
  </r>
  <r>
    <s v="E1816"/>
    <n v="37"/>
    <s v="Male"/>
    <s v="Bachelor"/>
    <x v="2"/>
    <s v="Digital Marketer"/>
    <n v="14"/>
    <x v="1"/>
    <s v="Low"/>
    <s v="No"/>
    <n v="72213"/>
    <n v="78497"/>
    <x v="0"/>
    <n v="42"/>
    <x v="1"/>
    <n v="8"/>
    <n v="0.62"/>
    <n v="6284"/>
    <n v="8.7020342597593228"/>
    <s v="Intermediate"/>
    <s v="Low Impact"/>
  </r>
  <r>
    <s v="E1721"/>
    <n v="35"/>
    <s v="Male"/>
    <s v="Bachelor"/>
    <x v="6"/>
    <s v="Nurse"/>
    <n v="11"/>
    <x v="2"/>
    <s v="Medium"/>
    <s v="No"/>
    <n v="48676"/>
    <n v="66100"/>
    <x v="1"/>
    <n v="37"/>
    <x v="0"/>
    <n v="4"/>
    <n v="0.61"/>
    <n v="17424"/>
    <n v="35.795874763743939"/>
    <s v="Intermediate"/>
    <s v="Medium Impact"/>
  </r>
  <r>
    <s v="E0648"/>
    <n v="56"/>
    <s v="Male"/>
    <s v="Bachelor"/>
    <x v="1"/>
    <s v="Machine Operator"/>
    <n v="32"/>
    <x v="2"/>
    <s v="Low"/>
    <s v="Yes"/>
    <n v="100427"/>
    <n v="96071"/>
    <x v="0"/>
    <n v="42"/>
    <x v="0"/>
    <n v="3"/>
    <n v="0.6"/>
    <n v="-4356"/>
    <n v="-4.3374789648202174"/>
    <s v="Expert"/>
    <s v="Low Impact"/>
  </r>
  <r>
    <s v="E0850"/>
    <n v="23"/>
    <s v="Female"/>
    <s v="PhD"/>
    <x v="0"/>
    <s v="DevOps Engineer"/>
    <n v="0"/>
    <x v="0"/>
    <s v="Low"/>
    <s v="No"/>
    <n v="118177"/>
    <n v="127932"/>
    <x v="0"/>
    <n v="35"/>
    <x v="0"/>
    <n v="5"/>
    <n v="0.57999999999999996"/>
    <n v="9755"/>
    <n v="8.2545673015899883"/>
    <s v="Beginner"/>
    <s v="Low Impact"/>
  </r>
  <r>
    <s v="E0209"/>
    <n v="40"/>
    <s v="Male"/>
    <s v="Bachelor"/>
    <x v="5"/>
    <s v="Administrator"/>
    <n v="17"/>
    <x v="2"/>
    <s v="High"/>
    <s v="Yes"/>
    <n v="117272"/>
    <n v="161576"/>
    <x v="2"/>
    <n v="49"/>
    <x v="1"/>
    <n v="8"/>
    <n v="0.51"/>
    <n v="44304"/>
    <n v="37.778838938536055"/>
    <s v="Expert"/>
    <s v="High Impact"/>
  </r>
  <r>
    <s v="E0057"/>
    <n v="47"/>
    <s v="Male"/>
    <s v="PhD"/>
    <x v="2"/>
    <s v="Content Creator"/>
    <n v="23"/>
    <x v="1"/>
    <s v="Low"/>
    <s v="No"/>
    <n v="43284"/>
    <n v="40515"/>
    <x v="0"/>
    <n v="39"/>
    <x v="1"/>
    <n v="9"/>
    <n v="0.51"/>
    <n v="-2769"/>
    <n v="-6.3972830607152753"/>
    <s v="Expert"/>
    <s v="Low Impact"/>
  </r>
  <r>
    <s v="E1091"/>
    <n v="23"/>
    <s v="Female"/>
    <s v="PhD"/>
    <x v="6"/>
    <s v="Doctor"/>
    <n v="0"/>
    <x v="1"/>
    <s v="Medium"/>
    <s v="Yes"/>
    <n v="58469"/>
    <n v="67769"/>
    <x v="1"/>
    <n v="46"/>
    <x v="0"/>
    <n v="7"/>
    <n v="0.46"/>
    <n v="9300"/>
    <n v="15.905864646222783"/>
    <s v="Beginner"/>
    <s v="Medium Impact"/>
  </r>
  <r>
    <s v="E0033"/>
    <n v="33"/>
    <s v="Female"/>
    <s v="PhD"/>
    <x v="1"/>
    <s v="Quality Inspector"/>
    <n v="7"/>
    <x v="1"/>
    <s v="High"/>
    <s v="Yes"/>
    <n v="59855"/>
    <n v="65237"/>
    <x v="0"/>
    <n v="37"/>
    <x v="1"/>
    <n v="5"/>
    <n v="0.34"/>
    <n v="5382"/>
    <n v="8.9917300142009857"/>
    <s v="Intermediate"/>
    <s v="Low Impact"/>
  </r>
  <r>
    <s v="E1526"/>
    <n v="26"/>
    <s v="Other"/>
    <s v="PhD"/>
    <x v="0"/>
    <s v="Data Analyst"/>
    <n v="4"/>
    <x v="0"/>
    <s v="Low"/>
    <s v="No"/>
    <n v="45021"/>
    <n v="47989"/>
    <x v="0"/>
    <n v="44"/>
    <x v="1"/>
    <n v="8"/>
    <n v="0.34"/>
    <n v="2968"/>
    <n v="6.5924790653250698"/>
    <s v="Beginner"/>
    <s v="Low Impact"/>
  </r>
  <r>
    <s v="E1109"/>
    <n v="54"/>
    <s v="Female"/>
    <s v="Bachelor"/>
    <x v="2"/>
    <s v="Content Creator"/>
    <n v="29"/>
    <x v="0"/>
    <s v="Low"/>
    <s v="No"/>
    <n v="76761"/>
    <n v="80568"/>
    <x v="0"/>
    <n v="42"/>
    <x v="0"/>
    <n v="8"/>
    <n v="0.3"/>
    <n v="3807"/>
    <n v="4.9595497713682724"/>
    <s v="Expert"/>
    <s v="Low Impact"/>
  </r>
  <r>
    <s v="E1958"/>
    <n v="51"/>
    <s v="Other"/>
    <s v="Master"/>
    <x v="5"/>
    <s v="Teacher"/>
    <n v="27"/>
    <x v="1"/>
    <s v="Low"/>
    <s v="Yes"/>
    <n v="72864"/>
    <n v="77509"/>
    <x v="0"/>
    <n v="49"/>
    <x v="0"/>
    <n v="6"/>
    <n v="0.28999999999999998"/>
    <n v="4645"/>
    <n v="6.3748902064119459"/>
    <s v="Expert"/>
    <s v="Low Impact"/>
  </r>
  <r>
    <s v="E1229"/>
    <n v="37"/>
    <s v="Male"/>
    <s v="PhD"/>
    <x v="6"/>
    <s v="Doctor"/>
    <n v="11"/>
    <x v="0"/>
    <s v="Medium"/>
    <s v="No"/>
    <n v="41415"/>
    <n v="42140"/>
    <x v="1"/>
    <n v="42"/>
    <x v="0"/>
    <n v="4"/>
    <n v="0.27"/>
    <n v="725"/>
    <n v="1.7505734637208739"/>
    <s v="Intermediate"/>
    <s v="Medium Impact"/>
  </r>
  <r>
    <s v="E1443"/>
    <n v="33"/>
    <s v="Male"/>
    <s v="High School"/>
    <x v="3"/>
    <s v="Auditor"/>
    <n v="11"/>
    <x v="0"/>
    <s v="Medium"/>
    <s v="Yes"/>
    <n v="47045"/>
    <n v="45953"/>
    <x v="1"/>
    <n v="53"/>
    <x v="1"/>
    <n v="5"/>
    <n v="0.26"/>
    <n v="-1092"/>
    <n v="-2.3211818471676056"/>
    <s v="Intermediate"/>
    <s v="Medium Impact"/>
  </r>
  <r>
    <s v="E0631"/>
    <n v="53"/>
    <s v="Other"/>
    <s v="High School"/>
    <x v="3"/>
    <s v="Accountant"/>
    <n v="29"/>
    <x v="0"/>
    <s v="High"/>
    <s v="No"/>
    <n v="116402"/>
    <n v="126191"/>
    <x v="0"/>
    <n v="39"/>
    <x v="1"/>
    <n v="8"/>
    <n v="0.25"/>
    <n v="9789"/>
    <n v="8.4096493187402288"/>
    <s v="Expert"/>
    <s v="Low Impact"/>
  </r>
  <r>
    <s v="E0883"/>
    <n v="59"/>
    <s v="Other"/>
    <s v="PhD"/>
    <x v="0"/>
    <s v="Data Analyst"/>
    <n v="35"/>
    <x v="0"/>
    <s v="Medium"/>
    <s v="No"/>
    <n v="93753"/>
    <n v="98526"/>
    <x v="1"/>
    <n v="40"/>
    <x v="0"/>
    <n v="7"/>
    <n v="0.24"/>
    <n v="4773"/>
    <n v="5.0910370868132224"/>
    <s v="Expert"/>
    <s v="Medium Impact"/>
  </r>
  <r>
    <s v="E1381"/>
    <n v="41"/>
    <s v="Other"/>
    <s v="PhD"/>
    <x v="1"/>
    <s v="Machine Operator"/>
    <n v="16"/>
    <x v="0"/>
    <s v="Medium"/>
    <s v="No"/>
    <n v="64262"/>
    <n v="66800"/>
    <x v="1"/>
    <n v="40"/>
    <x v="0"/>
    <n v="3"/>
    <n v="0.23"/>
    <n v="2538"/>
    <n v="3.9494569107715289"/>
    <s v="Expert"/>
    <s v="Medium Impact"/>
  </r>
  <r>
    <s v="E1750"/>
    <n v="58"/>
    <s v="Male"/>
    <s v="Master"/>
    <x v="5"/>
    <s v="Professor"/>
    <n v="35"/>
    <x v="2"/>
    <s v="High"/>
    <s v="No"/>
    <n v="46693"/>
    <n v="39784"/>
    <x v="1"/>
    <n v="53"/>
    <x v="0"/>
    <n v="9"/>
    <n v="0.22"/>
    <n v="-6909"/>
    <n v="-14.796650461525282"/>
    <s v="Expert"/>
    <s v="Medium Impact"/>
  </r>
  <r>
    <s v="E1713"/>
    <n v="59"/>
    <s v="Male"/>
    <s v="High School"/>
    <x v="1"/>
    <s v="Machine Operator"/>
    <n v="33"/>
    <x v="1"/>
    <s v="High"/>
    <s v="Yes"/>
    <n v="53437"/>
    <n v="55841"/>
    <x v="0"/>
    <n v="40"/>
    <x v="1"/>
    <n v="7"/>
    <n v="0.16"/>
    <n v="2404"/>
    <n v="4.4987555439115221"/>
    <s v="Expert"/>
    <s v="Low Impact"/>
  </r>
  <r>
    <s v="E1424"/>
    <n v="31"/>
    <s v="Male"/>
    <s v="Master"/>
    <x v="2"/>
    <s v="Content Creator"/>
    <n v="6"/>
    <x v="0"/>
    <s v="Low"/>
    <s v="Yes"/>
    <n v="118901"/>
    <n v="120000"/>
    <x v="0"/>
    <n v="51"/>
    <x v="0"/>
    <n v="8"/>
    <n v="0.1"/>
    <n v="1099"/>
    <n v="0.92429836586740233"/>
    <s v="Intermediate"/>
    <s v="Low Impact"/>
  </r>
  <r>
    <s v="E1924"/>
    <n v="36"/>
    <s v="Other"/>
    <s v="PhD"/>
    <x v="4"/>
    <s v="Store Manager"/>
    <n v="13"/>
    <x v="2"/>
    <s v="High"/>
    <s v="No"/>
    <n v="50977"/>
    <n v="42284"/>
    <x v="1"/>
    <n v="40"/>
    <x v="1"/>
    <n v="4"/>
    <n v="0.08"/>
    <n v="-8693"/>
    <n v="-17.052788512466407"/>
    <s v="Intermediate"/>
    <s v="Medium Impact"/>
  </r>
  <r>
    <s v="E1057"/>
    <n v="27"/>
    <s v="Other"/>
    <s v="Bachelor"/>
    <x v="0"/>
    <s v="DevOps Engineer"/>
    <n v="3"/>
    <x v="2"/>
    <s v="High"/>
    <s v="Yes"/>
    <n v="119719"/>
    <n v="130719"/>
    <x v="1"/>
    <n v="38"/>
    <x v="1"/>
    <n v="4"/>
    <n v="0.04"/>
    <n v="11000"/>
    <n v="9.1881823269489384"/>
    <s v="Beginner"/>
    <s v="Medium Impact"/>
  </r>
  <r>
    <s v="E0145"/>
    <n v="30"/>
    <s v="Female"/>
    <s v="Bachelor"/>
    <x v="1"/>
    <s v="Quality Inspector"/>
    <n v="7"/>
    <x v="2"/>
    <s v="Low"/>
    <s v="Yes"/>
    <n v="69224"/>
    <n v="55571"/>
    <x v="0"/>
    <n v="54"/>
    <x v="1"/>
    <n v="3"/>
    <n v="0.01"/>
    <n v="-13653"/>
    <n v="-19.722928464116489"/>
    <s v="Intermediate"/>
    <s v="Low Impact"/>
  </r>
  <r>
    <s v="E1456"/>
    <n v="51"/>
    <s v="Male"/>
    <s v="Bachelor"/>
    <x v="4"/>
    <s v="Store Manager"/>
    <n v="26"/>
    <x v="1"/>
    <s v="Medium"/>
    <s v="No"/>
    <n v="115013"/>
    <n v="137171"/>
    <x v="1"/>
    <n v="46"/>
    <x v="0"/>
    <n v="5"/>
    <n v="-0.01"/>
    <n v="22158"/>
    <n v="19.265648231069534"/>
    <s v="Expert"/>
    <s v="Medium Impact"/>
  </r>
  <r>
    <s v="E1076"/>
    <n v="43"/>
    <s v="Male"/>
    <s v="Bachelor"/>
    <x v="5"/>
    <s v="Administrator"/>
    <n v="19"/>
    <x v="2"/>
    <s v="Medium"/>
    <s v="No"/>
    <n v="59283"/>
    <n v="67760"/>
    <x v="1"/>
    <n v="49"/>
    <x v="0"/>
    <n v="9"/>
    <n v="-0.1"/>
    <n v="8477"/>
    <n v="14.299208879442673"/>
    <s v="Expert"/>
    <s v="Medium Impact"/>
  </r>
  <r>
    <s v="E0740"/>
    <n v="34"/>
    <s v="Female"/>
    <s v="Bachelor"/>
    <x v="3"/>
    <s v="Investment Analyst"/>
    <n v="12"/>
    <x v="1"/>
    <s v="Medium"/>
    <s v="No"/>
    <n v="87724"/>
    <n v="97429"/>
    <x v="1"/>
    <n v="38"/>
    <x v="0"/>
    <n v="5"/>
    <n v="-0.12"/>
    <n v="9705"/>
    <n v="11.063107017463864"/>
    <s v="Intermediate"/>
    <s v="Medium Impact"/>
  </r>
  <r>
    <s v="E1191"/>
    <n v="31"/>
    <s v="Other"/>
    <s v="Master"/>
    <x v="3"/>
    <s v="Accountant"/>
    <n v="8"/>
    <x v="0"/>
    <s v="Medium"/>
    <s v="No"/>
    <n v="117193"/>
    <n v="120376"/>
    <x v="1"/>
    <n v="44"/>
    <x v="0"/>
    <n v="9"/>
    <n v="-0.14000000000000001"/>
    <n v="3183"/>
    <n v="2.7160325275400408"/>
    <s v="Intermediate"/>
    <s v="Medium Impact"/>
  </r>
  <r>
    <s v="E1610"/>
    <n v="44"/>
    <s v="Female"/>
    <s v="Master"/>
    <x v="6"/>
    <s v="Nurse"/>
    <n v="18"/>
    <x v="0"/>
    <s v="Low"/>
    <s v="No"/>
    <n v="41278"/>
    <n v="41905"/>
    <x v="0"/>
    <n v="50"/>
    <x v="0"/>
    <n v="3"/>
    <n v="-0.15"/>
    <n v="627"/>
    <n v="1.5189689422937158"/>
    <s v="Expert"/>
    <s v="Low Impact"/>
  </r>
  <r>
    <s v="E1941"/>
    <n v="44"/>
    <s v="Other"/>
    <s v="PhD"/>
    <x v="2"/>
    <s v="Content Creator"/>
    <n v="19"/>
    <x v="1"/>
    <s v="Medium"/>
    <s v="Yes"/>
    <n v="41202"/>
    <n v="46498"/>
    <x v="1"/>
    <n v="48"/>
    <x v="0"/>
    <n v="9"/>
    <n v="-0.25"/>
    <n v="5296"/>
    <n v="12.853744963836707"/>
    <s v="Expert"/>
    <s v="Medium Impact"/>
  </r>
  <r>
    <s v="E1534"/>
    <n v="59"/>
    <s v="Female"/>
    <s v="High School"/>
    <x v="5"/>
    <s v="Administrator"/>
    <n v="36"/>
    <x v="2"/>
    <s v="Low"/>
    <s v="No"/>
    <n v="63615"/>
    <n v="75713"/>
    <x v="0"/>
    <n v="40"/>
    <x v="1"/>
    <n v="3"/>
    <n v="-0.26"/>
    <n v="12098"/>
    <n v="19.017527312740707"/>
    <s v="Expert"/>
    <s v="Low Impact"/>
  </r>
  <r>
    <s v="E0102"/>
    <n v="41"/>
    <s v="Other"/>
    <s v="Master"/>
    <x v="6"/>
    <s v="Nurse"/>
    <n v="15"/>
    <x v="2"/>
    <s v="High"/>
    <s v="No"/>
    <n v="103477"/>
    <n v="113366"/>
    <x v="1"/>
    <n v="45"/>
    <x v="1"/>
    <n v="5"/>
    <n v="-0.27"/>
    <n v="9889"/>
    <n v="9.5567130859997871"/>
    <s v="Expert"/>
    <s v="Medium Impact"/>
  </r>
  <r>
    <s v="E1435"/>
    <n v="47"/>
    <s v="Other"/>
    <s v="PhD"/>
    <x v="1"/>
    <s v="Supervisor"/>
    <n v="25"/>
    <x v="1"/>
    <s v="Low"/>
    <s v="Yes"/>
    <n v="79063"/>
    <n v="74240"/>
    <x v="0"/>
    <n v="46"/>
    <x v="0"/>
    <n v="9"/>
    <n v="-0.34"/>
    <n v="-4823"/>
    <n v="-6.1001985758192836"/>
    <s v="Expert"/>
    <s v="Low Impact"/>
  </r>
  <r>
    <s v="E0112"/>
    <n v="31"/>
    <s v="Male"/>
    <s v="PhD"/>
    <x v="1"/>
    <s v="Supervisor"/>
    <n v="9"/>
    <x v="0"/>
    <s v="Low"/>
    <s v="No"/>
    <n v="80448"/>
    <n v="78977"/>
    <x v="0"/>
    <n v="46"/>
    <x v="0"/>
    <n v="3"/>
    <n v="-0.35"/>
    <n v="-1471"/>
    <n v="-1.8285103420843278"/>
    <s v="Intermediate"/>
    <s v="Low Impact"/>
  </r>
  <r>
    <s v="E1818"/>
    <n v="44"/>
    <s v="Female"/>
    <s v="Master"/>
    <x v="3"/>
    <s v="Accountant"/>
    <n v="20"/>
    <x v="0"/>
    <s v="Medium"/>
    <s v="No"/>
    <n v="66972"/>
    <n v="72469"/>
    <x v="1"/>
    <n v="44"/>
    <x v="0"/>
    <n v="4"/>
    <n v="-0.36"/>
    <n v="5497"/>
    <n v="8.2079077823568056"/>
    <s v="Expert"/>
    <s v="Medium Impact"/>
  </r>
  <r>
    <s v="E0542"/>
    <n v="53"/>
    <s v="Female"/>
    <s v="Bachelor"/>
    <x v="2"/>
    <s v="Content Creator"/>
    <n v="31"/>
    <x v="1"/>
    <s v="Low"/>
    <s v="No"/>
    <n v="112289"/>
    <n v="126083"/>
    <x v="0"/>
    <n v="54"/>
    <x v="1"/>
    <n v="5"/>
    <n v="-0.38"/>
    <n v="13794"/>
    <n v="12.284373358031509"/>
    <s v="Expert"/>
    <s v="Low Impact"/>
  </r>
  <r>
    <s v="E0430"/>
    <n v="38"/>
    <s v="Other"/>
    <s v="PhD"/>
    <x v="1"/>
    <s v="Quality Inspector"/>
    <n v="14"/>
    <x v="2"/>
    <s v="Medium"/>
    <s v="Yes"/>
    <n v="50219"/>
    <n v="49229"/>
    <x v="1"/>
    <n v="53"/>
    <x v="0"/>
    <n v="7"/>
    <n v="-0.45"/>
    <n v="-990"/>
    <n v="-1.971365419462753"/>
    <s v="Intermediate"/>
    <s v="Medium Impact"/>
  </r>
  <r>
    <s v="E1507"/>
    <n v="25"/>
    <s v="Male"/>
    <s v="Master"/>
    <x v="2"/>
    <s v="SEO Specialist"/>
    <n v="2"/>
    <x v="2"/>
    <s v="Medium"/>
    <s v="No"/>
    <n v="117618"/>
    <n v="98333"/>
    <x v="1"/>
    <n v="44"/>
    <x v="1"/>
    <n v="5"/>
    <n v="-0.47"/>
    <n v="-19285"/>
    <n v="-16.396299886071862"/>
    <s v="Beginner"/>
    <s v="Medium Impact"/>
  </r>
  <r>
    <s v="E0037"/>
    <n v="57"/>
    <s v="Other"/>
    <s v="PhD"/>
    <x v="3"/>
    <s v="Auditor"/>
    <n v="35"/>
    <x v="0"/>
    <s v="Low"/>
    <s v="Yes"/>
    <n v="68467"/>
    <n v="67480"/>
    <x v="0"/>
    <n v="54"/>
    <x v="0"/>
    <n v="9"/>
    <n v="-0.48"/>
    <n v="-987"/>
    <n v="-1.4415703915755034"/>
    <s v="Expert"/>
    <s v="Low Impact"/>
  </r>
  <r>
    <s v="E0681"/>
    <n v="53"/>
    <s v="Other"/>
    <s v="High School"/>
    <x v="2"/>
    <s v="SEO Specialist"/>
    <n v="31"/>
    <x v="2"/>
    <s v="High"/>
    <s v="No"/>
    <n v="39417"/>
    <n v="45086"/>
    <x v="2"/>
    <n v="37"/>
    <x v="0"/>
    <n v="4"/>
    <n v="-0.49"/>
    <n v="5669"/>
    <n v="14.382119390110864"/>
    <s v="Expert"/>
    <s v="High Impact"/>
  </r>
  <r>
    <s v="E0773"/>
    <n v="33"/>
    <s v="Female"/>
    <s v="Bachelor"/>
    <x v="6"/>
    <s v="Doctor"/>
    <n v="7"/>
    <x v="2"/>
    <s v="Medium"/>
    <s v="Yes"/>
    <n v="99322"/>
    <n v="129739"/>
    <x v="1"/>
    <n v="48"/>
    <x v="0"/>
    <n v="8"/>
    <n v="-0.5"/>
    <n v="30417"/>
    <n v="30.624635025472706"/>
    <s v="Intermediate"/>
    <s v="Medium Impact"/>
  </r>
  <r>
    <s v="E1546"/>
    <n v="29"/>
    <s v="Female"/>
    <s v="Master"/>
    <x v="4"/>
    <s v="Store Manager"/>
    <n v="7"/>
    <x v="1"/>
    <s v="High"/>
    <s v="No"/>
    <n v="117638"/>
    <n v="124480"/>
    <x v="0"/>
    <n v="36"/>
    <x v="1"/>
    <n v="7"/>
    <n v="-0.5"/>
    <n v="6842"/>
    <n v="5.8161478433839404"/>
    <s v="Intermediate"/>
    <s v="Low Impact"/>
  </r>
  <r>
    <s v="E1353"/>
    <n v="44"/>
    <s v="Male"/>
    <s v="Bachelor"/>
    <x v="1"/>
    <s v="Machine Operator"/>
    <n v="18"/>
    <x v="0"/>
    <s v="Low"/>
    <s v="Yes"/>
    <n v="59717"/>
    <n v="58961"/>
    <x v="0"/>
    <n v="37"/>
    <x v="0"/>
    <n v="9"/>
    <n v="-0.53"/>
    <n v="-756"/>
    <n v="-1.2659711639901534"/>
    <s v="Expert"/>
    <s v="Low Impact"/>
  </r>
  <r>
    <s v="E1998"/>
    <n v="43"/>
    <s v="Female"/>
    <s v="Bachelor"/>
    <x v="4"/>
    <s v="Cashier"/>
    <n v="17"/>
    <x v="2"/>
    <s v="High"/>
    <s v="No"/>
    <n v="53424"/>
    <n v="74715"/>
    <x v="1"/>
    <n v="49"/>
    <x v="1"/>
    <n v="6"/>
    <n v="-0.56999999999999995"/>
    <n v="21291"/>
    <n v="39.852875112309071"/>
    <s v="Expert"/>
    <s v="Medium Impact"/>
  </r>
  <r>
    <s v="E1902"/>
    <n v="57"/>
    <s v="Male"/>
    <s v="Bachelor"/>
    <x v="1"/>
    <s v="Supervisor"/>
    <n v="31"/>
    <x v="1"/>
    <s v="Low"/>
    <s v="No"/>
    <n v="33881"/>
    <n v="32960"/>
    <x v="0"/>
    <n v="52"/>
    <x v="0"/>
    <n v="5"/>
    <n v="-0.56999999999999995"/>
    <n v="-921"/>
    <n v="-2.7183377114016705"/>
    <s v="Expert"/>
    <s v="Low Impact"/>
  </r>
  <r>
    <s v="E0283"/>
    <n v="57"/>
    <s v="Male"/>
    <s v="Master"/>
    <x v="5"/>
    <s v="Professor"/>
    <n v="31"/>
    <x v="0"/>
    <s v="Low"/>
    <s v="No"/>
    <n v="103379"/>
    <n v="101185"/>
    <x v="0"/>
    <n v="40"/>
    <x v="0"/>
    <n v="3"/>
    <n v="-0.6"/>
    <n v="-2194"/>
    <n v="-2.1222878921250929"/>
    <s v="Expert"/>
    <s v="Low Impact"/>
  </r>
  <r>
    <s v="E1588"/>
    <n v="49"/>
    <s v="Other"/>
    <s v="High School"/>
    <x v="6"/>
    <s v="Technician"/>
    <n v="27"/>
    <x v="2"/>
    <s v="Low"/>
    <s v="No"/>
    <n v="93146"/>
    <n v="111457"/>
    <x v="0"/>
    <n v="52"/>
    <x v="1"/>
    <n v="6"/>
    <n v="-0.63"/>
    <n v="18311"/>
    <n v="19.658385759989695"/>
    <s v="Expert"/>
    <s v="Low Impact"/>
  </r>
  <r>
    <s v="E0986"/>
    <n v="46"/>
    <s v="Male"/>
    <s v="Master"/>
    <x v="5"/>
    <s v="Teacher"/>
    <n v="20"/>
    <x v="2"/>
    <s v="Medium"/>
    <s v="No"/>
    <n v="95602"/>
    <n v="111027"/>
    <x v="1"/>
    <n v="36"/>
    <x v="0"/>
    <n v="4"/>
    <n v="-0.66"/>
    <n v="15425"/>
    <n v="16.134599694567058"/>
    <s v="Expert"/>
    <s v="Medium Impact"/>
  </r>
  <r>
    <s v="E1824"/>
    <n v="29"/>
    <s v="Other"/>
    <s v="Bachelor"/>
    <x v="0"/>
    <s v="Software Engineer"/>
    <n v="6"/>
    <x v="0"/>
    <s v="High"/>
    <s v="No"/>
    <n v="69115"/>
    <n v="72165"/>
    <x v="0"/>
    <n v="44"/>
    <x v="0"/>
    <n v="5"/>
    <n v="-0.69"/>
    <n v="3050"/>
    <n v="4.4129349634666859"/>
    <s v="Intermediate"/>
    <s v="Low Impact"/>
  </r>
  <r>
    <s v="E1064"/>
    <n v="45"/>
    <s v="Other"/>
    <s v="High School"/>
    <x v="0"/>
    <s v="Software Engineer"/>
    <n v="19"/>
    <x v="1"/>
    <s v="Medium"/>
    <s v="Yes"/>
    <n v="110373"/>
    <n v="123664"/>
    <x v="1"/>
    <n v="54"/>
    <x v="1"/>
    <n v="4"/>
    <n v="-0.71"/>
    <n v="13291"/>
    <n v="12.041894303860545"/>
    <s v="Expert"/>
    <s v="Medium Impact"/>
  </r>
  <r>
    <s v="E1051"/>
    <n v="57"/>
    <s v="Male"/>
    <s v="Master"/>
    <x v="0"/>
    <s v="DevOps Engineer"/>
    <n v="35"/>
    <x v="1"/>
    <s v="High"/>
    <s v="Yes"/>
    <n v="77934"/>
    <n v="76550"/>
    <x v="0"/>
    <n v="44"/>
    <x v="1"/>
    <n v="4"/>
    <n v="-0.8"/>
    <n v="-1384"/>
    <n v="-1.7758616265044782"/>
    <s v="Expert"/>
    <s v="Low Impact"/>
  </r>
  <r>
    <s v="E0372"/>
    <n v="40"/>
    <s v="Other"/>
    <s v="Bachelor"/>
    <x v="4"/>
    <s v="Sales Associate"/>
    <n v="18"/>
    <x v="1"/>
    <s v="Medium"/>
    <s v="No"/>
    <n v="92987"/>
    <n v="104323"/>
    <x v="1"/>
    <n v="35"/>
    <x v="0"/>
    <n v="9"/>
    <n v="-0.82"/>
    <n v="11336"/>
    <n v="12.190951423317237"/>
    <s v="Expert"/>
    <s v="Medium Impact"/>
  </r>
  <r>
    <s v="E0065"/>
    <n v="23"/>
    <s v="Male"/>
    <s v="Bachelor"/>
    <x v="3"/>
    <s v="Accountant"/>
    <n v="0"/>
    <x v="2"/>
    <s v="Low"/>
    <s v="No"/>
    <n v="57350"/>
    <n v="48329"/>
    <x v="0"/>
    <n v="44"/>
    <x v="1"/>
    <n v="4"/>
    <n v="-0.86"/>
    <n v="-9021"/>
    <n v="-15.72972972972973"/>
    <s v="Beginner"/>
    <s v="Low Impact"/>
  </r>
  <r>
    <s v="E1643"/>
    <n v="53"/>
    <s v="Female"/>
    <s v="PhD"/>
    <x v="4"/>
    <s v="Store Manager"/>
    <n v="30"/>
    <x v="1"/>
    <s v="High"/>
    <s v="No"/>
    <n v="77857"/>
    <n v="77620"/>
    <x v="0"/>
    <n v="38"/>
    <x v="1"/>
    <n v="8"/>
    <n v="-0.88"/>
    <n v="-237"/>
    <n v="-0.30440422826463903"/>
    <s v="Expert"/>
    <s v="Low Impact"/>
  </r>
  <r>
    <s v="E0595"/>
    <n v="48"/>
    <s v="Other"/>
    <s v="PhD"/>
    <x v="1"/>
    <s v="Machine Operator"/>
    <n v="24"/>
    <x v="1"/>
    <s v="Medium"/>
    <s v="No"/>
    <n v="58302"/>
    <n v="57789"/>
    <x v="1"/>
    <n v="37"/>
    <x v="0"/>
    <n v="6"/>
    <n v="-0.91"/>
    <n v="-513"/>
    <n v="-0.8799012040753319"/>
    <s v="Expert"/>
    <s v="Medium Impact"/>
  </r>
  <r>
    <s v="E1677"/>
    <n v="42"/>
    <s v="Female"/>
    <s v="Bachelor"/>
    <x v="6"/>
    <s v="Technician"/>
    <n v="18"/>
    <x v="0"/>
    <s v="High"/>
    <s v="No"/>
    <n v="113312"/>
    <n v="124425"/>
    <x v="0"/>
    <n v="39"/>
    <x v="0"/>
    <n v="9"/>
    <n v="-0.92"/>
    <n v="11113"/>
    <n v="9.8074343405817572"/>
    <s v="Expert"/>
    <s v="Low Impact"/>
  </r>
  <r>
    <s v="E0677"/>
    <n v="23"/>
    <s v="Female"/>
    <s v="Master"/>
    <x v="5"/>
    <s v="Teacher"/>
    <n v="0"/>
    <x v="2"/>
    <s v="Low"/>
    <s v="Yes"/>
    <n v="65186"/>
    <n v="66996"/>
    <x v="0"/>
    <n v="50"/>
    <x v="0"/>
    <n v="5"/>
    <n v="-1"/>
    <n v="1810"/>
    <n v="2.7766698370815819"/>
    <s v="Beginner"/>
    <s v="Low Impact"/>
  </r>
  <r>
    <s v="E1790"/>
    <n v="44"/>
    <s v="Other"/>
    <s v="PhD"/>
    <x v="3"/>
    <s v="Accountant"/>
    <n v="20"/>
    <x v="0"/>
    <s v="Medium"/>
    <s v="Yes"/>
    <n v="56014"/>
    <n v="53273"/>
    <x v="1"/>
    <n v="46"/>
    <x v="0"/>
    <n v="8"/>
    <n v="-1"/>
    <n v="-2741"/>
    <n v="-4.8934195022672906"/>
    <s v="Expert"/>
    <s v="Medium Impact"/>
  </r>
  <r>
    <s v="E1099"/>
    <n v="38"/>
    <s v="Female"/>
    <s v="High School"/>
    <x v="3"/>
    <s v="Auditor"/>
    <n v="16"/>
    <x v="1"/>
    <s v="High"/>
    <s v="Yes"/>
    <n v="81507"/>
    <n v="91167"/>
    <x v="0"/>
    <n v="35"/>
    <x v="1"/>
    <n v="6"/>
    <n v="-1.01"/>
    <n v="9660"/>
    <n v="11.851742795097353"/>
    <s v="Expert"/>
    <s v="Low Impact"/>
  </r>
  <r>
    <s v="E0456"/>
    <n v="27"/>
    <s v="Other"/>
    <s v="High School"/>
    <x v="0"/>
    <s v="Data Analyst"/>
    <n v="1"/>
    <x v="1"/>
    <s v="Low"/>
    <s v="Yes"/>
    <n v="110811"/>
    <n v="124359"/>
    <x v="0"/>
    <n v="45"/>
    <x v="1"/>
    <n v="3"/>
    <n v="-1.02"/>
    <n v="13548"/>
    <n v="12.226223028399708"/>
    <s v="Beginner"/>
    <s v="Low Impact"/>
  </r>
  <r>
    <s v="E1180"/>
    <n v="39"/>
    <s v="Female"/>
    <s v="Master"/>
    <x v="0"/>
    <s v="Software Engineer"/>
    <n v="17"/>
    <x v="0"/>
    <s v="Low"/>
    <s v="Yes"/>
    <n v="91716"/>
    <n v="94052"/>
    <x v="0"/>
    <n v="54"/>
    <x v="0"/>
    <n v="4"/>
    <n v="-1.04"/>
    <n v="2336"/>
    <n v="2.5469928910986086"/>
    <s v="Expert"/>
    <s v="Low Impact"/>
  </r>
  <r>
    <s v="E1081"/>
    <n v="50"/>
    <s v="Male"/>
    <s v="PhD"/>
    <x v="5"/>
    <s v="Teacher"/>
    <n v="27"/>
    <x v="1"/>
    <s v="High"/>
    <s v="Yes"/>
    <n v="83019"/>
    <n v="86763"/>
    <x v="0"/>
    <n v="42"/>
    <x v="1"/>
    <n v="4"/>
    <n v="-1.07"/>
    <n v="3744"/>
    <n v="4.5098110071188522"/>
    <s v="Expert"/>
    <s v="Low Impact"/>
  </r>
  <r>
    <s v="E1487"/>
    <n v="28"/>
    <s v="Male"/>
    <s v="Master"/>
    <x v="1"/>
    <s v="Quality Inspector"/>
    <n v="2"/>
    <x v="0"/>
    <s v="Medium"/>
    <s v="No"/>
    <n v="36057"/>
    <n v="36892"/>
    <x v="1"/>
    <n v="43"/>
    <x v="0"/>
    <n v="6"/>
    <n v="-1.1299999999999999"/>
    <n v="835"/>
    <n v="2.3157777962670214"/>
    <s v="Beginner"/>
    <s v="Medium Impact"/>
  </r>
  <r>
    <s v="E0376"/>
    <n v="32"/>
    <s v="Other"/>
    <s v="Bachelor"/>
    <x v="6"/>
    <s v="Doctor"/>
    <n v="9"/>
    <x v="0"/>
    <s v="Low"/>
    <s v="No"/>
    <n v="82142"/>
    <n v="86064"/>
    <x v="0"/>
    <n v="36"/>
    <x v="1"/>
    <n v="8"/>
    <n v="-1.1599999999999999"/>
    <n v="3922"/>
    <n v="4.7746585181758414"/>
    <s v="Intermediate"/>
    <s v="Low Impact"/>
  </r>
  <r>
    <s v="E0653"/>
    <n v="55"/>
    <s v="Female"/>
    <s v="Bachelor"/>
    <x v="0"/>
    <s v="DevOps Engineer"/>
    <n v="32"/>
    <x v="0"/>
    <s v="Medium"/>
    <s v="Yes"/>
    <n v="107963"/>
    <n v="117288"/>
    <x v="1"/>
    <n v="50"/>
    <x v="0"/>
    <n v="3"/>
    <n v="-1.17"/>
    <n v="9325"/>
    <n v="8.6372183062715937"/>
    <s v="Expert"/>
    <s v="Medium Impact"/>
  </r>
  <r>
    <s v="E0808"/>
    <n v="51"/>
    <s v="Female"/>
    <s v="PhD"/>
    <x v="0"/>
    <s v="Data Analyst"/>
    <n v="27"/>
    <x v="2"/>
    <s v="Medium"/>
    <s v="No"/>
    <n v="52706"/>
    <n v="72072"/>
    <x v="1"/>
    <n v="41"/>
    <x v="0"/>
    <n v="3"/>
    <n v="-1.22"/>
    <n v="19366"/>
    <n v="36.743444769096492"/>
    <s v="Expert"/>
    <s v="Medium Impact"/>
  </r>
  <r>
    <s v="E1412"/>
    <n v="38"/>
    <s v="Female"/>
    <s v="Master"/>
    <x v="6"/>
    <s v="Nurse"/>
    <n v="13"/>
    <x v="1"/>
    <s v="Medium"/>
    <s v="Yes"/>
    <n v="58690"/>
    <n v="65855"/>
    <x v="1"/>
    <n v="53"/>
    <x v="1"/>
    <n v="8"/>
    <n v="-1.23"/>
    <n v="7165"/>
    <n v="12.208212642698927"/>
    <s v="Intermediate"/>
    <s v="Medium Impact"/>
  </r>
  <r>
    <s v="E1873"/>
    <n v="34"/>
    <s v="Other"/>
    <s v="High School"/>
    <x v="6"/>
    <s v="Doctor"/>
    <n v="9"/>
    <x v="2"/>
    <s v="High"/>
    <s v="Yes"/>
    <n v="89817"/>
    <n v="98466"/>
    <x v="2"/>
    <n v="37"/>
    <x v="0"/>
    <n v="3"/>
    <n v="-1.27"/>
    <n v="8649"/>
    <n v="9.6295801462974708"/>
    <s v="Intermediate"/>
    <s v="High Impact"/>
  </r>
  <r>
    <s v="E1635"/>
    <n v="48"/>
    <s v="Other"/>
    <s v="PhD"/>
    <x v="6"/>
    <s v="Technician"/>
    <n v="24"/>
    <x v="1"/>
    <s v="High"/>
    <s v="No"/>
    <n v="105675"/>
    <n v="95457"/>
    <x v="0"/>
    <n v="51"/>
    <x v="1"/>
    <n v="8"/>
    <n v="-1.27"/>
    <n v="-10218"/>
    <n v="-9.6692689850958118"/>
    <s v="Expert"/>
    <s v="Low Impact"/>
  </r>
  <r>
    <s v="E0218"/>
    <n v="41"/>
    <s v="Female"/>
    <s v="High School"/>
    <x v="6"/>
    <s v="Nurse"/>
    <n v="17"/>
    <x v="2"/>
    <s v="Low"/>
    <s v="No"/>
    <n v="93416"/>
    <n v="99523"/>
    <x v="0"/>
    <n v="40"/>
    <x v="0"/>
    <n v="9"/>
    <n v="-1.28"/>
    <n v="6107"/>
    <n v="6.5374239958893545"/>
    <s v="Expert"/>
    <s v="Low Impact"/>
  </r>
  <r>
    <s v="E1692"/>
    <n v="40"/>
    <s v="Female"/>
    <s v="Master"/>
    <x v="3"/>
    <s v="Accountant"/>
    <n v="17"/>
    <x v="1"/>
    <s v="High"/>
    <s v="Yes"/>
    <n v="115674"/>
    <n v="104743"/>
    <x v="0"/>
    <n v="42"/>
    <x v="0"/>
    <n v="8"/>
    <n v="-1.29"/>
    <n v="-10931"/>
    <n v="-9.4498331517886474"/>
    <s v="Expert"/>
    <s v="Low Impact"/>
  </r>
  <r>
    <s v="E0973"/>
    <n v="59"/>
    <s v="Male"/>
    <s v="High School"/>
    <x v="4"/>
    <s v="Sales Associate"/>
    <n v="33"/>
    <x v="2"/>
    <s v="Low"/>
    <s v="No"/>
    <n v="78542"/>
    <n v="93044"/>
    <x v="0"/>
    <n v="51"/>
    <x v="1"/>
    <n v="9"/>
    <n v="-1.3"/>
    <n v="14502"/>
    <n v="18.464006518805228"/>
    <s v="Expert"/>
    <s v="Low Impact"/>
  </r>
  <r>
    <s v="E1979"/>
    <n v="57"/>
    <s v="Male"/>
    <s v="Master"/>
    <x v="1"/>
    <s v="Quality Inspector"/>
    <n v="34"/>
    <x v="1"/>
    <s v="Medium"/>
    <s v="No"/>
    <n v="63682"/>
    <n v="69042"/>
    <x v="1"/>
    <n v="47"/>
    <x v="0"/>
    <n v="7"/>
    <n v="-1.3"/>
    <n v="5360"/>
    <n v="8.4168210797399592"/>
    <s v="Expert"/>
    <s v="Medium Impact"/>
  </r>
  <r>
    <s v="E0840"/>
    <n v="35"/>
    <s v="Female"/>
    <s v="Master"/>
    <x v="0"/>
    <s v="DevOps Engineer"/>
    <n v="11"/>
    <x v="0"/>
    <s v="High"/>
    <s v="Yes"/>
    <n v="62769"/>
    <n v="61208"/>
    <x v="0"/>
    <n v="39"/>
    <x v="0"/>
    <n v="6"/>
    <n v="-1.38"/>
    <n v="-1561"/>
    <n v="-2.4868963979034238"/>
    <s v="Intermediate"/>
    <s v="Low Impact"/>
  </r>
  <r>
    <s v="E1003"/>
    <n v="33"/>
    <s v="Male"/>
    <s v="PhD"/>
    <x v="4"/>
    <s v="Sales Associate"/>
    <n v="7"/>
    <x v="0"/>
    <s v="High"/>
    <s v="No"/>
    <n v="54845"/>
    <n v="55704"/>
    <x v="0"/>
    <n v="51"/>
    <x v="0"/>
    <n v="4"/>
    <n v="-1.38"/>
    <n v="859"/>
    <n v="1.5662321086698876"/>
    <s v="Intermediate"/>
    <s v="Low Impact"/>
  </r>
  <r>
    <s v="E1208"/>
    <n v="49"/>
    <s v="Male"/>
    <s v="Bachelor"/>
    <x v="5"/>
    <s v="Administrator"/>
    <n v="23"/>
    <x v="2"/>
    <s v="High"/>
    <s v="Yes"/>
    <n v="65393"/>
    <n v="71851"/>
    <x v="2"/>
    <n v="43"/>
    <x v="0"/>
    <n v="3"/>
    <n v="-1.4"/>
    <n v="6458"/>
    <n v="9.8756747664123061"/>
    <s v="Expert"/>
    <s v="High Impact"/>
  </r>
  <r>
    <s v="E1660"/>
    <n v="40"/>
    <s v="Other"/>
    <s v="Master"/>
    <x v="1"/>
    <s v="Machine Operator"/>
    <n v="18"/>
    <x v="1"/>
    <s v="Medium"/>
    <s v="No"/>
    <n v="55538"/>
    <n v="55614"/>
    <x v="1"/>
    <n v="36"/>
    <x v="0"/>
    <n v="7"/>
    <n v="-1.4"/>
    <n v="76"/>
    <n v="0.13684324246461882"/>
    <s v="Expert"/>
    <s v="Medium Impact"/>
  </r>
  <r>
    <s v="E1835"/>
    <n v="33"/>
    <s v="Female"/>
    <s v="Bachelor"/>
    <x v="3"/>
    <s v="Auditor"/>
    <n v="9"/>
    <x v="2"/>
    <s v="Medium"/>
    <s v="No"/>
    <n v="61661"/>
    <n v="81082"/>
    <x v="1"/>
    <n v="52"/>
    <x v="1"/>
    <n v="6"/>
    <n v="-1.41"/>
    <n v="19421"/>
    <n v="31.496407778012031"/>
    <s v="Intermediate"/>
    <s v="Medium Impact"/>
  </r>
  <r>
    <s v="E0522"/>
    <n v="54"/>
    <s v="Other"/>
    <s v="Bachelor"/>
    <x v="5"/>
    <s v="Teacher"/>
    <n v="32"/>
    <x v="1"/>
    <s v="High"/>
    <s v="Yes"/>
    <n v="40578"/>
    <n v="41749"/>
    <x v="0"/>
    <n v="50"/>
    <x v="1"/>
    <n v="8"/>
    <n v="-1.47"/>
    <n v="1171"/>
    <n v="2.8858001872936074"/>
    <s v="Expert"/>
    <s v="Low Impact"/>
  </r>
  <r>
    <s v="E1300"/>
    <n v="54"/>
    <s v="Male"/>
    <s v="Bachelor"/>
    <x v="4"/>
    <s v="Sales Associate"/>
    <n v="32"/>
    <x v="0"/>
    <s v="High"/>
    <s v="No"/>
    <n v="41036"/>
    <n v="41053"/>
    <x v="0"/>
    <n v="50"/>
    <x v="1"/>
    <n v="8"/>
    <n v="-1.49"/>
    <n v="17"/>
    <n v="4.14270396724827E-2"/>
    <s v="Expert"/>
    <s v="Low Impact"/>
  </r>
  <r>
    <s v="E0415"/>
    <n v="57"/>
    <s v="Other"/>
    <s v="Master"/>
    <x v="6"/>
    <s v="Doctor"/>
    <n v="33"/>
    <x v="1"/>
    <s v="Low"/>
    <s v="Yes"/>
    <n v="66268"/>
    <n v="65115"/>
    <x v="0"/>
    <n v="46"/>
    <x v="1"/>
    <n v="4"/>
    <n v="-1.62"/>
    <n v="-1153"/>
    <n v="-1.7399046296855194"/>
    <s v="Expert"/>
    <s v="Low Impact"/>
  </r>
  <r>
    <s v="E0445"/>
    <n v="35"/>
    <s v="Other"/>
    <s v="Bachelor"/>
    <x v="6"/>
    <s v="Technician"/>
    <n v="10"/>
    <x v="1"/>
    <s v="Medium"/>
    <s v="Yes"/>
    <n v="38605"/>
    <n v="35028"/>
    <x v="1"/>
    <n v="42"/>
    <x v="0"/>
    <n v="5"/>
    <n v="-1.63"/>
    <n v="-3577"/>
    <n v="-9.2656391659111517"/>
    <s v="Intermediate"/>
    <s v="Medium Impact"/>
  </r>
  <r>
    <s v="E0614"/>
    <n v="33"/>
    <s v="Female"/>
    <s v="Bachelor"/>
    <x v="2"/>
    <s v="SEO Specialist"/>
    <n v="11"/>
    <x v="0"/>
    <s v="Medium"/>
    <s v="No"/>
    <n v="65903"/>
    <n v="71424"/>
    <x v="1"/>
    <n v="48"/>
    <x v="0"/>
    <n v="5"/>
    <n v="-1.64"/>
    <n v="5521"/>
    <n v="8.3774638483832291"/>
    <s v="Intermediate"/>
    <s v="Medium Impact"/>
  </r>
  <r>
    <s v="E0729"/>
    <n v="24"/>
    <s v="Female"/>
    <s v="High School"/>
    <x v="0"/>
    <s v="Data Analyst"/>
    <n v="2"/>
    <x v="1"/>
    <s v="High"/>
    <s v="Yes"/>
    <n v="115886"/>
    <n v="115663"/>
    <x v="0"/>
    <n v="51"/>
    <x v="1"/>
    <n v="4"/>
    <n v="-1.66"/>
    <n v="-223"/>
    <n v="-0.19243049203527604"/>
    <s v="Beginner"/>
    <s v="Low Impact"/>
  </r>
  <r>
    <s v="E0336"/>
    <n v="41"/>
    <s v="Female"/>
    <s v="Master"/>
    <x v="3"/>
    <s v="Accountant"/>
    <n v="17"/>
    <x v="1"/>
    <s v="Medium"/>
    <s v="Yes"/>
    <n v="66751"/>
    <n v="63057"/>
    <x v="1"/>
    <n v="53"/>
    <x v="0"/>
    <n v="7"/>
    <n v="-1.66"/>
    <n v="-3694"/>
    <n v="-5.5339994906443346"/>
    <s v="Expert"/>
    <s v="Medium Impact"/>
  </r>
  <r>
    <s v="E1568"/>
    <n v="40"/>
    <s v="Other"/>
    <s v="High School"/>
    <x v="6"/>
    <s v="Technician"/>
    <n v="16"/>
    <x v="0"/>
    <s v="High"/>
    <s v="Yes"/>
    <n v="47883"/>
    <n v="48972"/>
    <x v="0"/>
    <n v="44"/>
    <x v="1"/>
    <n v="5"/>
    <n v="-1.67"/>
    <n v="1089"/>
    <n v="2.2742935906271535"/>
    <s v="Expert"/>
    <s v="Low Impact"/>
  </r>
  <r>
    <s v="E1704"/>
    <n v="30"/>
    <s v="Male"/>
    <s v="Master"/>
    <x v="4"/>
    <s v="Cashier"/>
    <n v="5"/>
    <x v="2"/>
    <s v="Medium"/>
    <s v="Yes"/>
    <n v="62963"/>
    <n v="66584"/>
    <x v="1"/>
    <n v="41"/>
    <x v="0"/>
    <n v="4"/>
    <n v="-1.71"/>
    <n v="3621"/>
    <n v="5.7509966170608138"/>
    <s v="Intermediate"/>
    <s v="Medium Impact"/>
  </r>
  <r>
    <s v="E1322"/>
    <n v="29"/>
    <s v="Female"/>
    <s v="Bachelor"/>
    <x v="2"/>
    <s v="SEO Specialist"/>
    <n v="5"/>
    <x v="2"/>
    <s v="Medium"/>
    <s v="Yes"/>
    <n v="102728"/>
    <n v="127476"/>
    <x v="1"/>
    <n v="53"/>
    <x v="1"/>
    <n v="4"/>
    <n v="-1.73"/>
    <n v="24748"/>
    <n v="24.090802896970644"/>
    <s v="Intermediate"/>
    <s v="Medium Impact"/>
  </r>
  <r>
    <s v="E1166"/>
    <n v="22"/>
    <s v="Other"/>
    <s v="High School"/>
    <x v="3"/>
    <s v="Investment Analyst"/>
    <n v="0"/>
    <x v="1"/>
    <s v="High"/>
    <s v="Yes"/>
    <n v="118697"/>
    <n v="120447"/>
    <x v="0"/>
    <n v="41"/>
    <x v="1"/>
    <n v="9"/>
    <n v="-1.73"/>
    <n v="1750"/>
    <n v="1.4743422327438773"/>
    <s v="Beginner"/>
    <s v="Low Impact"/>
  </r>
  <r>
    <s v="E1890"/>
    <n v="38"/>
    <s v="Female"/>
    <s v="Bachelor"/>
    <x v="5"/>
    <s v="Administrator"/>
    <n v="13"/>
    <x v="0"/>
    <s v="Medium"/>
    <s v="Yes"/>
    <n v="86289"/>
    <n v="93755"/>
    <x v="1"/>
    <n v="53"/>
    <x v="1"/>
    <n v="7"/>
    <n v="-1.75"/>
    <n v="7466"/>
    <n v="8.6523195308787901"/>
    <s v="Intermediate"/>
    <s v="Medium Impact"/>
  </r>
  <r>
    <s v="E1417"/>
    <n v="31"/>
    <s v="Female"/>
    <s v="PhD"/>
    <x v="1"/>
    <s v="Quality Inspector"/>
    <n v="9"/>
    <x v="0"/>
    <s v="Low"/>
    <s v="Yes"/>
    <n v="37044"/>
    <n v="35315"/>
    <x v="0"/>
    <n v="49"/>
    <x v="0"/>
    <n v="3"/>
    <n v="-1.78"/>
    <n v="-1729"/>
    <n v="-4.6674225245653815"/>
    <s v="Intermediate"/>
    <s v="Low Impact"/>
  </r>
  <r>
    <s v="E1846"/>
    <n v="47"/>
    <s v="Male"/>
    <s v="High School"/>
    <x v="3"/>
    <s v="Investment Analyst"/>
    <n v="22"/>
    <x v="0"/>
    <s v="Medium"/>
    <s v="Yes"/>
    <n v="78398"/>
    <n v="79145"/>
    <x v="1"/>
    <n v="46"/>
    <x v="0"/>
    <n v="4"/>
    <n v="-1.8"/>
    <n v="747"/>
    <n v="0.95283042934768747"/>
    <s v="Expert"/>
    <s v="Medium Impact"/>
  </r>
  <r>
    <s v="E0928"/>
    <n v="41"/>
    <s v="Female"/>
    <s v="High School"/>
    <x v="1"/>
    <s v="Supervisor"/>
    <n v="16"/>
    <x v="1"/>
    <s v="High"/>
    <s v="Yes"/>
    <n v="57307"/>
    <n v="53071"/>
    <x v="0"/>
    <n v="50"/>
    <x v="1"/>
    <n v="9"/>
    <n v="-1.81"/>
    <n v="-4236"/>
    <n v="-7.3917671488648864"/>
    <s v="Expert"/>
    <s v="Low Impact"/>
  </r>
  <r>
    <s v="E0779"/>
    <n v="46"/>
    <s v="Male"/>
    <s v="Bachelor"/>
    <x v="2"/>
    <s v="Content Creator"/>
    <n v="24"/>
    <x v="0"/>
    <s v="Low"/>
    <s v="No"/>
    <n v="40304"/>
    <n v="40431"/>
    <x v="0"/>
    <n v="45"/>
    <x v="0"/>
    <n v="5"/>
    <n v="-1.83"/>
    <n v="127"/>
    <n v="0.31510520047637952"/>
    <s v="Expert"/>
    <s v="Low Impact"/>
  </r>
  <r>
    <s v="E1533"/>
    <n v="57"/>
    <s v="Male"/>
    <s v="PhD"/>
    <x v="0"/>
    <s v="Software Engineer"/>
    <n v="33"/>
    <x v="0"/>
    <s v="High"/>
    <s v="No"/>
    <n v="79116"/>
    <n v="82604"/>
    <x v="0"/>
    <n v="42"/>
    <x v="1"/>
    <n v="9"/>
    <n v="-1.91"/>
    <n v="3488"/>
    <n v="4.4087163152838871"/>
    <s v="Expert"/>
    <s v="Low Impact"/>
  </r>
  <r>
    <s v="E0865"/>
    <n v="47"/>
    <s v="Male"/>
    <s v="High School"/>
    <x v="2"/>
    <s v="SEO Specialist"/>
    <n v="23"/>
    <x v="0"/>
    <s v="High"/>
    <s v="Yes"/>
    <n v="79549"/>
    <n v="85184"/>
    <x v="0"/>
    <n v="46"/>
    <x v="1"/>
    <n v="3"/>
    <n v="-2.02"/>
    <n v="5635"/>
    <n v="7.083684270072534"/>
    <s v="Expert"/>
    <s v="Low Impact"/>
  </r>
  <r>
    <s v="E1006"/>
    <n v="46"/>
    <s v="Female"/>
    <s v="Master"/>
    <x v="1"/>
    <s v="Machine Operator"/>
    <n v="23"/>
    <x v="2"/>
    <s v="Medium"/>
    <s v="Yes"/>
    <n v="93644"/>
    <n v="113153"/>
    <x v="1"/>
    <n v="52"/>
    <x v="1"/>
    <n v="3"/>
    <n v="-2.0299999999999998"/>
    <n v="19509"/>
    <n v="20.833155354320617"/>
    <s v="Expert"/>
    <s v="Medium Impact"/>
  </r>
  <r>
    <s v="E0816"/>
    <n v="29"/>
    <s v="Female"/>
    <s v="High School"/>
    <x v="5"/>
    <s v="Administrator"/>
    <n v="5"/>
    <x v="0"/>
    <s v="Low"/>
    <s v="No"/>
    <n v="116717"/>
    <n v="127374"/>
    <x v="0"/>
    <n v="42"/>
    <x v="1"/>
    <n v="7"/>
    <n v="-2.1"/>
    <n v="10657"/>
    <n v="9.1306322129595525"/>
    <s v="Intermediate"/>
    <s v="Low Impact"/>
  </r>
  <r>
    <s v="E1952"/>
    <n v="59"/>
    <s v="Male"/>
    <s v="PhD"/>
    <x v="5"/>
    <s v="Professor"/>
    <n v="33"/>
    <x v="1"/>
    <s v="Medium"/>
    <s v="Yes"/>
    <n v="114590"/>
    <n v="116671"/>
    <x v="1"/>
    <n v="35"/>
    <x v="1"/>
    <n v="9"/>
    <n v="-2.1"/>
    <n v="2081"/>
    <n v="1.8160397940483464"/>
    <s v="Expert"/>
    <s v="Medium Impact"/>
  </r>
  <r>
    <s v="E1545"/>
    <n v="25"/>
    <s v="Female"/>
    <s v="Bachelor"/>
    <x v="6"/>
    <s v="Doctor"/>
    <n v="2"/>
    <x v="2"/>
    <s v="Low"/>
    <s v="No"/>
    <n v="38798"/>
    <n v="50797"/>
    <x v="0"/>
    <n v="54"/>
    <x v="1"/>
    <n v="3"/>
    <n v="-2.11"/>
    <n v="11999"/>
    <n v="30.926851899582452"/>
    <s v="Beginner"/>
    <s v="Low Impact"/>
  </r>
  <r>
    <s v="E1212"/>
    <n v="54"/>
    <s v="Male"/>
    <s v="PhD"/>
    <x v="3"/>
    <s v="Auditor"/>
    <n v="30"/>
    <x v="2"/>
    <s v="High"/>
    <s v="Yes"/>
    <n v="41595"/>
    <n v="49301"/>
    <x v="1"/>
    <n v="48"/>
    <x v="0"/>
    <n v="8"/>
    <n v="-2.11"/>
    <n v="7706"/>
    <n v="18.526265176102896"/>
    <s v="Expert"/>
    <s v="Medium Impact"/>
  </r>
  <r>
    <s v="E0766"/>
    <n v="31"/>
    <s v="Male"/>
    <s v="Master"/>
    <x v="2"/>
    <s v="SEO Specialist"/>
    <n v="7"/>
    <x v="2"/>
    <s v="Medium"/>
    <s v="Yes"/>
    <n v="80383"/>
    <n v="104923"/>
    <x v="1"/>
    <n v="52"/>
    <x v="0"/>
    <n v="6"/>
    <n v="-2.2000000000000002"/>
    <n v="24540"/>
    <n v="30.528843163355436"/>
    <s v="Intermediate"/>
    <s v="Medium Impact"/>
  </r>
  <r>
    <s v="E1951"/>
    <n v="47"/>
    <s v="Male"/>
    <s v="Master"/>
    <x v="5"/>
    <s v="Administrator"/>
    <n v="22"/>
    <x v="0"/>
    <s v="Low"/>
    <s v="No"/>
    <n v="92151"/>
    <n v="91291"/>
    <x v="0"/>
    <n v="42"/>
    <x v="1"/>
    <n v="5"/>
    <n v="-2.2000000000000002"/>
    <n v="-860"/>
    <n v="-0.93325086000151913"/>
    <s v="Expert"/>
    <s v="Low Impact"/>
  </r>
  <r>
    <s v="E0514"/>
    <n v="43"/>
    <s v="Other"/>
    <s v="Bachelor"/>
    <x v="1"/>
    <s v="Supervisor"/>
    <n v="21"/>
    <x v="0"/>
    <s v="Low"/>
    <s v="No"/>
    <n v="98368"/>
    <n v="102325"/>
    <x v="0"/>
    <n v="39"/>
    <x v="1"/>
    <n v="8"/>
    <n v="-2.21"/>
    <n v="3957"/>
    <n v="4.0226496421600517"/>
    <s v="Expert"/>
    <s v="Low Impact"/>
  </r>
  <r>
    <s v="E1650"/>
    <n v="28"/>
    <s v="Male"/>
    <s v="High School"/>
    <x v="2"/>
    <s v="SEO Specialist"/>
    <n v="3"/>
    <x v="2"/>
    <s v="Medium"/>
    <s v="Yes"/>
    <n v="84567"/>
    <n v="100008"/>
    <x v="1"/>
    <n v="49"/>
    <x v="1"/>
    <n v="7"/>
    <n v="-2.2400000000000002"/>
    <n v="15441"/>
    <n v="18.258895313774875"/>
    <s v="Beginner"/>
    <s v="Medium Impact"/>
  </r>
  <r>
    <s v="E1965"/>
    <n v="25"/>
    <s v="Female"/>
    <s v="PhD"/>
    <x v="6"/>
    <s v="Nurse"/>
    <n v="0"/>
    <x v="2"/>
    <s v="High"/>
    <s v="No"/>
    <n v="51695"/>
    <n v="50114"/>
    <x v="2"/>
    <n v="51"/>
    <x v="0"/>
    <n v="6"/>
    <n v="-2.2599999999999998"/>
    <n v="-1581"/>
    <n v="-3.0583228552084343"/>
    <s v="Beginner"/>
    <s v="High Impact"/>
  </r>
  <r>
    <s v="E0503"/>
    <n v="36"/>
    <s v="Female"/>
    <s v="Bachelor"/>
    <x v="3"/>
    <s v="Accountant"/>
    <n v="13"/>
    <x v="2"/>
    <s v="Low"/>
    <s v="No"/>
    <n v="50700"/>
    <n v="48326"/>
    <x v="0"/>
    <n v="50"/>
    <x v="1"/>
    <n v="9"/>
    <n v="-2.2599999999999998"/>
    <n v="-2374"/>
    <n v="-4.6824457593688358"/>
    <s v="Intermediate"/>
    <s v="Low Impact"/>
  </r>
  <r>
    <s v="E1811"/>
    <n v="41"/>
    <s v="Male"/>
    <s v="Bachelor"/>
    <x v="5"/>
    <s v="Teacher"/>
    <n v="15"/>
    <x v="1"/>
    <s v="Medium"/>
    <s v="No"/>
    <n v="85916"/>
    <n v="79191"/>
    <x v="1"/>
    <n v="38"/>
    <x v="0"/>
    <n v="6"/>
    <n v="-2.2799999999999998"/>
    <n v="-6725"/>
    <n v="-7.8274128218259698"/>
    <s v="Expert"/>
    <s v="Medium Impact"/>
  </r>
  <r>
    <s v="E0912"/>
    <n v="36"/>
    <s v="Other"/>
    <s v="Bachelor"/>
    <x v="4"/>
    <s v="Store Manager"/>
    <n v="12"/>
    <x v="1"/>
    <s v="High"/>
    <s v="No"/>
    <n v="70387"/>
    <n v="83173"/>
    <x v="0"/>
    <n v="38"/>
    <x v="0"/>
    <n v="5"/>
    <n v="-2.2999999999999998"/>
    <n v="12786"/>
    <n v="18.165286203418248"/>
    <s v="Intermediate"/>
    <s v="Low Impact"/>
  </r>
  <r>
    <s v="E1822"/>
    <n v="40"/>
    <s v="Male"/>
    <s v="Bachelor"/>
    <x v="3"/>
    <s v="Auditor"/>
    <n v="16"/>
    <x v="1"/>
    <s v="Medium"/>
    <s v="No"/>
    <n v="68197"/>
    <n v="70285"/>
    <x v="1"/>
    <n v="53"/>
    <x v="0"/>
    <n v="5"/>
    <n v="-2.3199999999999998"/>
    <n v="2088"/>
    <n v="3.0617182574013522"/>
    <s v="Expert"/>
    <s v="Medium Impact"/>
  </r>
  <r>
    <s v="E0043"/>
    <n v="52"/>
    <s v="Male"/>
    <s v="High School"/>
    <x v="5"/>
    <s v="Professor"/>
    <n v="28"/>
    <x v="2"/>
    <s v="Low"/>
    <s v="No"/>
    <n v="96235"/>
    <n v="126241"/>
    <x v="0"/>
    <n v="35"/>
    <x v="0"/>
    <n v="5"/>
    <n v="-2.33"/>
    <n v="30006"/>
    <n v="31.179924144022447"/>
    <s v="Expert"/>
    <s v="Low Impact"/>
  </r>
  <r>
    <s v="E1532"/>
    <n v="28"/>
    <s v="Other"/>
    <s v="Bachelor"/>
    <x v="3"/>
    <s v="Accountant"/>
    <n v="4"/>
    <x v="2"/>
    <s v="Medium"/>
    <s v="Yes"/>
    <n v="88445"/>
    <n v="103672"/>
    <x v="1"/>
    <n v="54"/>
    <x v="0"/>
    <n v="7"/>
    <n v="-2.34"/>
    <n v="15227"/>
    <n v="17.216349143535531"/>
    <s v="Beginner"/>
    <s v="Medium Impact"/>
  </r>
  <r>
    <s v="E0651"/>
    <n v="47"/>
    <s v="Male"/>
    <s v="Bachelor"/>
    <x v="5"/>
    <s v="Teacher"/>
    <n v="22"/>
    <x v="1"/>
    <s v="High"/>
    <s v="No"/>
    <n v="74041"/>
    <n v="70572"/>
    <x v="0"/>
    <n v="37"/>
    <x v="1"/>
    <n v="4"/>
    <n v="-2.34"/>
    <n v="-3469"/>
    <n v="-4.6852419605353788"/>
    <s v="Expert"/>
    <s v="Low Impact"/>
  </r>
  <r>
    <s v="E1897"/>
    <n v="32"/>
    <s v="Other"/>
    <s v="Master"/>
    <x v="5"/>
    <s v="Administrator"/>
    <n v="6"/>
    <x v="1"/>
    <s v="High"/>
    <s v="Yes"/>
    <n v="89021"/>
    <n v="101668"/>
    <x v="0"/>
    <n v="52"/>
    <x v="0"/>
    <n v="5"/>
    <n v="-2.36"/>
    <n v="12647"/>
    <n v="14.206760202648812"/>
    <s v="Intermediate"/>
    <s v="Low Impact"/>
  </r>
  <r>
    <s v="E0706"/>
    <n v="38"/>
    <s v="Male"/>
    <s v="Bachelor"/>
    <x v="0"/>
    <s v="DevOps Engineer"/>
    <n v="16"/>
    <x v="0"/>
    <s v="Medium"/>
    <s v="No"/>
    <n v="91386"/>
    <n v="100414"/>
    <x v="1"/>
    <n v="44"/>
    <x v="0"/>
    <n v="9"/>
    <n v="-2.36"/>
    <n v="9028"/>
    <n v="9.8789748976867351"/>
    <s v="Expert"/>
    <s v="Medium Impact"/>
  </r>
  <r>
    <s v="E1355"/>
    <n v="23"/>
    <s v="Female"/>
    <s v="Master"/>
    <x v="1"/>
    <s v="Machine Operator"/>
    <n v="0"/>
    <x v="0"/>
    <s v="Low"/>
    <s v="Yes"/>
    <n v="71787"/>
    <n v="71286"/>
    <x v="0"/>
    <n v="53"/>
    <x v="1"/>
    <n v="8"/>
    <n v="-2.38"/>
    <n v="-501"/>
    <n v="-0.697897948096452"/>
    <s v="Beginner"/>
    <s v="Low Impact"/>
  </r>
  <r>
    <s v="E1316"/>
    <n v="47"/>
    <s v="Other"/>
    <s v="Master"/>
    <x v="6"/>
    <s v="Nurse"/>
    <n v="23"/>
    <x v="2"/>
    <s v="Low"/>
    <s v="Yes"/>
    <n v="91407"/>
    <n v="92298"/>
    <x v="0"/>
    <n v="46"/>
    <x v="0"/>
    <n v="5"/>
    <n v="-2.44"/>
    <n v="891"/>
    <n v="0.97476123272834692"/>
    <s v="Expert"/>
    <s v="Low Impact"/>
  </r>
  <r>
    <s v="E1567"/>
    <n v="27"/>
    <s v="Other"/>
    <s v="High School"/>
    <x v="4"/>
    <s v="Cashier"/>
    <n v="3"/>
    <x v="1"/>
    <s v="Low"/>
    <s v="No"/>
    <n v="34960"/>
    <n v="37742"/>
    <x v="0"/>
    <n v="44"/>
    <x v="1"/>
    <n v="5"/>
    <n v="-2.4500000000000002"/>
    <n v="2782"/>
    <n v="7.9576659038901596"/>
    <s v="Beginner"/>
    <s v="Low Impact"/>
  </r>
  <r>
    <s v="E0004"/>
    <n v="48"/>
    <s v="Male"/>
    <s v="PhD"/>
    <x v="5"/>
    <s v="Teacher"/>
    <n v="24"/>
    <x v="1"/>
    <s v="Medium"/>
    <s v="Yes"/>
    <n v="114478"/>
    <n v="107820"/>
    <x v="1"/>
    <n v="50"/>
    <x v="0"/>
    <n v="9"/>
    <n v="-2.4700000000000002"/>
    <n v="-6658"/>
    <n v="-5.8159646394940516"/>
    <s v="Expert"/>
    <s v="Medium Impact"/>
  </r>
  <r>
    <s v="E0634"/>
    <n v="38"/>
    <s v="Other"/>
    <s v="Bachelor"/>
    <x v="4"/>
    <s v="Store Manager"/>
    <n v="15"/>
    <x v="1"/>
    <s v="Low"/>
    <s v="No"/>
    <n v="101386"/>
    <n v="92465"/>
    <x v="0"/>
    <n v="42"/>
    <x v="1"/>
    <n v="5"/>
    <n v="-2.5099999999999998"/>
    <n v="-8921"/>
    <n v="-8.7990452330696556"/>
    <s v="Expert"/>
    <s v="Low Impact"/>
  </r>
  <r>
    <s v="E0915"/>
    <n v="44"/>
    <s v="Female"/>
    <s v="Bachelor"/>
    <x v="0"/>
    <s v="Data Analyst"/>
    <n v="19"/>
    <x v="0"/>
    <s v="High"/>
    <s v="No"/>
    <n v="77631"/>
    <n v="79718"/>
    <x v="0"/>
    <n v="52"/>
    <x v="0"/>
    <n v="7"/>
    <n v="-2.5499999999999998"/>
    <n v="2087"/>
    <n v="2.6883590318300681"/>
    <s v="Expert"/>
    <s v="Low Impact"/>
  </r>
  <r>
    <s v="E0481"/>
    <n v="22"/>
    <s v="Female"/>
    <s v="PhD"/>
    <x v="1"/>
    <s v="Quality Inspector"/>
    <n v="0"/>
    <x v="0"/>
    <s v="Low"/>
    <s v="Yes"/>
    <n v="62430"/>
    <n v="67900"/>
    <x v="0"/>
    <n v="49"/>
    <x v="0"/>
    <n v="9"/>
    <n v="-2.57"/>
    <n v="5470"/>
    <n v="8.7618132308185182"/>
    <s v="Beginner"/>
    <s v="Low Impact"/>
  </r>
  <r>
    <s v="E0890"/>
    <n v="25"/>
    <s v="Male"/>
    <s v="Bachelor"/>
    <x v="2"/>
    <s v="Content Creator"/>
    <n v="2"/>
    <x v="1"/>
    <s v="Medium"/>
    <s v="No"/>
    <n v="41154"/>
    <n v="45497"/>
    <x v="1"/>
    <n v="50"/>
    <x v="0"/>
    <n v="3"/>
    <n v="-2.6"/>
    <n v="4343"/>
    <n v="10.553044661515285"/>
    <s v="Beginner"/>
    <s v="Medium Impact"/>
  </r>
  <r>
    <s v="E0019"/>
    <n v="50"/>
    <s v="Male"/>
    <s v="Bachelor"/>
    <x v="5"/>
    <s v="Administrator"/>
    <n v="25"/>
    <x v="1"/>
    <s v="High"/>
    <s v="No"/>
    <n v="85820"/>
    <n v="79219"/>
    <x v="0"/>
    <n v="36"/>
    <x v="1"/>
    <n v="4"/>
    <n v="-2.61"/>
    <n v="-6601"/>
    <n v="-7.6916802610114186"/>
    <s v="Expert"/>
    <s v="Low Impact"/>
  </r>
  <r>
    <s v="E1500"/>
    <n v="50"/>
    <s v="Female"/>
    <s v="Master"/>
    <x v="3"/>
    <s v="Accountant"/>
    <n v="28"/>
    <x v="1"/>
    <s v="High"/>
    <s v="Yes"/>
    <n v="57301"/>
    <n v="58606"/>
    <x v="0"/>
    <n v="45"/>
    <x v="0"/>
    <n v="5"/>
    <n v="-2.65"/>
    <n v="1305"/>
    <n v="2.2774471649709431"/>
    <s v="Expert"/>
    <s v="Low Impact"/>
  </r>
  <r>
    <s v="E1052"/>
    <n v="39"/>
    <s v="Male"/>
    <s v="PhD"/>
    <x v="0"/>
    <s v="Data Analyst"/>
    <n v="14"/>
    <x v="2"/>
    <s v="Medium"/>
    <s v="Yes"/>
    <n v="65929"/>
    <n v="54503"/>
    <x v="1"/>
    <n v="37"/>
    <x v="1"/>
    <n v="4"/>
    <n v="-2.65"/>
    <n v="-11426"/>
    <n v="-17.330764913770874"/>
    <s v="Intermediate"/>
    <s v="Medium Impact"/>
  </r>
  <r>
    <s v="E1715"/>
    <n v="58"/>
    <s v="Female"/>
    <s v="Bachelor"/>
    <x v="6"/>
    <s v="Nurse"/>
    <n v="32"/>
    <x v="2"/>
    <s v="Low"/>
    <s v="Yes"/>
    <n v="60215"/>
    <n v="49418"/>
    <x v="0"/>
    <n v="45"/>
    <x v="0"/>
    <n v="6"/>
    <n v="-2.71"/>
    <n v="-10797"/>
    <n v="-17.930748152453706"/>
    <s v="Expert"/>
    <s v="Low Impact"/>
  </r>
  <r>
    <s v="E0674"/>
    <n v="35"/>
    <s v="Male"/>
    <s v="PhD"/>
    <x v="4"/>
    <s v="Store Manager"/>
    <n v="9"/>
    <x v="0"/>
    <s v="Medium"/>
    <s v="No"/>
    <n v="69791"/>
    <n v="68572"/>
    <x v="1"/>
    <n v="42"/>
    <x v="1"/>
    <n v="5"/>
    <n v="-2.72"/>
    <n v="-1219"/>
    <n v="-1.7466435500279407"/>
    <s v="Intermediate"/>
    <s v="Medium Impact"/>
  </r>
  <r>
    <s v="E0881"/>
    <n v="51"/>
    <s v="Female"/>
    <s v="Master"/>
    <x v="0"/>
    <s v="DevOps Engineer"/>
    <n v="26"/>
    <x v="0"/>
    <s v="High"/>
    <s v="No"/>
    <n v="60935"/>
    <n v="61433"/>
    <x v="0"/>
    <n v="40"/>
    <x v="1"/>
    <n v="8"/>
    <n v="-2.73"/>
    <n v="498"/>
    <n v="0.8172642980224829"/>
    <s v="Expert"/>
    <s v="Low Impact"/>
  </r>
  <r>
    <s v="E1519"/>
    <n v="23"/>
    <s v="Female"/>
    <s v="Bachelor"/>
    <x v="0"/>
    <s v="DevOps Engineer"/>
    <n v="1"/>
    <x v="1"/>
    <s v="Low"/>
    <s v="Yes"/>
    <n v="83767"/>
    <n v="86098"/>
    <x v="0"/>
    <n v="37"/>
    <x v="1"/>
    <n v="9"/>
    <n v="-2.75"/>
    <n v="2331"/>
    <n v="2.7827187317201285"/>
    <s v="Beginner"/>
    <s v="Low Impact"/>
  </r>
  <r>
    <s v="E1285"/>
    <n v="32"/>
    <s v="Male"/>
    <s v="Bachelor"/>
    <x v="2"/>
    <s v="SEO Specialist"/>
    <n v="10"/>
    <x v="2"/>
    <s v="High"/>
    <s v="Yes"/>
    <n v="39677"/>
    <n v="54973"/>
    <x v="1"/>
    <n v="41"/>
    <x v="0"/>
    <n v="9"/>
    <n v="-2.82"/>
    <n v="15296"/>
    <n v="38.551301761725938"/>
    <s v="Intermediate"/>
    <s v="Medium Impact"/>
  </r>
  <r>
    <s v="E1950"/>
    <n v="38"/>
    <s v="Male"/>
    <s v="Master"/>
    <x v="5"/>
    <s v="Professor"/>
    <n v="12"/>
    <x v="2"/>
    <s v="High"/>
    <s v="No"/>
    <n v="55511"/>
    <n v="75444"/>
    <x v="1"/>
    <n v="52"/>
    <x v="0"/>
    <n v="4"/>
    <n v="-2.84"/>
    <n v="19933"/>
    <n v="35.908198375096831"/>
    <s v="Intermediate"/>
    <s v="Medium Impact"/>
  </r>
  <r>
    <s v="E1855"/>
    <n v="49"/>
    <s v="Male"/>
    <s v="Bachelor"/>
    <x v="6"/>
    <s v="Technician"/>
    <n v="25"/>
    <x v="2"/>
    <s v="Medium"/>
    <s v="Yes"/>
    <n v="79451"/>
    <n v="72532"/>
    <x v="1"/>
    <n v="43"/>
    <x v="1"/>
    <n v="5"/>
    <n v="-2.88"/>
    <n v="-6919"/>
    <n v="-8.7085121647304629"/>
    <s v="Expert"/>
    <s v="Medium Impact"/>
  </r>
  <r>
    <s v="E0453"/>
    <n v="44"/>
    <s v="Other"/>
    <s v="Bachelor"/>
    <x v="1"/>
    <s v="Quality Inspector"/>
    <n v="21"/>
    <x v="2"/>
    <s v="Low"/>
    <s v="No"/>
    <n v="104763"/>
    <n v="115031"/>
    <x v="0"/>
    <n v="52"/>
    <x v="0"/>
    <n v="4"/>
    <n v="-2.94"/>
    <n v="10268"/>
    <n v="9.8011702604927304"/>
    <s v="Expert"/>
    <s v="Low Impact"/>
  </r>
  <r>
    <s v="E1165"/>
    <n v="31"/>
    <s v="Male"/>
    <s v="Bachelor"/>
    <x v="2"/>
    <s v="SEO Specialist"/>
    <n v="7"/>
    <x v="2"/>
    <s v="High"/>
    <s v="No"/>
    <n v="61629"/>
    <n v="64658"/>
    <x v="1"/>
    <n v="44"/>
    <x v="1"/>
    <n v="4"/>
    <n v="-2.99"/>
    <n v="3029"/>
    <n v="4.9148939622580281"/>
    <s v="Intermediate"/>
    <s v="Medium Impact"/>
  </r>
  <r>
    <s v="E0760"/>
    <n v="53"/>
    <s v="Female"/>
    <s v="PhD"/>
    <x v="6"/>
    <s v="Nurse"/>
    <n v="27"/>
    <x v="0"/>
    <s v="High"/>
    <s v="Yes"/>
    <n v="114694"/>
    <n v="122511"/>
    <x v="0"/>
    <n v="44"/>
    <x v="1"/>
    <n v="5"/>
    <n v="-3"/>
    <n v="7817"/>
    <n v="6.8155265314663369"/>
    <s v="Expert"/>
    <s v="Low Impact"/>
  </r>
  <r>
    <s v="E0501"/>
    <n v="42"/>
    <s v="Male"/>
    <s v="PhD"/>
    <x v="1"/>
    <s v="Supervisor"/>
    <n v="18"/>
    <x v="2"/>
    <s v="High"/>
    <s v="Yes"/>
    <n v="89979"/>
    <n v="112947"/>
    <x v="1"/>
    <n v="41"/>
    <x v="0"/>
    <n v="9"/>
    <n v="-3.05"/>
    <n v="22968"/>
    <n v="25.525956056413161"/>
    <s v="Expert"/>
    <s v="Medium Impact"/>
  </r>
  <r>
    <s v="E0506"/>
    <n v="24"/>
    <s v="Male"/>
    <s v="Bachelor"/>
    <x v="1"/>
    <s v="Quality Inspector"/>
    <n v="1"/>
    <x v="0"/>
    <s v="High"/>
    <s v="No"/>
    <n v="57056"/>
    <n v="58816"/>
    <x v="0"/>
    <n v="47"/>
    <x v="0"/>
    <n v="7"/>
    <n v="-3.05"/>
    <n v="1760"/>
    <n v="3.0846887268648349"/>
    <s v="Beginner"/>
    <s v="Low Impact"/>
  </r>
  <r>
    <s v="E0734"/>
    <n v="40"/>
    <s v="Female"/>
    <s v="Bachelor"/>
    <x v="6"/>
    <s v="Nurse"/>
    <n v="15"/>
    <x v="1"/>
    <s v="Medium"/>
    <s v="No"/>
    <n v="70745"/>
    <n v="74782"/>
    <x v="1"/>
    <n v="45"/>
    <x v="1"/>
    <n v="7"/>
    <n v="-3.06"/>
    <n v="4037"/>
    <n v="5.7064103470209915"/>
    <s v="Expert"/>
    <s v="Medium Impact"/>
  </r>
  <r>
    <s v="E0067"/>
    <n v="50"/>
    <s v="Male"/>
    <s v="High School"/>
    <x v="2"/>
    <s v="SEO Specialist"/>
    <n v="25"/>
    <x v="0"/>
    <s v="High"/>
    <s v="No"/>
    <n v="63496"/>
    <n v="67973"/>
    <x v="0"/>
    <n v="44"/>
    <x v="0"/>
    <n v="7"/>
    <n v="-3.08"/>
    <n v="4477"/>
    <n v="7.0508378480534208"/>
    <s v="Expert"/>
    <s v="Low Impact"/>
  </r>
  <r>
    <s v="E1518"/>
    <n v="48"/>
    <s v="Female"/>
    <s v="Bachelor"/>
    <x v="6"/>
    <s v="Technician"/>
    <n v="25"/>
    <x v="0"/>
    <s v="Medium"/>
    <s v="No"/>
    <n v="50927"/>
    <n v="55847"/>
    <x v="1"/>
    <n v="48"/>
    <x v="1"/>
    <n v="6"/>
    <n v="-3.1"/>
    <n v="4920"/>
    <n v="9.660887152198244"/>
    <s v="Expert"/>
    <s v="Medium Impact"/>
  </r>
  <r>
    <s v="E0199"/>
    <n v="36"/>
    <s v="Female"/>
    <s v="PhD"/>
    <x v="2"/>
    <s v="Content Creator"/>
    <n v="14"/>
    <x v="1"/>
    <s v="High"/>
    <s v="Yes"/>
    <n v="94772"/>
    <n v="106198"/>
    <x v="0"/>
    <n v="49"/>
    <x v="1"/>
    <n v="8"/>
    <n v="-3.12"/>
    <n v="11426"/>
    <n v="12.056303549571604"/>
    <s v="Intermediate"/>
    <s v="Low Impact"/>
  </r>
  <r>
    <s v="E1765"/>
    <n v="42"/>
    <s v="Other"/>
    <s v="Bachelor"/>
    <x v="3"/>
    <s v="Accountant"/>
    <n v="19"/>
    <x v="1"/>
    <s v="Low"/>
    <s v="No"/>
    <n v="40534"/>
    <n v="39401"/>
    <x v="0"/>
    <n v="54"/>
    <x v="0"/>
    <n v="6"/>
    <n v="-3.19"/>
    <n v="-1133"/>
    <n v="-2.7951842897320769"/>
    <s v="Expert"/>
    <s v="Low Impact"/>
  </r>
  <r>
    <s v="E1112"/>
    <n v="59"/>
    <s v="Other"/>
    <s v="High School"/>
    <x v="4"/>
    <s v="Store Manager"/>
    <n v="35"/>
    <x v="1"/>
    <s v="Medium"/>
    <s v="No"/>
    <n v="75117"/>
    <n v="84340"/>
    <x v="1"/>
    <n v="52"/>
    <x v="1"/>
    <n v="8"/>
    <n v="-3.21"/>
    <n v="9223"/>
    <n v="12.278179373510657"/>
    <s v="Expert"/>
    <s v="Medium Impact"/>
  </r>
  <r>
    <s v="E0087"/>
    <n v="57"/>
    <s v="Male"/>
    <s v="PhD"/>
    <x v="4"/>
    <s v="Store Manager"/>
    <n v="33"/>
    <x v="2"/>
    <s v="Low"/>
    <s v="Yes"/>
    <n v="77605"/>
    <n v="63588"/>
    <x v="0"/>
    <n v="54"/>
    <x v="1"/>
    <n v="7"/>
    <n v="-3.21"/>
    <n v="-14017"/>
    <n v="-18.061980542490819"/>
    <s v="Expert"/>
    <s v="Low Impact"/>
  </r>
  <r>
    <s v="E1161"/>
    <n v="33"/>
    <s v="Female"/>
    <s v="Master"/>
    <x v="6"/>
    <s v="Doctor"/>
    <n v="8"/>
    <x v="1"/>
    <s v="High"/>
    <s v="No"/>
    <n v="41345"/>
    <n v="47042"/>
    <x v="0"/>
    <n v="48"/>
    <x v="1"/>
    <n v="6"/>
    <n v="-3.25"/>
    <n v="5697"/>
    <n v="13.779175232797195"/>
    <s v="Intermediate"/>
    <s v="Low Impact"/>
  </r>
  <r>
    <s v="E0946"/>
    <n v="55"/>
    <s v="Female"/>
    <s v="Master"/>
    <x v="1"/>
    <s v="Machine Operator"/>
    <n v="32"/>
    <x v="0"/>
    <s v="High"/>
    <s v="No"/>
    <n v="82709"/>
    <n v="90812"/>
    <x v="0"/>
    <n v="36"/>
    <x v="1"/>
    <n v="6"/>
    <n v="-3.3"/>
    <n v="8103"/>
    <n v="9.7969991173874664"/>
    <s v="Expert"/>
    <s v="Low Impact"/>
  </r>
  <r>
    <s v="E0646"/>
    <n v="58"/>
    <s v="Female"/>
    <s v="PhD"/>
    <x v="2"/>
    <s v="Digital Marketer"/>
    <n v="34"/>
    <x v="1"/>
    <s v="Medium"/>
    <s v="Yes"/>
    <n v="86563"/>
    <n v="97099"/>
    <x v="1"/>
    <n v="45"/>
    <x v="1"/>
    <n v="6"/>
    <n v="-3.35"/>
    <n v="10536"/>
    <n v="12.171482041980985"/>
    <s v="Expert"/>
    <s v="Medium Impact"/>
  </r>
  <r>
    <s v="E1454"/>
    <n v="56"/>
    <s v="Male"/>
    <s v="High School"/>
    <x v="4"/>
    <s v="Sales Associate"/>
    <n v="33"/>
    <x v="1"/>
    <s v="Medium"/>
    <s v="No"/>
    <n v="75213"/>
    <n v="74320"/>
    <x v="1"/>
    <n v="37"/>
    <x v="1"/>
    <n v="9"/>
    <n v="-3.36"/>
    <n v="-893"/>
    <n v="-1.1872947495778656"/>
    <s v="Expert"/>
    <s v="Medium Impact"/>
  </r>
  <r>
    <s v="E1017"/>
    <n v="57"/>
    <s v="Other"/>
    <s v="Bachelor"/>
    <x v="1"/>
    <s v="Machine Operator"/>
    <n v="32"/>
    <x v="1"/>
    <s v="High"/>
    <s v="No"/>
    <n v="68445"/>
    <n v="74818"/>
    <x v="0"/>
    <n v="52"/>
    <x v="1"/>
    <n v="5"/>
    <n v="-3.37"/>
    <n v="6373"/>
    <n v="9.3111257213821315"/>
    <s v="Expert"/>
    <s v="Low Impact"/>
  </r>
  <r>
    <s v="E0240"/>
    <n v="36"/>
    <s v="Other"/>
    <s v="PhD"/>
    <x v="5"/>
    <s v="Teacher"/>
    <n v="13"/>
    <x v="2"/>
    <s v="High"/>
    <s v="Yes"/>
    <n v="106707"/>
    <n v="112365"/>
    <x v="1"/>
    <n v="53"/>
    <x v="1"/>
    <n v="4"/>
    <n v="-3.39"/>
    <n v="5658"/>
    <n v="5.302370041328123"/>
    <s v="Intermediate"/>
    <s v="Medium Impact"/>
  </r>
  <r>
    <s v="E0530"/>
    <n v="40"/>
    <s v="Male"/>
    <s v="High School"/>
    <x v="2"/>
    <s v="Content Creator"/>
    <n v="14"/>
    <x v="0"/>
    <s v="Low"/>
    <s v="No"/>
    <n v="52931"/>
    <n v="52490"/>
    <x v="0"/>
    <n v="44"/>
    <x v="0"/>
    <n v="3"/>
    <n v="-3.42"/>
    <n v="-441"/>
    <n v="-0.83316015189586445"/>
    <s v="Intermediate"/>
    <s v="Low Impact"/>
  </r>
  <r>
    <s v="E1898"/>
    <n v="39"/>
    <s v="Female"/>
    <s v="Master"/>
    <x v="4"/>
    <s v="Store Manager"/>
    <n v="16"/>
    <x v="2"/>
    <s v="Medium"/>
    <s v="Yes"/>
    <n v="64555"/>
    <n v="75241"/>
    <x v="1"/>
    <n v="50"/>
    <x v="1"/>
    <n v="4"/>
    <n v="-3.51"/>
    <n v="10686"/>
    <n v="16.553326620711019"/>
    <s v="Expert"/>
    <s v="Medium Impact"/>
  </r>
  <r>
    <s v="E0094"/>
    <n v="35"/>
    <s v="Female"/>
    <s v="PhD"/>
    <x v="4"/>
    <s v="Sales Associate"/>
    <n v="13"/>
    <x v="1"/>
    <s v="High"/>
    <s v="No"/>
    <n v="68765"/>
    <n v="67075"/>
    <x v="0"/>
    <n v="38"/>
    <x v="1"/>
    <n v="8"/>
    <n v="-3.52"/>
    <n v="-1690"/>
    <n v="-2.4576456045953607"/>
    <s v="Intermediate"/>
    <s v="Low Impact"/>
  </r>
  <r>
    <s v="E1665"/>
    <n v="38"/>
    <s v="Other"/>
    <s v="Master"/>
    <x v="3"/>
    <s v="Accountant"/>
    <n v="15"/>
    <x v="1"/>
    <s v="Low"/>
    <s v="Yes"/>
    <n v="32786"/>
    <n v="31682"/>
    <x v="0"/>
    <n v="40"/>
    <x v="1"/>
    <n v="5"/>
    <n v="-3.54"/>
    <n v="-1104"/>
    <n v="-3.3672909168547553"/>
    <s v="Expert"/>
    <s v="Low Impact"/>
  </r>
  <r>
    <s v="E0064"/>
    <n v="22"/>
    <s v="Male"/>
    <s v="Master"/>
    <x v="5"/>
    <s v="Administrator"/>
    <n v="0"/>
    <x v="0"/>
    <s v="High"/>
    <s v="Yes"/>
    <n v="99449"/>
    <n v="97559"/>
    <x v="0"/>
    <n v="46"/>
    <x v="0"/>
    <n v="9"/>
    <n v="-3.56"/>
    <n v="-1890"/>
    <n v="-1.9004715985077778"/>
    <s v="Beginner"/>
    <s v="Low Impact"/>
  </r>
  <r>
    <s v="E0842"/>
    <n v="39"/>
    <s v="Male"/>
    <s v="High School"/>
    <x v="1"/>
    <s v="Machine Operator"/>
    <n v="13"/>
    <x v="2"/>
    <s v="Low"/>
    <s v="No"/>
    <n v="106896"/>
    <n v="88070"/>
    <x v="0"/>
    <n v="41"/>
    <x v="0"/>
    <n v="9"/>
    <n v="-3.56"/>
    <n v="-18826"/>
    <n v="-17.611510252956144"/>
    <s v="Intermediate"/>
    <s v="Low Impact"/>
  </r>
  <r>
    <s v="E0091"/>
    <n v="54"/>
    <s v="Other"/>
    <s v="Bachelor"/>
    <x v="2"/>
    <s v="Content Creator"/>
    <n v="31"/>
    <x v="1"/>
    <s v="High"/>
    <s v="Yes"/>
    <n v="105880"/>
    <n v="108468"/>
    <x v="0"/>
    <n v="50"/>
    <x v="0"/>
    <n v="9"/>
    <n v="-3.6"/>
    <n v="2588"/>
    <n v="2.4442765394786554"/>
    <s v="Expert"/>
    <s v="Low Impact"/>
  </r>
  <r>
    <s v="E1930"/>
    <n v="29"/>
    <s v="Female"/>
    <s v="Bachelor"/>
    <x v="6"/>
    <s v="Doctor"/>
    <n v="3"/>
    <x v="1"/>
    <s v="Low"/>
    <s v="No"/>
    <n v="109538"/>
    <n v="131095"/>
    <x v="0"/>
    <n v="54"/>
    <x v="0"/>
    <n v="8"/>
    <n v="-3.65"/>
    <n v="21557"/>
    <n v="19.67992842666472"/>
    <s v="Beginner"/>
    <s v="Low Impact"/>
  </r>
  <r>
    <s v="E1923"/>
    <n v="44"/>
    <s v="Female"/>
    <s v="High School"/>
    <x v="5"/>
    <s v="Professor"/>
    <n v="18"/>
    <x v="1"/>
    <s v="Medium"/>
    <s v="No"/>
    <n v="48782"/>
    <n v="47585"/>
    <x v="1"/>
    <n v="49"/>
    <x v="1"/>
    <n v="7"/>
    <n v="-3.68"/>
    <n v="-1197"/>
    <n v="-2.4537739330080766"/>
    <s v="Expert"/>
    <s v="Medium Impact"/>
  </r>
  <r>
    <s v="E1838"/>
    <n v="59"/>
    <s v="Female"/>
    <s v="Master"/>
    <x v="3"/>
    <s v="Investment Analyst"/>
    <n v="36"/>
    <x v="2"/>
    <s v="High"/>
    <s v="No"/>
    <n v="105911"/>
    <n v="99018"/>
    <x v="2"/>
    <n v="45"/>
    <x v="1"/>
    <n v="6"/>
    <n v="-3.71"/>
    <n v="-6893"/>
    <n v="-6.5082947002672062"/>
    <s v="Expert"/>
    <s v="High Impact"/>
  </r>
  <r>
    <s v="E1594"/>
    <n v="29"/>
    <s v="Female"/>
    <s v="Bachelor"/>
    <x v="1"/>
    <s v="Supervisor"/>
    <n v="7"/>
    <x v="1"/>
    <s v="Low"/>
    <s v="No"/>
    <n v="104092"/>
    <n v="102602"/>
    <x v="0"/>
    <n v="39"/>
    <x v="1"/>
    <n v="6"/>
    <n v="-3.75"/>
    <n v="-1490"/>
    <n v="-1.4314260461899089"/>
    <s v="Intermediate"/>
    <s v="Low Impact"/>
  </r>
  <r>
    <s v="E1742"/>
    <n v="34"/>
    <s v="Other"/>
    <s v="Bachelor"/>
    <x v="3"/>
    <s v="Accountant"/>
    <n v="9"/>
    <x v="1"/>
    <s v="High"/>
    <s v="No"/>
    <n v="34314"/>
    <n v="32964"/>
    <x v="0"/>
    <n v="51"/>
    <x v="1"/>
    <n v="5"/>
    <n v="-3.79"/>
    <n v="-1350"/>
    <n v="-3.9342542402517924"/>
    <s v="Intermediate"/>
    <s v="Low Impact"/>
  </r>
  <r>
    <s v="E1465"/>
    <n v="57"/>
    <s v="Male"/>
    <s v="High School"/>
    <x v="2"/>
    <s v="SEO Specialist"/>
    <n v="33"/>
    <x v="1"/>
    <s v="High"/>
    <s v="No"/>
    <n v="58371"/>
    <n v="59782"/>
    <x v="0"/>
    <n v="47"/>
    <x v="0"/>
    <n v="3"/>
    <n v="-3.8"/>
    <n v="1411"/>
    <n v="2.4172962601291736"/>
    <s v="Expert"/>
    <s v="Low Impact"/>
  </r>
  <r>
    <s v="E0340"/>
    <n v="25"/>
    <s v="Female"/>
    <s v="PhD"/>
    <x v="3"/>
    <s v="Investment Analyst"/>
    <n v="2"/>
    <x v="1"/>
    <s v="Low"/>
    <s v="No"/>
    <n v="46029"/>
    <n v="52541"/>
    <x v="0"/>
    <n v="53"/>
    <x v="1"/>
    <n v="3"/>
    <n v="-3.81"/>
    <n v="6512"/>
    <n v="14.147602598361903"/>
    <s v="Beginner"/>
    <s v="Low Impact"/>
  </r>
  <r>
    <s v="E1117"/>
    <n v="33"/>
    <s v="Male"/>
    <s v="Master"/>
    <x v="4"/>
    <s v="Cashier"/>
    <n v="11"/>
    <x v="0"/>
    <s v="Medium"/>
    <s v="Yes"/>
    <n v="38593"/>
    <n v="41279"/>
    <x v="1"/>
    <n v="46"/>
    <x v="1"/>
    <n v="5"/>
    <n v="-3.83"/>
    <n v="2686"/>
    <n v="6.9598113647552671"/>
    <s v="Intermediate"/>
    <s v="Medium Impact"/>
  </r>
  <r>
    <s v="E0328"/>
    <n v="53"/>
    <s v="Male"/>
    <s v="High School"/>
    <x v="0"/>
    <s v="Software Engineer"/>
    <n v="29"/>
    <x v="1"/>
    <s v="Low"/>
    <s v="No"/>
    <n v="87941"/>
    <n v="99017"/>
    <x v="0"/>
    <n v="47"/>
    <x v="0"/>
    <n v="4"/>
    <n v="-3.84"/>
    <n v="11076"/>
    <n v="12.594807882557625"/>
    <s v="Expert"/>
    <s v="Low Impact"/>
  </r>
  <r>
    <s v="E0022"/>
    <n v="27"/>
    <s v="Male"/>
    <s v="PhD"/>
    <x v="6"/>
    <s v="Technician"/>
    <n v="3"/>
    <x v="0"/>
    <s v="Medium"/>
    <s v="No"/>
    <n v="33748"/>
    <n v="35565"/>
    <x v="1"/>
    <n v="49"/>
    <x v="0"/>
    <n v="5"/>
    <n v="-3.84"/>
    <n v="1817"/>
    <n v="5.3840227569041135"/>
    <s v="Beginner"/>
    <s v="Medium Impact"/>
  </r>
  <r>
    <s v="E0471"/>
    <n v="47"/>
    <s v="Male"/>
    <s v="Bachelor"/>
    <x v="3"/>
    <s v="Accountant"/>
    <n v="25"/>
    <x v="2"/>
    <s v="High"/>
    <s v="Yes"/>
    <n v="50307"/>
    <n v="53976"/>
    <x v="1"/>
    <n v="51"/>
    <x v="0"/>
    <n v="6"/>
    <n v="-3.96"/>
    <n v="3669"/>
    <n v="7.2932196314628186"/>
    <s v="Expert"/>
    <s v="Medium Impact"/>
  </r>
  <r>
    <s v="E1781"/>
    <n v="50"/>
    <s v="Other"/>
    <s v="PhD"/>
    <x v="4"/>
    <s v="Store Manager"/>
    <n v="25"/>
    <x v="2"/>
    <s v="High"/>
    <s v="Yes"/>
    <n v="95642"/>
    <n v="94772"/>
    <x v="1"/>
    <n v="43"/>
    <x v="1"/>
    <n v="6"/>
    <n v="-4"/>
    <n v="-870"/>
    <n v="-0.90964220739842339"/>
    <s v="Expert"/>
    <s v="Medium Impact"/>
  </r>
  <r>
    <s v="E0993"/>
    <n v="44"/>
    <s v="Other"/>
    <s v="High School"/>
    <x v="3"/>
    <s v="Auditor"/>
    <n v="20"/>
    <x v="0"/>
    <s v="High"/>
    <s v="No"/>
    <n v="76118"/>
    <n v="82762"/>
    <x v="0"/>
    <n v="35"/>
    <x v="1"/>
    <n v="7"/>
    <n v="-4.0599999999999996"/>
    <n v="6644"/>
    <n v="8.7285530360755672"/>
    <s v="Expert"/>
    <s v="Low Impact"/>
  </r>
  <r>
    <s v="E1946"/>
    <n v="25"/>
    <s v="Female"/>
    <s v="High School"/>
    <x v="3"/>
    <s v="Investment Analyst"/>
    <n v="0"/>
    <x v="0"/>
    <s v="High"/>
    <s v="No"/>
    <n v="30903"/>
    <n v="29952"/>
    <x v="0"/>
    <n v="38"/>
    <x v="1"/>
    <n v="7"/>
    <n v="-4.09"/>
    <n v="-951"/>
    <n v="-3.0773711290166004"/>
    <s v="Beginner"/>
    <s v="Low Impact"/>
  </r>
  <r>
    <s v="E0389"/>
    <n v="35"/>
    <s v="Other"/>
    <s v="PhD"/>
    <x v="2"/>
    <s v="Content Creator"/>
    <n v="9"/>
    <x v="0"/>
    <s v="Low"/>
    <s v="Yes"/>
    <n v="109676"/>
    <n v="105316"/>
    <x v="0"/>
    <n v="43"/>
    <x v="0"/>
    <n v="3"/>
    <n v="-4.2"/>
    <n v="-4360"/>
    <n v="-3.9753455632955252"/>
    <s v="Intermediate"/>
    <s v="Low Impact"/>
  </r>
  <r>
    <s v="E1757"/>
    <n v="56"/>
    <s v="Male"/>
    <s v="PhD"/>
    <x v="0"/>
    <s v="DevOps Engineer"/>
    <n v="32"/>
    <x v="1"/>
    <s v="Low"/>
    <s v="No"/>
    <n v="78929"/>
    <n v="75005"/>
    <x v="0"/>
    <n v="53"/>
    <x v="0"/>
    <n v="8"/>
    <n v="-4.2300000000000004"/>
    <n v="-3924"/>
    <n v="-4.9715567155291467"/>
    <s v="Expert"/>
    <s v="Low Impact"/>
  </r>
  <r>
    <s v="E1466"/>
    <n v="49"/>
    <s v="Female"/>
    <s v="High School"/>
    <x v="3"/>
    <s v="Auditor"/>
    <n v="27"/>
    <x v="0"/>
    <s v="Medium"/>
    <s v="No"/>
    <n v="39916"/>
    <n v="41438"/>
    <x v="1"/>
    <n v="48"/>
    <x v="0"/>
    <n v="8"/>
    <n v="-4.32"/>
    <n v="1522"/>
    <n v="3.813007315362261"/>
    <s v="Expert"/>
    <s v="Medium Impact"/>
  </r>
  <r>
    <s v="E1984"/>
    <n v="33"/>
    <s v="Other"/>
    <s v="Master"/>
    <x v="6"/>
    <s v="Technician"/>
    <n v="7"/>
    <x v="1"/>
    <s v="Medium"/>
    <s v="No"/>
    <n v="106034"/>
    <n v="117827"/>
    <x v="1"/>
    <n v="48"/>
    <x v="1"/>
    <n v="5"/>
    <n v="-4.3899999999999997"/>
    <n v="11793"/>
    <n v="11.121904294848822"/>
    <s v="Intermediate"/>
    <s v="Medium Impact"/>
  </r>
  <r>
    <s v="E0355"/>
    <n v="42"/>
    <s v="Female"/>
    <s v="PhD"/>
    <x v="1"/>
    <s v="Supervisor"/>
    <n v="19"/>
    <x v="0"/>
    <s v="Medium"/>
    <s v="Yes"/>
    <n v="107465"/>
    <n v="108842"/>
    <x v="1"/>
    <n v="39"/>
    <x v="1"/>
    <n v="4"/>
    <n v="-4.3899999999999997"/>
    <n v="1377"/>
    <n v="1.2813474154375843"/>
    <s v="Expert"/>
    <s v="Medium Impact"/>
  </r>
  <r>
    <s v="E0308"/>
    <n v="23"/>
    <s v="Male"/>
    <s v="Bachelor"/>
    <x v="1"/>
    <s v="Supervisor"/>
    <n v="0"/>
    <x v="0"/>
    <s v="Medium"/>
    <s v="No"/>
    <n v="36548"/>
    <n v="34825"/>
    <x v="1"/>
    <n v="44"/>
    <x v="1"/>
    <n v="9"/>
    <n v="-4.41"/>
    <n v="-1723"/>
    <n v="-4.7143482543504431"/>
    <s v="Beginner"/>
    <s v="Medium Impact"/>
  </r>
  <r>
    <s v="E0822"/>
    <n v="27"/>
    <s v="Female"/>
    <s v="High School"/>
    <x v="0"/>
    <s v="DevOps Engineer"/>
    <n v="5"/>
    <x v="0"/>
    <s v="Low"/>
    <s v="Yes"/>
    <n v="59670"/>
    <n v="64255"/>
    <x v="0"/>
    <n v="50"/>
    <x v="0"/>
    <n v="5"/>
    <n v="-4.42"/>
    <n v="4585"/>
    <n v="7.6839282721635662"/>
    <s v="Intermediate"/>
    <s v="Low Impact"/>
  </r>
  <r>
    <s v="E0427"/>
    <n v="44"/>
    <s v="Other"/>
    <s v="PhD"/>
    <x v="5"/>
    <s v="Teacher"/>
    <n v="20"/>
    <x v="0"/>
    <s v="High"/>
    <s v="No"/>
    <n v="94386"/>
    <n v="93947"/>
    <x v="0"/>
    <n v="53"/>
    <x v="0"/>
    <n v="4"/>
    <n v="-4.4400000000000004"/>
    <n v="-439"/>
    <n v="-0.4651113512597207"/>
    <s v="Expert"/>
    <s v="Low Impact"/>
  </r>
  <r>
    <s v="E1751"/>
    <n v="57"/>
    <s v="Other"/>
    <s v="Bachelor"/>
    <x v="5"/>
    <s v="Teacher"/>
    <n v="34"/>
    <x v="0"/>
    <s v="Medium"/>
    <s v="No"/>
    <n v="96330"/>
    <n v="99869"/>
    <x v="1"/>
    <n v="36"/>
    <x v="1"/>
    <n v="4"/>
    <n v="-4.45"/>
    <n v="3539"/>
    <n v="3.6738295442748883"/>
    <s v="Expert"/>
    <s v="Medium Impact"/>
  </r>
  <r>
    <s v="E0326"/>
    <n v="56"/>
    <s v="Male"/>
    <s v="Master"/>
    <x v="1"/>
    <s v="Supervisor"/>
    <n v="33"/>
    <x v="2"/>
    <s v="Medium"/>
    <s v="No"/>
    <n v="78758"/>
    <n v="104556"/>
    <x v="1"/>
    <n v="49"/>
    <x v="0"/>
    <n v="4"/>
    <n v="-4.49"/>
    <n v="25798"/>
    <n v="32.756037481906603"/>
    <s v="Expert"/>
    <s v="Medium Impact"/>
  </r>
  <r>
    <s v="E1530"/>
    <n v="22"/>
    <s v="Female"/>
    <s v="Bachelor"/>
    <x v="0"/>
    <s v="DevOps Engineer"/>
    <n v="0"/>
    <x v="1"/>
    <s v="High"/>
    <s v="No"/>
    <n v="78348"/>
    <n v="88461"/>
    <x v="0"/>
    <n v="46"/>
    <x v="1"/>
    <n v="9"/>
    <n v="-4.5"/>
    <n v="10113"/>
    <n v="12.907795987134325"/>
    <s v="Beginner"/>
    <s v="Low Impact"/>
  </r>
  <r>
    <s v="E0405"/>
    <n v="40"/>
    <s v="Other"/>
    <s v="High School"/>
    <x v="1"/>
    <s v="Quality Inspector"/>
    <n v="15"/>
    <x v="1"/>
    <s v="High"/>
    <s v="No"/>
    <n v="108279"/>
    <n v="119245"/>
    <x v="0"/>
    <n v="50"/>
    <x v="1"/>
    <n v="3"/>
    <n v="-4.51"/>
    <n v="10966"/>
    <n v="10.127540889738546"/>
    <s v="Expert"/>
    <s v="Low Impact"/>
  </r>
  <r>
    <s v="E0119"/>
    <n v="32"/>
    <s v="Male"/>
    <s v="High School"/>
    <x v="2"/>
    <s v="Content Creator"/>
    <n v="7"/>
    <x v="2"/>
    <s v="Medium"/>
    <s v="Yes"/>
    <n v="117886"/>
    <n v="152101"/>
    <x v="1"/>
    <n v="40"/>
    <x v="1"/>
    <n v="5"/>
    <n v="-4.53"/>
    <n v="34215"/>
    <n v="29.023802656804033"/>
    <s v="Intermediate"/>
    <s v="Medium Impact"/>
  </r>
  <r>
    <s v="E1683"/>
    <n v="47"/>
    <s v="Male"/>
    <s v="Master"/>
    <x v="5"/>
    <s v="Administrator"/>
    <n v="24"/>
    <x v="0"/>
    <s v="Medium"/>
    <s v="Yes"/>
    <n v="41217"/>
    <n v="41707"/>
    <x v="1"/>
    <n v="35"/>
    <x v="0"/>
    <n v="4"/>
    <n v="-4.6100000000000003"/>
    <n v="490"/>
    <n v="1.1888298517601961"/>
    <s v="Expert"/>
    <s v="Medium Impact"/>
  </r>
  <r>
    <s v="E1644"/>
    <n v="43"/>
    <s v="Male"/>
    <s v="Bachelor"/>
    <x v="6"/>
    <s v="Technician"/>
    <n v="19"/>
    <x v="1"/>
    <s v="Medium"/>
    <s v="Yes"/>
    <n v="92583"/>
    <n v="107195"/>
    <x v="1"/>
    <n v="51"/>
    <x v="0"/>
    <n v="3"/>
    <n v="-4.62"/>
    <n v="14612"/>
    <n v="15.782595076849962"/>
    <s v="Expert"/>
    <s v="Medium Impact"/>
  </r>
  <r>
    <s v="E1604"/>
    <n v="33"/>
    <s v="Male"/>
    <s v="Master"/>
    <x v="0"/>
    <s v="Software Engineer"/>
    <n v="9"/>
    <x v="0"/>
    <s v="Medium"/>
    <s v="Yes"/>
    <n v="86901"/>
    <n v="88400"/>
    <x v="1"/>
    <n v="44"/>
    <x v="1"/>
    <n v="5"/>
    <n v="-4.63"/>
    <n v="1499"/>
    <n v="1.7249513814570603"/>
    <s v="Intermediate"/>
    <s v="Medium Impact"/>
  </r>
  <r>
    <s v="E0047"/>
    <n v="50"/>
    <s v="Other"/>
    <s v="Bachelor"/>
    <x v="1"/>
    <s v="Supervisor"/>
    <n v="27"/>
    <x v="2"/>
    <s v="Medium"/>
    <s v="No"/>
    <n v="49190"/>
    <n v="51741"/>
    <x v="1"/>
    <n v="47"/>
    <x v="1"/>
    <n v="6"/>
    <n v="-4.63"/>
    <n v="2551"/>
    <n v="5.1860134173612522"/>
    <s v="Expert"/>
    <s v="Medium Impact"/>
  </r>
  <r>
    <s v="E1256"/>
    <n v="32"/>
    <s v="Other"/>
    <s v="Master"/>
    <x v="2"/>
    <s v="Digital Marketer"/>
    <n v="7"/>
    <x v="1"/>
    <s v="High"/>
    <s v="Yes"/>
    <n v="30364"/>
    <n v="36145"/>
    <x v="0"/>
    <n v="43"/>
    <x v="0"/>
    <n v="4"/>
    <n v="-4.6900000000000004"/>
    <n v="5781"/>
    <n v="19.038993544987484"/>
    <s v="Intermediate"/>
    <s v="Low Impact"/>
  </r>
  <r>
    <s v="E0313"/>
    <n v="38"/>
    <s v="Male"/>
    <s v="Bachelor"/>
    <x v="1"/>
    <s v="Supervisor"/>
    <n v="16"/>
    <x v="1"/>
    <s v="Low"/>
    <s v="Yes"/>
    <n v="94641"/>
    <n v="97601"/>
    <x v="0"/>
    <n v="44"/>
    <x v="0"/>
    <n v="4"/>
    <n v="-4.72"/>
    <n v="2960"/>
    <n v="3.1276085417525175"/>
    <s v="Expert"/>
    <s v="Low Impact"/>
  </r>
  <r>
    <s v="E1262"/>
    <n v="43"/>
    <s v="Male"/>
    <s v="High School"/>
    <x v="5"/>
    <s v="Administrator"/>
    <n v="19"/>
    <x v="2"/>
    <s v="Low"/>
    <s v="Yes"/>
    <n v="92537"/>
    <n v="95957"/>
    <x v="0"/>
    <n v="49"/>
    <x v="1"/>
    <n v="4"/>
    <n v="-4.76"/>
    <n v="3420"/>
    <n v="3.6958189697094133"/>
    <s v="Expert"/>
    <s v="Low Impact"/>
  </r>
  <r>
    <s v="E0948"/>
    <n v="24"/>
    <s v="Male"/>
    <s v="High School"/>
    <x v="5"/>
    <s v="Teacher"/>
    <n v="0"/>
    <x v="0"/>
    <s v="High"/>
    <s v="Yes"/>
    <n v="88031"/>
    <n v="86535"/>
    <x v="0"/>
    <n v="36"/>
    <x v="0"/>
    <n v="6"/>
    <n v="-4.76"/>
    <n v="-1496"/>
    <n v="-1.6994013472526726"/>
    <s v="Beginner"/>
    <s v="Low Impact"/>
  </r>
  <r>
    <s v="E0023"/>
    <n v="53"/>
    <s v="Other"/>
    <s v="Master"/>
    <x v="5"/>
    <s v="Teacher"/>
    <n v="31"/>
    <x v="0"/>
    <s v="High"/>
    <s v="No"/>
    <n v="84384"/>
    <n v="80986"/>
    <x v="0"/>
    <n v="46"/>
    <x v="1"/>
    <n v="8"/>
    <n v="-4.7699999999999996"/>
    <n v="-3398"/>
    <n v="-4.0268297307546455"/>
    <s v="Expert"/>
    <s v="Low Impact"/>
  </r>
  <r>
    <s v="E0571"/>
    <n v="50"/>
    <s v="Female"/>
    <s v="PhD"/>
    <x v="2"/>
    <s v="SEO Specialist"/>
    <n v="24"/>
    <x v="0"/>
    <s v="High"/>
    <s v="Yes"/>
    <n v="60698"/>
    <n v="63932"/>
    <x v="0"/>
    <n v="43"/>
    <x v="1"/>
    <n v="3"/>
    <n v="-4.8"/>
    <n v="3234"/>
    <n v="5.3280173976078284"/>
    <s v="Expert"/>
    <s v="Low Impact"/>
  </r>
  <r>
    <s v="E1047"/>
    <n v="51"/>
    <s v="Female"/>
    <s v="Bachelor"/>
    <x v="5"/>
    <s v="Professor"/>
    <n v="25"/>
    <x v="2"/>
    <s v="Medium"/>
    <s v="No"/>
    <n v="32017"/>
    <n v="37655"/>
    <x v="1"/>
    <n v="49"/>
    <x v="1"/>
    <n v="8"/>
    <n v="-4.8099999999999996"/>
    <n v="5638"/>
    <n v="17.609395008901522"/>
    <s v="Expert"/>
    <s v="Medium Impact"/>
  </r>
  <r>
    <s v="E0083"/>
    <n v="37"/>
    <s v="Male"/>
    <s v="High School"/>
    <x v="1"/>
    <s v="Machine Operator"/>
    <n v="11"/>
    <x v="0"/>
    <s v="High"/>
    <s v="Yes"/>
    <n v="91642"/>
    <n v="99694"/>
    <x v="0"/>
    <n v="53"/>
    <x v="0"/>
    <n v="6"/>
    <n v="-4.82"/>
    <n v="8052"/>
    <n v="8.7863643307653696"/>
    <s v="Intermediate"/>
    <s v="Low Impact"/>
  </r>
  <r>
    <s v="E1729"/>
    <n v="51"/>
    <s v="Male"/>
    <s v="High School"/>
    <x v="5"/>
    <s v="Teacher"/>
    <n v="28"/>
    <x v="0"/>
    <s v="High"/>
    <s v="No"/>
    <n v="117218"/>
    <n v="118163"/>
    <x v="0"/>
    <n v="54"/>
    <x v="0"/>
    <n v="5"/>
    <n v="-4.92"/>
    <n v="945"/>
    <n v="0.80619017557030481"/>
    <s v="Expert"/>
    <s v="Low Impact"/>
  </r>
  <r>
    <s v="E0923"/>
    <n v="50"/>
    <s v="Other"/>
    <s v="PhD"/>
    <x v="0"/>
    <s v="Software Engineer"/>
    <n v="26"/>
    <x v="0"/>
    <s v="Medium"/>
    <s v="No"/>
    <n v="115936"/>
    <n v="127298"/>
    <x v="1"/>
    <n v="40"/>
    <x v="0"/>
    <n v="3"/>
    <n v="-4.95"/>
    <n v="11362"/>
    <n v="9.8002346121998354"/>
    <s v="Expert"/>
    <s v="Medium Impact"/>
  </r>
  <r>
    <s v="E1405"/>
    <n v="47"/>
    <s v="Male"/>
    <s v="Bachelor"/>
    <x v="4"/>
    <s v="Cashier"/>
    <n v="24"/>
    <x v="0"/>
    <s v="Low"/>
    <s v="No"/>
    <n v="34414"/>
    <n v="36994"/>
    <x v="0"/>
    <n v="36"/>
    <x v="1"/>
    <n v="6"/>
    <n v="-5"/>
    <n v="2580"/>
    <n v="7.4969489161387806"/>
    <s v="Expert"/>
    <s v="Low Impact"/>
  </r>
  <r>
    <s v="E1662"/>
    <n v="36"/>
    <s v="Male"/>
    <s v="Master"/>
    <x v="1"/>
    <s v="Supervisor"/>
    <n v="11"/>
    <x v="0"/>
    <s v="Low"/>
    <s v="Yes"/>
    <n v="56119"/>
    <n v="58213"/>
    <x v="0"/>
    <n v="46"/>
    <x v="1"/>
    <n v="4"/>
    <n v="-5.07"/>
    <n v="2094"/>
    <n v="3.731356581549921"/>
    <s v="Intermediate"/>
    <s v="Low Impact"/>
  </r>
  <r>
    <s v="E0830"/>
    <n v="39"/>
    <s v="Male"/>
    <s v="High School"/>
    <x v="3"/>
    <s v="Auditor"/>
    <n v="16"/>
    <x v="0"/>
    <s v="Low"/>
    <s v="Yes"/>
    <n v="119862"/>
    <n v="127435"/>
    <x v="0"/>
    <n v="35"/>
    <x v="1"/>
    <n v="6"/>
    <n v="-5.08"/>
    <n v="7573"/>
    <n v="6.3180991473527888"/>
    <s v="Expert"/>
    <s v="Low Impact"/>
  </r>
  <r>
    <s v="E0247"/>
    <n v="31"/>
    <s v="Male"/>
    <s v="Master"/>
    <x v="5"/>
    <s v="Professor"/>
    <n v="6"/>
    <x v="1"/>
    <s v="Low"/>
    <s v="No"/>
    <n v="49816"/>
    <n v="51273"/>
    <x v="0"/>
    <n v="45"/>
    <x v="1"/>
    <n v="6"/>
    <n v="-5.08"/>
    <n v="1457"/>
    <n v="2.9247631283121889"/>
    <s v="Intermediate"/>
    <s v="Low Impact"/>
  </r>
  <r>
    <s v="E1350"/>
    <n v="57"/>
    <s v="Male"/>
    <s v="High School"/>
    <x v="1"/>
    <s v="Machine Operator"/>
    <n v="35"/>
    <x v="1"/>
    <s v="Low"/>
    <s v="Yes"/>
    <n v="55854"/>
    <n v="57395"/>
    <x v="0"/>
    <n v="48"/>
    <x v="1"/>
    <n v="8"/>
    <n v="-5.17"/>
    <n v="1541"/>
    <n v="2.7589787660686791"/>
    <s v="Expert"/>
    <s v="Low Impact"/>
  </r>
  <r>
    <s v="E0233"/>
    <n v="35"/>
    <s v="Other"/>
    <s v="Bachelor"/>
    <x v="1"/>
    <s v="Supervisor"/>
    <n v="11"/>
    <x v="2"/>
    <s v="High"/>
    <s v="Yes"/>
    <n v="45313"/>
    <n v="37891"/>
    <x v="1"/>
    <n v="47"/>
    <x v="0"/>
    <n v="3"/>
    <n v="-5.17"/>
    <n v="-7422"/>
    <n v="-16.379405468629312"/>
    <s v="Intermediate"/>
    <s v="Medium Impact"/>
  </r>
  <r>
    <s v="E1111"/>
    <n v="26"/>
    <s v="Male"/>
    <s v="Master"/>
    <x v="3"/>
    <s v="Investment Analyst"/>
    <n v="0"/>
    <x v="2"/>
    <s v="High"/>
    <s v="No"/>
    <n v="98906"/>
    <n v="80776"/>
    <x v="2"/>
    <n v="41"/>
    <x v="0"/>
    <n v="9"/>
    <n v="-5.2"/>
    <n v="-18130"/>
    <n v="-18.330536064546134"/>
    <s v="Beginner"/>
    <s v="High Impact"/>
  </r>
  <r>
    <s v="E0170"/>
    <n v="22"/>
    <s v="Male"/>
    <s v="PhD"/>
    <x v="5"/>
    <s v="Teacher"/>
    <n v="0"/>
    <x v="0"/>
    <s v="Medium"/>
    <s v="Yes"/>
    <n v="51172"/>
    <n v="53243"/>
    <x v="1"/>
    <n v="45"/>
    <x v="1"/>
    <n v="5"/>
    <n v="-5.28"/>
    <n v="2071"/>
    <n v="4.0471351520362697"/>
    <s v="Beginner"/>
    <s v="Medium Impact"/>
  </r>
  <r>
    <s v="E0115"/>
    <n v="58"/>
    <s v="Male"/>
    <s v="Master"/>
    <x v="0"/>
    <s v="Software Engineer"/>
    <n v="33"/>
    <x v="0"/>
    <s v="Medium"/>
    <s v="Yes"/>
    <n v="84553"/>
    <n v="88030"/>
    <x v="1"/>
    <n v="47"/>
    <x v="1"/>
    <n v="8"/>
    <n v="-5.34"/>
    <n v="3477"/>
    <n v="4.1122136411481556"/>
    <s v="Expert"/>
    <s v="Medium Impact"/>
  </r>
  <r>
    <s v="E0377"/>
    <n v="24"/>
    <s v="Female"/>
    <s v="High School"/>
    <x v="3"/>
    <s v="Auditor"/>
    <n v="0"/>
    <x v="2"/>
    <s v="Low"/>
    <s v="No"/>
    <n v="42763"/>
    <n v="47691"/>
    <x v="0"/>
    <n v="35"/>
    <x v="1"/>
    <n v="7"/>
    <n v="-5.34"/>
    <n v="4928"/>
    <n v="11.523981011622196"/>
    <s v="Beginner"/>
    <s v="Low Impact"/>
  </r>
  <r>
    <s v="E0257"/>
    <n v="47"/>
    <s v="Female"/>
    <s v="Bachelor"/>
    <x v="3"/>
    <s v="Accountant"/>
    <n v="23"/>
    <x v="0"/>
    <s v="High"/>
    <s v="No"/>
    <n v="118009"/>
    <n v="112418"/>
    <x v="0"/>
    <n v="42"/>
    <x v="1"/>
    <n v="9"/>
    <n v="-5.35"/>
    <n v="-5591"/>
    <n v="-4.7377742375581526"/>
    <s v="Expert"/>
    <s v="Low Impact"/>
  </r>
  <r>
    <s v="E0780"/>
    <n v="44"/>
    <s v="Other"/>
    <s v="PhD"/>
    <x v="0"/>
    <s v="Software Engineer"/>
    <n v="18"/>
    <x v="1"/>
    <s v="Low"/>
    <s v="No"/>
    <n v="30490"/>
    <n v="30641"/>
    <x v="0"/>
    <n v="41"/>
    <x v="0"/>
    <n v="9"/>
    <n v="-5.37"/>
    <n v="151"/>
    <n v="0.49524434240734666"/>
    <s v="Expert"/>
    <s v="Low Impact"/>
  </r>
  <r>
    <s v="E1060"/>
    <n v="42"/>
    <s v="Other"/>
    <s v="PhD"/>
    <x v="0"/>
    <s v="Software Engineer"/>
    <n v="19"/>
    <x v="2"/>
    <s v="Medium"/>
    <s v="No"/>
    <n v="53535"/>
    <n v="51122"/>
    <x v="1"/>
    <n v="54"/>
    <x v="1"/>
    <n v="3"/>
    <n v="-5.39"/>
    <n v="-2413"/>
    <n v="-4.5073316521901559"/>
    <s v="Expert"/>
    <s v="Medium Impact"/>
  </r>
  <r>
    <s v="E1079"/>
    <n v="55"/>
    <s v="Female"/>
    <s v="Master"/>
    <x v="2"/>
    <s v="SEO Specialist"/>
    <n v="31"/>
    <x v="0"/>
    <s v="Low"/>
    <s v="Yes"/>
    <n v="33285"/>
    <n v="32398"/>
    <x v="0"/>
    <n v="46"/>
    <x v="0"/>
    <n v="6"/>
    <n v="-5.39"/>
    <n v="-887"/>
    <n v="-2.6648640528766712"/>
    <s v="Expert"/>
    <s v="Low Impact"/>
  </r>
  <r>
    <s v="E0111"/>
    <n v="39"/>
    <s v="Male"/>
    <s v="Bachelor"/>
    <x v="2"/>
    <s v="Digital Marketer"/>
    <n v="16"/>
    <x v="2"/>
    <s v="Medium"/>
    <s v="No"/>
    <n v="118869"/>
    <n v="133082"/>
    <x v="1"/>
    <n v="39"/>
    <x v="0"/>
    <n v="6"/>
    <n v="-5.45"/>
    <n v="14213"/>
    <n v="11.95686007285331"/>
    <s v="Expert"/>
    <s v="Medium Impact"/>
  </r>
  <r>
    <s v="E1861"/>
    <n v="59"/>
    <s v="Other"/>
    <s v="Bachelor"/>
    <x v="3"/>
    <s v="Accountant"/>
    <n v="36"/>
    <x v="1"/>
    <s v="Medium"/>
    <s v="No"/>
    <n v="103905"/>
    <n v="121502"/>
    <x v="1"/>
    <n v="48"/>
    <x v="1"/>
    <n v="8"/>
    <n v="-5.45"/>
    <n v="17597"/>
    <n v="16.93566238390838"/>
    <s v="Expert"/>
    <s v="Medium Impact"/>
  </r>
  <r>
    <s v="E1796"/>
    <n v="35"/>
    <s v="Female"/>
    <s v="Master"/>
    <x v="0"/>
    <s v="DevOps Engineer"/>
    <n v="13"/>
    <x v="0"/>
    <s v="High"/>
    <s v="No"/>
    <n v="113301"/>
    <n v="111030"/>
    <x v="0"/>
    <n v="35"/>
    <x v="0"/>
    <n v="3"/>
    <n v="-5.46"/>
    <n v="-2271"/>
    <n v="-2.0043953716207272"/>
    <s v="Intermediate"/>
    <s v="Low Impact"/>
  </r>
  <r>
    <s v="E0121"/>
    <n v="47"/>
    <s v="Other"/>
    <s v="Master"/>
    <x v="3"/>
    <s v="Accountant"/>
    <n v="22"/>
    <x v="0"/>
    <s v="Medium"/>
    <s v="Yes"/>
    <n v="88067"/>
    <n v="90369"/>
    <x v="1"/>
    <n v="49"/>
    <x v="1"/>
    <n v="3"/>
    <n v="-5.46"/>
    <n v="2302"/>
    <n v="2.6139189480736258"/>
    <s v="Expert"/>
    <s v="Medium Impact"/>
  </r>
  <r>
    <s v="E0825"/>
    <n v="22"/>
    <s v="Male"/>
    <s v="High School"/>
    <x v="3"/>
    <s v="Accountant"/>
    <n v="0"/>
    <x v="1"/>
    <s v="High"/>
    <s v="Yes"/>
    <n v="30215"/>
    <n v="29982"/>
    <x v="0"/>
    <n v="45"/>
    <x v="1"/>
    <n v="5"/>
    <n v="-5.47"/>
    <n v="-233"/>
    <n v="-0.77114016217110704"/>
    <s v="Beginner"/>
    <s v="Low Impact"/>
  </r>
  <r>
    <s v="E0486"/>
    <n v="32"/>
    <s v="Male"/>
    <s v="Master"/>
    <x v="3"/>
    <s v="Investment Analyst"/>
    <n v="6"/>
    <x v="0"/>
    <s v="Low"/>
    <s v="Yes"/>
    <n v="77153"/>
    <n v="83176"/>
    <x v="0"/>
    <n v="40"/>
    <x v="0"/>
    <n v="3"/>
    <n v="-5.48"/>
    <n v="6023"/>
    <n v="7.8065661737067904"/>
    <s v="Intermediate"/>
    <s v="Low Impact"/>
  </r>
  <r>
    <s v="E0483"/>
    <n v="54"/>
    <s v="Female"/>
    <s v="High School"/>
    <x v="3"/>
    <s v="Accountant"/>
    <n v="31"/>
    <x v="2"/>
    <s v="Medium"/>
    <s v="Yes"/>
    <n v="57045"/>
    <n v="63764"/>
    <x v="1"/>
    <n v="48"/>
    <x v="1"/>
    <n v="7"/>
    <n v="-5.49"/>
    <n v="6719"/>
    <n v="11.778420545183627"/>
    <s v="Expert"/>
    <s v="Medium Impact"/>
  </r>
  <r>
    <s v="E0032"/>
    <n v="28"/>
    <s v="Other"/>
    <s v="Bachelor"/>
    <x v="1"/>
    <s v="Quality Inspector"/>
    <n v="3"/>
    <x v="0"/>
    <s v="High"/>
    <s v="Yes"/>
    <n v="46371"/>
    <n v="47736"/>
    <x v="0"/>
    <n v="50"/>
    <x v="0"/>
    <n v="8"/>
    <n v="-5.49"/>
    <n v="1365"/>
    <n v="2.9436501261564341"/>
    <s v="Beginner"/>
    <s v="Low Impact"/>
  </r>
  <r>
    <s v="E1459"/>
    <n v="47"/>
    <s v="Male"/>
    <s v="High School"/>
    <x v="5"/>
    <s v="Administrator"/>
    <n v="21"/>
    <x v="0"/>
    <s v="Low"/>
    <s v="No"/>
    <n v="70581"/>
    <n v="67091"/>
    <x v="0"/>
    <n v="46"/>
    <x v="1"/>
    <n v="8"/>
    <n v="-5.51"/>
    <n v="-3490"/>
    <n v="-4.9446734956999761"/>
    <s v="Expert"/>
    <s v="Low Impact"/>
  </r>
  <r>
    <s v="E0309"/>
    <n v="26"/>
    <s v="Male"/>
    <s v="PhD"/>
    <x v="3"/>
    <s v="Accountant"/>
    <n v="4"/>
    <x v="0"/>
    <s v="Medium"/>
    <s v="Yes"/>
    <n v="90428"/>
    <n v="86071"/>
    <x v="1"/>
    <n v="52"/>
    <x v="1"/>
    <n v="7"/>
    <n v="-5.53"/>
    <n v="-4357"/>
    <n v="-4.8181979033042861"/>
    <s v="Beginner"/>
    <s v="Medium Impact"/>
  </r>
  <r>
    <s v="E0438"/>
    <n v="38"/>
    <s v="Female"/>
    <s v="PhD"/>
    <x v="4"/>
    <s v="Cashier"/>
    <n v="16"/>
    <x v="1"/>
    <s v="High"/>
    <s v="No"/>
    <n v="92320"/>
    <n v="91353"/>
    <x v="0"/>
    <n v="40"/>
    <x v="0"/>
    <n v="5"/>
    <n v="-5.58"/>
    <n v="-967"/>
    <n v="-1.0474436741767763"/>
    <s v="Expert"/>
    <s v="Low Impact"/>
  </r>
  <r>
    <s v="E0055"/>
    <n v="22"/>
    <s v="Other"/>
    <s v="Bachelor"/>
    <x v="2"/>
    <s v="Digital Marketer"/>
    <n v="0"/>
    <x v="1"/>
    <s v="Low"/>
    <s v="No"/>
    <n v="46896"/>
    <n v="48429"/>
    <x v="0"/>
    <n v="50"/>
    <x v="1"/>
    <n v="3"/>
    <n v="-5.61"/>
    <n v="1533"/>
    <n v="3.2689355168884342"/>
    <s v="Beginner"/>
    <s v="Low Impact"/>
  </r>
  <r>
    <s v="E1129"/>
    <n v="33"/>
    <s v="Other"/>
    <s v="PhD"/>
    <x v="5"/>
    <s v="Professor"/>
    <n v="7"/>
    <x v="1"/>
    <s v="Low"/>
    <s v="No"/>
    <n v="57785"/>
    <n v="64245"/>
    <x v="0"/>
    <n v="51"/>
    <x v="1"/>
    <n v="6"/>
    <n v="-5.71"/>
    <n v="6460"/>
    <n v="11.17937180929307"/>
    <s v="Intermediate"/>
    <s v="Low Impact"/>
  </r>
  <r>
    <s v="E1102"/>
    <n v="24"/>
    <s v="Male"/>
    <s v="Bachelor"/>
    <x v="6"/>
    <s v="Nurse"/>
    <n v="0"/>
    <x v="2"/>
    <s v="Low"/>
    <s v="Yes"/>
    <n v="65851"/>
    <n v="87113"/>
    <x v="0"/>
    <n v="45"/>
    <x v="1"/>
    <n v="8"/>
    <n v="-5.75"/>
    <n v="21262"/>
    <n v="32.28804422104448"/>
    <s v="Beginner"/>
    <s v="Low Impact"/>
  </r>
  <r>
    <s v="E1061"/>
    <n v="23"/>
    <s v="Female"/>
    <s v="PhD"/>
    <x v="3"/>
    <s v="Accountant"/>
    <n v="1"/>
    <x v="0"/>
    <s v="High"/>
    <s v="Yes"/>
    <n v="58251"/>
    <n v="61140"/>
    <x v="0"/>
    <n v="54"/>
    <x v="1"/>
    <n v="8"/>
    <n v="-5.75"/>
    <n v="2889"/>
    <n v="4.9595715095019832"/>
    <s v="Beginner"/>
    <s v="Low Impact"/>
  </r>
  <r>
    <s v="E0143"/>
    <n v="43"/>
    <s v="Male"/>
    <s v="PhD"/>
    <x v="1"/>
    <s v="Machine Operator"/>
    <n v="19"/>
    <x v="2"/>
    <s v="Low"/>
    <s v="Yes"/>
    <n v="43718"/>
    <n v="38195"/>
    <x v="0"/>
    <n v="48"/>
    <x v="1"/>
    <n v="6"/>
    <n v="-5.85"/>
    <n v="-5523"/>
    <n v="-12.633240312914589"/>
    <s v="Expert"/>
    <s v="Low Impact"/>
  </r>
  <r>
    <s v="E0128"/>
    <n v="51"/>
    <s v="Female"/>
    <s v="High School"/>
    <x v="3"/>
    <s v="Investment Analyst"/>
    <n v="27"/>
    <x v="0"/>
    <s v="Low"/>
    <s v="Yes"/>
    <n v="116740"/>
    <n v="114167"/>
    <x v="0"/>
    <n v="48"/>
    <x v="0"/>
    <n v="4"/>
    <n v="-5.86"/>
    <n v="-2573"/>
    <n v="-2.2040431728627721"/>
    <s v="Expert"/>
    <s v="Low Impact"/>
  </r>
  <r>
    <s v="E1186"/>
    <n v="41"/>
    <s v="Other"/>
    <s v="PhD"/>
    <x v="0"/>
    <s v="Software Engineer"/>
    <n v="19"/>
    <x v="1"/>
    <s v="Low"/>
    <s v="No"/>
    <n v="102833"/>
    <n v="96587"/>
    <x v="0"/>
    <n v="37"/>
    <x v="0"/>
    <n v="3"/>
    <n v="-5.87"/>
    <n v="-6246"/>
    <n v="-6.0739256853344736"/>
    <s v="Expert"/>
    <s v="Low Impact"/>
  </r>
  <r>
    <s v="E0831"/>
    <n v="50"/>
    <s v="Female"/>
    <s v="Bachelor"/>
    <x v="2"/>
    <s v="SEO Specialist"/>
    <n v="24"/>
    <x v="2"/>
    <s v="Medium"/>
    <s v="No"/>
    <n v="92894"/>
    <n v="96803"/>
    <x v="1"/>
    <n v="53"/>
    <x v="1"/>
    <n v="8"/>
    <n v="-5.91"/>
    <n v="3909"/>
    <n v="4.2080220466337979"/>
    <s v="Expert"/>
    <s v="Medium Impact"/>
  </r>
  <r>
    <s v="E1387"/>
    <n v="50"/>
    <s v="Female"/>
    <s v="Master"/>
    <x v="6"/>
    <s v="Nurse"/>
    <n v="24"/>
    <x v="0"/>
    <s v="Medium"/>
    <s v="No"/>
    <n v="102089"/>
    <n v="111315"/>
    <x v="1"/>
    <n v="53"/>
    <x v="0"/>
    <n v="7"/>
    <n v="-5.96"/>
    <n v="9226"/>
    <n v="9.0372126281969649"/>
    <s v="Expert"/>
    <s v="Medium Impact"/>
  </r>
  <r>
    <s v="E1730"/>
    <n v="31"/>
    <s v="Female"/>
    <s v="PhD"/>
    <x v="5"/>
    <s v="Professor"/>
    <n v="5"/>
    <x v="2"/>
    <s v="Low"/>
    <s v="No"/>
    <n v="31942"/>
    <n v="38334"/>
    <x v="0"/>
    <n v="47"/>
    <x v="0"/>
    <n v="4"/>
    <n v="-5.96"/>
    <n v="6392"/>
    <n v="20.011270427650114"/>
    <s v="Intermediate"/>
    <s v="Low Impact"/>
  </r>
  <r>
    <s v="E1248"/>
    <n v="39"/>
    <s v="Male"/>
    <s v="PhD"/>
    <x v="5"/>
    <s v="Administrator"/>
    <n v="14"/>
    <x v="1"/>
    <s v="Medium"/>
    <s v="Yes"/>
    <n v="61075"/>
    <n v="64155"/>
    <x v="1"/>
    <n v="46"/>
    <x v="0"/>
    <n v="7"/>
    <n v="-5.98"/>
    <n v="3080"/>
    <n v="5.0429799426934094"/>
    <s v="Intermediate"/>
    <s v="Medium Impact"/>
  </r>
  <r>
    <s v="E1163"/>
    <n v="47"/>
    <s v="Female"/>
    <s v="PhD"/>
    <x v="0"/>
    <s v="Data Analyst"/>
    <n v="24"/>
    <x v="2"/>
    <s v="High"/>
    <s v="No"/>
    <n v="79573"/>
    <n v="94951"/>
    <x v="1"/>
    <n v="53"/>
    <x v="1"/>
    <n v="5"/>
    <n v="-6.01"/>
    <n v="15378"/>
    <n v="19.325650660399884"/>
    <s v="Expert"/>
    <s v="Medium Impact"/>
  </r>
  <r>
    <s v="E1177"/>
    <n v="52"/>
    <s v="Other"/>
    <s v="PhD"/>
    <x v="5"/>
    <s v="Teacher"/>
    <n v="29"/>
    <x v="2"/>
    <s v="Medium"/>
    <s v="No"/>
    <n v="80617"/>
    <n v="111658"/>
    <x v="1"/>
    <n v="49"/>
    <x v="0"/>
    <n v="4"/>
    <n v="-6.06"/>
    <n v="31041"/>
    <n v="38.50428569656524"/>
    <s v="Expert"/>
    <s v="Medium Impact"/>
  </r>
  <r>
    <s v="E0280"/>
    <n v="56"/>
    <s v="Female"/>
    <s v="High School"/>
    <x v="0"/>
    <s v="Software Engineer"/>
    <n v="31"/>
    <x v="2"/>
    <s v="High"/>
    <s v="No"/>
    <n v="70390"/>
    <n v="79401"/>
    <x v="1"/>
    <n v="48"/>
    <x v="1"/>
    <n v="7"/>
    <n v="-6.08"/>
    <n v="9011"/>
    <n v="12.801534308850689"/>
    <s v="Expert"/>
    <s v="Medium Impact"/>
  </r>
  <r>
    <s v="E1595"/>
    <n v="38"/>
    <s v="Female"/>
    <s v="PhD"/>
    <x v="0"/>
    <s v="Data Analyst"/>
    <n v="12"/>
    <x v="0"/>
    <s v="Medium"/>
    <s v="No"/>
    <n v="76099"/>
    <n v="74575"/>
    <x v="1"/>
    <n v="53"/>
    <x v="0"/>
    <n v="7"/>
    <n v="-6.09"/>
    <n v="-1524"/>
    <n v="-2.002654436983403"/>
    <s v="Intermediate"/>
    <s v="Medium Impact"/>
  </r>
  <r>
    <s v="E1368"/>
    <n v="58"/>
    <s v="Male"/>
    <s v="Bachelor"/>
    <x v="2"/>
    <s v="Content Creator"/>
    <n v="35"/>
    <x v="1"/>
    <s v="Medium"/>
    <s v="Yes"/>
    <n v="63001"/>
    <n v="64459"/>
    <x v="1"/>
    <n v="43"/>
    <x v="1"/>
    <n v="5"/>
    <n v="-6.12"/>
    <n v="1458"/>
    <n v="2.3142489801749178"/>
    <s v="Expert"/>
    <s v="Medium Impact"/>
  </r>
  <r>
    <s v="E0250"/>
    <n v="41"/>
    <s v="Other"/>
    <s v="Bachelor"/>
    <x v="5"/>
    <s v="Administrator"/>
    <n v="18"/>
    <x v="1"/>
    <s v="Medium"/>
    <s v="No"/>
    <n v="111537"/>
    <n v="104498"/>
    <x v="1"/>
    <n v="35"/>
    <x v="0"/>
    <n v="9"/>
    <n v="-6.13"/>
    <n v="-7039"/>
    <n v="-6.3109102808933368"/>
    <s v="Expert"/>
    <s v="Medium Impact"/>
  </r>
  <r>
    <s v="E1202"/>
    <n v="24"/>
    <s v="Other"/>
    <s v="Bachelor"/>
    <x v="2"/>
    <s v="SEO Specialist"/>
    <n v="0"/>
    <x v="0"/>
    <s v="Medium"/>
    <s v="Yes"/>
    <n v="80411"/>
    <n v="77021"/>
    <x v="1"/>
    <n v="51"/>
    <x v="0"/>
    <n v="8"/>
    <n v="-6.14"/>
    <n v="-3390"/>
    <n v="-4.2158411162651879"/>
    <s v="Beginner"/>
    <s v="Medium Impact"/>
  </r>
  <r>
    <s v="E0795"/>
    <n v="52"/>
    <s v="Male"/>
    <s v="Master"/>
    <x v="2"/>
    <s v="SEO Specialist"/>
    <n v="30"/>
    <x v="1"/>
    <s v="High"/>
    <s v="No"/>
    <n v="30066"/>
    <n v="27503"/>
    <x v="0"/>
    <n v="43"/>
    <x v="0"/>
    <n v="8"/>
    <n v="-6.14"/>
    <n v="-2563"/>
    <n v="-8.5245792589636125"/>
    <s v="Expert"/>
    <s v="Low Impact"/>
  </r>
  <r>
    <s v="E0610"/>
    <n v="43"/>
    <s v="Other"/>
    <s v="High School"/>
    <x v="3"/>
    <s v="Auditor"/>
    <n v="18"/>
    <x v="0"/>
    <s v="High"/>
    <s v="No"/>
    <n v="53559"/>
    <n v="51415"/>
    <x v="0"/>
    <n v="51"/>
    <x v="1"/>
    <n v="6"/>
    <n v="-6.15"/>
    <n v="-2144"/>
    <n v="-4.0030620437274784"/>
    <s v="Expert"/>
    <s v="Low Impact"/>
  </r>
  <r>
    <s v="E0193"/>
    <n v="50"/>
    <s v="Other"/>
    <s v="Master"/>
    <x v="3"/>
    <s v="Accountant"/>
    <n v="24"/>
    <x v="0"/>
    <s v="High"/>
    <s v="No"/>
    <n v="94754"/>
    <n v="97303"/>
    <x v="0"/>
    <n v="36"/>
    <x v="1"/>
    <n v="3"/>
    <n v="-6.16"/>
    <n v="2549"/>
    <n v="2.6901238997825949"/>
    <s v="Expert"/>
    <s v="Low Impact"/>
  </r>
  <r>
    <s v="E1169"/>
    <n v="30"/>
    <s v="Female"/>
    <s v="PhD"/>
    <x v="4"/>
    <s v="Store Manager"/>
    <n v="6"/>
    <x v="0"/>
    <s v="Low"/>
    <s v="Yes"/>
    <n v="45407"/>
    <n v="46118"/>
    <x v="0"/>
    <n v="39"/>
    <x v="0"/>
    <n v="3"/>
    <n v="-6.16"/>
    <n v="711"/>
    <n v="1.5658378664082631"/>
    <s v="Intermediate"/>
    <s v="Low Impact"/>
  </r>
  <r>
    <s v="E1408"/>
    <n v="52"/>
    <s v="Other"/>
    <s v="Master"/>
    <x v="4"/>
    <s v="Sales Associate"/>
    <n v="29"/>
    <x v="2"/>
    <s v="Medium"/>
    <s v="Yes"/>
    <n v="48325"/>
    <n v="49463"/>
    <x v="1"/>
    <n v="40"/>
    <x v="1"/>
    <n v="4"/>
    <n v="-6.18"/>
    <n v="1138"/>
    <n v="2.3548887739265387"/>
    <s v="Expert"/>
    <s v="Medium Impact"/>
  </r>
  <r>
    <s v="E1748"/>
    <n v="46"/>
    <s v="Female"/>
    <s v="High School"/>
    <x v="6"/>
    <s v="Doctor"/>
    <n v="23"/>
    <x v="0"/>
    <s v="High"/>
    <s v="No"/>
    <n v="50662"/>
    <n v="52560"/>
    <x v="0"/>
    <n v="49"/>
    <x v="0"/>
    <n v="7"/>
    <n v="-6.2"/>
    <n v="1898"/>
    <n v="3.7463976945244957"/>
    <s v="Expert"/>
    <s v="Low Impact"/>
  </r>
  <r>
    <s v="E1641"/>
    <n v="38"/>
    <s v="Male"/>
    <s v="Master"/>
    <x v="1"/>
    <s v="Quality Inspector"/>
    <n v="12"/>
    <x v="0"/>
    <s v="Medium"/>
    <s v="No"/>
    <n v="32389"/>
    <n v="34294"/>
    <x v="1"/>
    <n v="50"/>
    <x v="0"/>
    <n v="8"/>
    <n v="-6.21"/>
    <n v="1905"/>
    <n v="5.8816264781252894"/>
    <s v="Intermediate"/>
    <s v="Medium Impact"/>
  </r>
  <r>
    <s v="E0615"/>
    <n v="55"/>
    <s v="Female"/>
    <s v="PhD"/>
    <x v="1"/>
    <s v="Quality Inspector"/>
    <n v="32"/>
    <x v="1"/>
    <s v="High"/>
    <s v="No"/>
    <n v="113014"/>
    <n v="108859"/>
    <x v="0"/>
    <n v="54"/>
    <x v="1"/>
    <n v="4"/>
    <n v="-6.24"/>
    <n v="-4155"/>
    <n v="-3.6765356504503868"/>
    <s v="Expert"/>
    <s v="Low Impact"/>
  </r>
  <r>
    <s v="E0086"/>
    <n v="49"/>
    <s v="Female"/>
    <s v="Bachelor"/>
    <x v="2"/>
    <s v="Digital Marketer"/>
    <n v="24"/>
    <x v="0"/>
    <s v="High"/>
    <s v="No"/>
    <n v="91529"/>
    <n v="92283"/>
    <x v="0"/>
    <n v="39"/>
    <x v="1"/>
    <n v="3"/>
    <n v="-6.24"/>
    <n v="754"/>
    <n v="0.82378262627145504"/>
    <s v="Expert"/>
    <s v="Low Impact"/>
  </r>
  <r>
    <s v="E1866"/>
    <n v="38"/>
    <s v="Other"/>
    <s v="Bachelor"/>
    <x v="4"/>
    <s v="Cashier"/>
    <n v="12"/>
    <x v="2"/>
    <s v="Medium"/>
    <s v="No"/>
    <n v="114954"/>
    <n v="145565"/>
    <x v="1"/>
    <n v="42"/>
    <x v="1"/>
    <n v="7"/>
    <n v="-6.26"/>
    <n v="30611"/>
    <n v="26.628912434539032"/>
    <s v="Intermediate"/>
    <s v="Medium Impact"/>
  </r>
  <r>
    <s v="E0476"/>
    <n v="43"/>
    <s v="Female"/>
    <s v="Master"/>
    <x v="3"/>
    <s v="Investment Analyst"/>
    <n v="19"/>
    <x v="1"/>
    <s v="Medium"/>
    <s v="No"/>
    <n v="75671"/>
    <n v="69595"/>
    <x v="1"/>
    <n v="36"/>
    <x v="1"/>
    <n v="4"/>
    <n v="-6.31"/>
    <n v="-6076"/>
    <n v="-8.0294961081523972"/>
    <s v="Expert"/>
    <s v="Medium Impact"/>
  </r>
  <r>
    <s v="E1947"/>
    <n v="32"/>
    <s v="Other"/>
    <s v="PhD"/>
    <x v="6"/>
    <s v="Nurse"/>
    <n v="6"/>
    <x v="2"/>
    <s v="Medium"/>
    <s v="Yes"/>
    <n v="117063"/>
    <n v="159754"/>
    <x v="1"/>
    <n v="47"/>
    <x v="1"/>
    <n v="7"/>
    <n v="-6.37"/>
    <n v="42691"/>
    <n v="36.468397358687206"/>
    <s v="Intermediate"/>
    <s v="Medium Impact"/>
  </r>
  <r>
    <s v="E0314"/>
    <n v="42"/>
    <s v="Female"/>
    <s v="Bachelor"/>
    <x v="0"/>
    <s v="Software Engineer"/>
    <n v="17"/>
    <x v="0"/>
    <s v="High"/>
    <s v="Yes"/>
    <n v="58602"/>
    <n v="59628"/>
    <x v="0"/>
    <n v="51"/>
    <x v="1"/>
    <n v="6"/>
    <n v="-6.38"/>
    <n v="1026"/>
    <n v="1.7507934882768508"/>
    <s v="Expert"/>
    <s v="Low Impact"/>
  </r>
  <r>
    <s v="E1194"/>
    <n v="46"/>
    <s v="Female"/>
    <s v="Bachelor"/>
    <x v="4"/>
    <s v="Store Manager"/>
    <n v="22"/>
    <x v="1"/>
    <s v="Medium"/>
    <s v="No"/>
    <n v="68015"/>
    <n v="68769"/>
    <x v="1"/>
    <n v="53"/>
    <x v="0"/>
    <n v="9"/>
    <n v="-6.43"/>
    <n v="754"/>
    <n v="1.1085789899286922"/>
    <s v="Expert"/>
    <s v="Medium Impact"/>
  </r>
  <r>
    <s v="E0449"/>
    <n v="24"/>
    <s v="Male"/>
    <s v="PhD"/>
    <x v="6"/>
    <s v="Technician"/>
    <n v="0"/>
    <x v="2"/>
    <s v="Low"/>
    <s v="Yes"/>
    <n v="53782"/>
    <n v="58399"/>
    <x v="0"/>
    <n v="43"/>
    <x v="0"/>
    <n v="8"/>
    <n v="-6.44"/>
    <n v="4617"/>
    <n v="8.584656576549774"/>
    <s v="Beginner"/>
    <s v="Low Impact"/>
  </r>
  <r>
    <s v="E0953"/>
    <n v="56"/>
    <s v="Male"/>
    <s v="High School"/>
    <x v="5"/>
    <s v="Teacher"/>
    <n v="34"/>
    <x v="2"/>
    <s v="Medium"/>
    <s v="No"/>
    <n v="33832"/>
    <n v="42852"/>
    <x v="1"/>
    <n v="45"/>
    <x v="1"/>
    <n v="5"/>
    <n v="-6.45"/>
    <n v="9020"/>
    <n v="26.661149207850553"/>
    <s v="Expert"/>
    <s v="Medium Impact"/>
  </r>
  <r>
    <s v="E0726"/>
    <n v="46"/>
    <s v="Other"/>
    <s v="Bachelor"/>
    <x v="2"/>
    <s v="Digital Marketer"/>
    <n v="23"/>
    <x v="2"/>
    <s v="Low"/>
    <s v="No"/>
    <n v="109788"/>
    <n v="152967"/>
    <x v="0"/>
    <n v="42"/>
    <x v="0"/>
    <n v="9"/>
    <n v="-6.46"/>
    <n v="43179"/>
    <n v="39.329434910919225"/>
    <s v="Expert"/>
    <s v="Low Impact"/>
  </r>
  <r>
    <s v="E0116"/>
    <n v="58"/>
    <s v="Other"/>
    <s v="Master"/>
    <x v="0"/>
    <s v="Software Engineer"/>
    <n v="36"/>
    <x v="1"/>
    <s v="Medium"/>
    <s v="Yes"/>
    <n v="88656"/>
    <n v="79990"/>
    <x v="1"/>
    <n v="40"/>
    <x v="1"/>
    <n v="9"/>
    <n v="-6.48"/>
    <n v="-8666"/>
    <n v="-9.7748601335499004"/>
    <s v="Expert"/>
    <s v="Medium Impact"/>
  </r>
  <r>
    <s v="E1667"/>
    <n v="45"/>
    <s v="Female"/>
    <s v="Bachelor"/>
    <x v="5"/>
    <s v="Teacher"/>
    <n v="19"/>
    <x v="2"/>
    <s v="Medium"/>
    <s v="Yes"/>
    <n v="116089"/>
    <n v="123932"/>
    <x v="1"/>
    <n v="52"/>
    <x v="0"/>
    <n v="3"/>
    <n v="-6.52"/>
    <n v="7843"/>
    <n v="6.7560233958428446"/>
    <s v="Expert"/>
    <s v="Medium Impact"/>
  </r>
  <r>
    <s v="E0196"/>
    <n v="39"/>
    <s v="Male"/>
    <s v="High School"/>
    <x v="0"/>
    <s v="Data Analyst"/>
    <n v="17"/>
    <x v="0"/>
    <s v="Medium"/>
    <s v="Yes"/>
    <n v="54578"/>
    <n v="58528"/>
    <x v="1"/>
    <n v="49"/>
    <x v="0"/>
    <n v="3"/>
    <n v="-6.53"/>
    <n v="3950"/>
    <n v="7.2373483821319944"/>
    <s v="Expert"/>
    <s v="Medium Impact"/>
  </r>
  <r>
    <s v="E1963"/>
    <n v="36"/>
    <s v="Female"/>
    <s v="Bachelor"/>
    <x v="4"/>
    <s v="Sales Associate"/>
    <n v="11"/>
    <x v="1"/>
    <s v="Low"/>
    <s v="Yes"/>
    <n v="60932"/>
    <n v="63523"/>
    <x v="0"/>
    <n v="52"/>
    <x v="1"/>
    <n v="9"/>
    <n v="-6.56"/>
    <n v="2591"/>
    <n v="4.252281231536795"/>
    <s v="Intermediate"/>
    <s v="Low Impact"/>
  </r>
  <r>
    <s v="E0833"/>
    <n v="28"/>
    <s v="Male"/>
    <s v="High School"/>
    <x v="5"/>
    <s v="Teacher"/>
    <n v="4"/>
    <x v="1"/>
    <s v="High"/>
    <s v="No"/>
    <n v="62574"/>
    <n v="57469"/>
    <x v="0"/>
    <n v="45"/>
    <x v="1"/>
    <n v="6"/>
    <n v="-6.56"/>
    <n v="-5105"/>
    <n v="-8.1583405248186143"/>
    <s v="Beginner"/>
    <s v="Low Impact"/>
  </r>
  <r>
    <s v="E1988"/>
    <n v="58"/>
    <s v="Male"/>
    <s v="Bachelor"/>
    <x v="2"/>
    <s v="SEO Specialist"/>
    <n v="34"/>
    <x v="2"/>
    <s v="Medium"/>
    <s v="Yes"/>
    <n v="78469"/>
    <n v="88434"/>
    <x v="1"/>
    <n v="37"/>
    <x v="0"/>
    <n v="3"/>
    <n v="-6.57"/>
    <n v="9965"/>
    <n v="12.699282519211408"/>
    <s v="Expert"/>
    <s v="Medium Impact"/>
  </r>
  <r>
    <s v="E0994"/>
    <n v="36"/>
    <s v="Male"/>
    <s v="PhD"/>
    <x v="5"/>
    <s v="Administrator"/>
    <n v="13"/>
    <x v="1"/>
    <s v="High"/>
    <s v="Yes"/>
    <n v="43288"/>
    <n v="46928"/>
    <x v="0"/>
    <n v="54"/>
    <x v="0"/>
    <n v="4"/>
    <n v="-6.61"/>
    <n v="3640"/>
    <n v="8.4087968952134542"/>
    <s v="Intermediate"/>
    <s v="Low Impact"/>
  </r>
  <r>
    <s v="E1756"/>
    <n v="44"/>
    <s v="Male"/>
    <s v="PhD"/>
    <x v="2"/>
    <s v="SEO Specialist"/>
    <n v="22"/>
    <x v="2"/>
    <s v="High"/>
    <s v="Yes"/>
    <n v="80877"/>
    <n v="98817"/>
    <x v="2"/>
    <n v="54"/>
    <x v="0"/>
    <n v="9"/>
    <n v="-6.64"/>
    <n v="17940"/>
    <n v="22.181831670314182"/>
    <s v="Expert"/>
    <s v="High Impact"/>
  </r>
  <r>
    <s v="E0990"/>
    <n v="45"/>
    <s v="Other"/>
    <s v="Master"/>
    <x v="2"/>
    <s v="Digital Marketer"/>
    <n v="22"/>
    <x v="2"/>
    <s v="Low"/>
    <s v="Yes"/>
    <n v="50002"/>
    <n v="69285"/>
    <x v="0"/>
    <n v="42"/>
    <x v="0"/>
    <n v="5"/>
    <n v="-6.66"/>
    <n v="19283"/>
    <n v="38.564457421703132"/>
    <s v="Expert"/>
    <s v="Low Impact"/>
  </r>
  <r>
    <s v="E0493"/>
    <n v="49"/>
    <s v="Female"/>
    <s v="Master"/>
    <x v="6"/>
    <s v="Technician"/>
    <n v="26"/>
    <x v="2"/>
    <s v="Low"/>
    <s v="No"/>
    <n v="49710"/>
    <n v="58688"/>
    <x v="0"/>
    <n v="42"/>
    <x v="0"/>
    <n v="4"/>
    <n v="-6.68"/>
    <n v="8978"/>
    <n v="18.060752363709515"/>
    <s v="Expert"/>
    <s v="Low Impact"/>
  </r>
  <r>
    <s v="E0342"/>
    <n v="57"/>
    <s v="Male"/>
    <s v="Bachelor"/>
    <x v="6"/>
    <s v="Nurse"/>
    <n v="35"/>
    <x v="1"/>
    <s v="Medium"/>
    <s v="Yes"/>
    <n v="106256"/>
    <n v="98454"/>
    <x v="1"/>
    <n v="49"/>
    <x v="1"/>
    <n v="5"/>
    <n v="-6.76"/>
    <n v="-7802"/>
    <n v="-7.3426441800933588"/>
    <s v="Expert"/>
    <s v="Medium Impact"/>
  </r>
  <r>
    <s v="E0914"/>
    <n v="42"/>
    <s v="Other"/>
    <s v="High School"/>
    <x v="3"/>
    <s v="Investment Analyst"/>
    <n v="17"/>
    <x v="1"/>
    <s v="High"/>
    <s v="No"/>
    <n v="42126"/>
    <n v="48959"/>
    <x v="0"/>
    <n v="54"/>
    <x v="1"/>
    <n v="9"/>
    <n v="-6.76"/>
    <n v="6833"/>
    <n v="16.22038645966861"/>
    <s v="Expert"/>
    <s v="Low Impact"/>
  </r>
  <r>
    <s v="E0236"/>
    <n v="24"/>
    <s v="Female"/>
    <s v="High School"/>
    <x v="4"/>
    <s v="Store Manager"/>
    <n v="0"/>
    <x v="2"/>
    <s v="High"/>
    <s v="No"/>
    <n v="109561"/>
    <n v="114157"/>
    <x v="1"/>
    <n v="49"/>
    <x v="0"/>
    <n v="3"/>
    <n v="-6.77"/>
    <n v="4596"/>
    <n v="4.1949233760188385"/>
    <s v="Beginner"/>
    <s v="Medium Impact"/>
  </r>
  <r>
    <s v="E0675"/>
    <n v="37"/>
    <s v="Female"/>
    <s v="Master"/>
    <x v="3"/>
    <s v="Investment Analyst"/>
    <n v="12"/>
    <x v="1"/>
    <s v="Medium"/>
    <s v="Yes"/>
    <n v="92653"/>
    <n v="87731"/>
    <x v="1"/>
    <n v="47"/>
    <x v="0"/>
    <n v="4"/>
    <n v="-6.79"/>
    <n v="-4922"/>
    <n v="-5.3122942592252818"/>
    <s v="Intermediate"/>
    <s v="Medium Impact"/>
  </r>
  <r>
    <s v="E1574"/>
    <n v="36"/>
    <s v="Other"/>
    <s v="High School"/>
    <x v="2"/>
    <s v="SEO Specialist"/>
    <n v="14"/>
    <x v="1"/>
    <s v="High"/>
    <s v="Yes"/>
    <n v="87183"/>
    <n v="84437"/>
    <x v="0"/>
    <n v="37"/>
    <x v="0"/>
    <n v="9"/>
    <n v="-6.79"/>
    <n v="-2746"/>
    <n v="-3.1496966151658006"/>
    <s v="Intermediate"/>
    <s v="Low Impact"/>
  </r>
  <r>
    <s v="E0393"/>
    <n v="42"/>
    <s v="Female"/>
    <s v="Master"/>
    <x v="6"/>
    <s v="Nurse"/>
    <n v="16"/>
    <x v="1"/>
    <s v="Low"/>
    <s v="Yes"/>
    <n v="80500"/>
    <n v="78543"/>
    <x v="0"/>
    <n v="46"/>
    <x v="1"/>
    <n v="3"/>
    <n v="-6.79"/>
    <n v="-1957"/>
    <n v="-2.4310559006211179"/>
    <s v="Expert"/>
    <s v="Low Impact"/>
  </r>
  <r>
    <s v="E1874"/>
    <n v="32"/>
    <s v="Female"/>
    <s v="Master"/>
    <x v="4"/>
    <s v="Store Manager"/>
    <n v="8"/>
    <x v="0"/>
    <s v="Low"/>
    <s v="Yes"/>
    <n v="114437"/>
    <n v="110174"/>
    <x v="0"/>
    <n v="54"/>
    <x v="0"/>
    <n v="5"/>
    <n v="-6.8"/>
    <n v="-4263"/>
    <n v="-3.7251937747406871"/>
    <s v="Intermediate"/>
    <s v="Low Impact"/>
  </r>
  <r>
    <s v="E0863"/>
    <n v="27"/>
    <s v="Male"/>
    <s v="PhD"/>
    <x v="1"/>
    <s v="Machine Operator"/>
    <n v="2"/>
    <x v="0"/>
    <s v="High"/>
    <s v="Yes"/>
    <n v="109183"/>
    <n v="114560"/>
    <x v="0"/>
    <n v="48"/>
    <x v="0"/>
    <n v="9"/>
    <n v="-6.85"/>
    <n v="5377"/>
    <n v="4.9247593489829002"/>
    <s v="Beginner"/>
    <s v="Low Impact"/>
  </r>
  <r>
    <s v="E0629"/>
    <n v="59"/>
    <s v="Female"/>
    <s v="PhD"/>
    <x v="4"/>
    <s v="Sales Associate"/>
    <n v="34"/>
    <x v="0"/>
    <s v="Low"/>
    <s v="Yes"/>
    <n v="111972"/>
    <n v="111053"/>
    <x v="0"/>
    <n v="47"/>
    <x v="1"/>
    <n v="8"/>
    <n v="-6.88"/>
    <n v="-919"/>
    <n v="-0.82074089951059193"/>
    <s v="Expert"/>
    <s v="Low Impact"/>
  </r>
  <r>
    <s v="E0588"/>
    <n v="53"/>
    <s v="Other"/>
    <s v="PhD"/>
    <x v="4"/>
    <s v="Sales Associate"/>
    <n v="28"/>
    <x v="0"/>
    <s v="High"/>
    <s v="No"/>
    <n v="74948"/>
    <n v="79009"/>
    <x v="0"/>
    <n v="38"/>
    <x v="1"/>
    <n v="9"/>
    <n v="-6.88"/>
    <n v="4061"/>
    <n v="5.4184234402519076"/>
    <s v="Expert"/>
    <s v="Low Impact"/>
  </r>
  <r>
    <s v="E0402"/>
    <n v="29"/>
    <s v="Other"/>
    <s v="Bachelor"/>
    <x v="1"/>
    <s v="Supervisor"/>
    <n v="5"/>
    <x v="2"/>
    <s v="Low"/>
    <s v="No"/>
    <n v="46724"/>
    <n v="49673"/>
    <x v="0"/>
    <n v="44"/>
    <x v="1"/>
    <n v="5"/>
    <n v="-6.89"/>
    <n v="2949"/>
    <n v="6.311531546956596"/>
    <s v="Intermediate"/>
    <s v="Low Impact"/>
  </r>
  <r>
    <s v="E0947"/>
    <n v="36"/>
    <s v="Female"/>
    <s v="PhD"/>
    <x v="2"/>
    <s v="SEO Specialist"/>
    <n v="13"/>
    <x v="1"/>
    <s v="High"/>
    <s v="Yes"/>
    <n v="41620"/>
    <n v="43205"/>
    <x v="0"/>
    <n v="44"/>
    <x v="0"/>
    <n v="5"/>
    <n v="-6.94"/>
    <n v="1585"/>
    <n v="3.8082652570879385"/>
    <s v="Intermediate"/>
    <s v="Low Impact"/>
  </r>
  <r>
    <s v="E0590"/>
    <n v="58"/>
    <s v="Other"/>
    <s v="High School"/>
    <x v="2"/>
    <s v="SEO Specialist"/>
    <n v="33"/>
    <x v="0"/>
    <s v="Medium"/>
    <s v="No"/>
    <n v="30203"/>
    <n v="29375"/>
    <x v="1"/>
    <n v="39"/>
    <x v="0"/>
    <n v="9"/>
    <n v="-6.97"/>
    <n v="-828"/>
    <n v="-2.7414495248816344"/>
    <s v="Expert"/>
    <s v="Medium Impact"/>
  </r>
  <r>
    <s v="E0857"/>
    <n v="30"/>
    <s v="Female"/>
    <s v="High School"/>
    <x v="0"/>
    <s v="Software Engineer"/>
    <n v="4"/>
    <x v="0"/>
    <s v="High"/>
    <s v="No"/>
    <n v="86398"/>
    <n v="88547"/>
    <x v="0"/>
    <n v="53"/>
    <x v="1"/>
    <n v="4"/>
    <n v="-7.01"/>
    <n v="2149"/>
    <n v="2.4873260955114702"/>
    <s v="Beginner"/>
    <s v="Low Impact"/>
  </r>
  <r>
    <s v="E0612"/>
    <n v="44"/>
    <s v="Female"/>
    <s v="Master"/>
    <x v="6"/>
    <s v="Doctor"/>
    <n v="22"/>
    <x v="0"/>
    <s v="Low"/>
    <s v="Yes"/>
    <n v="94418"/>
    <n v="92537"/>
    <x v="0"/>
    <n v="51"/>
    <x v="1"/>
    <n v="9"/>
    <n v="-7.03"/>
    <n v="-1881"/>
    <n v="-1.9922048761888622"/>
    <s v="Expert"/>
    <s v="Low Impact"/>
  </r>
  <r>
    <s v="E0864"/>
    <n v="54"/>
    <s v="Other"/>
    <s v="High School"/>
    <x v="3"/>
    <s v="Investment Analyst"/>
    <n v="31"/>
    <x v="0"/>
    <s v="Low"/>
    <s v="Yes"/>
    <n v="82344"/>
    <n v="84187"/>
    <x v="0"/>
    <n v="54"/>
    <x v="1"/>
    <n v="6"/>
    <n v="-7.04"/>
    <n v="1843"/>
    <n v="2.2381715729136307"/>
    <s v="Expert"/>
    <s v="Low Impact"/>
  </r>
  <r>
    <s v="E1894"/>
    <n v="45"/>
    <s v="Other"/>
    <s v="Master"/>
    <x v="1"/>
    <s v="Supervisor"/>
    <n v="20"/>
    <x v="2"/>
    <s v="High"/>
    <s v="No"/>
    <n v="86680"/>
    <n v="72785"/>
    <x v="1"/>
    <n v="53"/>
    <x v="1"/>
    <n v="9"/>
    <n v="-7.04"/>
    <n v="-13895"/>
    <n v="-16.030226119058607"/>
    <s v="Expert"/>
    <s v="Medium Impact"/>
  </r>
  <r>
    <s v="E0051"/>
    <n v="58"/>
    <s v="Male"/>
    <s v="Bachelor"/>
    <x v="6"/>
    <s v="Technician"/>
    <n v="36"/>
    <x v="0"/>
    <s v="Low"/>
    <s v="Yes"/>
    <n v="110135"/>
    <n v="117348"/>
    <x v="0"/>
    <n v="39"/>
    <x v="0"/>
    <n v="9"/>
    <n v="-7.05"/>
    <n v="7213"/>
    <n v="6.5492350297362334"/>
    <s v="Expert"/>
    <s v="Low Impact"/>
  </r>
  <r>
    <s v="E1548"/>
    <n v="59"/>
    <s v="Male"/>
    <s v="Master"/>
    <x v="0"/>
    <s v="Software Engineer"/>
    <n v="36"/>
    <x v="2"/>
    <s v="High"/>
    <s v="Yes"/>
    <n v="106215"/>
    <n v="140573"/>
    <x v="2"/>
    <n v="42"/>
    <x v="0"/>
    <n v="8"/>
    <n v="-7.06"/>
    <n v="34358"/>
    <n v="32.34759685543473"/>
    <s v="Expert"/>
    <s v="High Impact"/>
  </r>
  <r>
    <s v="E1040"/>
    <n v="38"/>
    <s v="Female"/>
    <s v="Bachelor"/>
    <x v="5"/>
    <s v="Professor"/>
    <n v="14"/>
    <x v="0"/>
    <s v="Low"/>
    <s v="Yes"/>
    <n v="92119"/>
    <n v="92231"/>
    <x v="0"/>
    <n v="41"/>
    <x v="0"/>
    <n v="6"/>
    <n v="-7.06"/>
    <n v="112"/>
    <n v="0.12158186693298884"/>
    <s v="Intermediate"/>
    <s v="Low Impact"/>
  </r>
  <r>
    <s v="E0546"/>
    <n v="55"/>
    <s v="Other"/>
    <s v="PhD"/>
    <x v="0"/>
    <s v="Data Analyst"/>
    <n v="31"/>
    <x v="0"/>
    <s v="Low"/>
    <s v="Yes"/>
    <n v="103788"/>
    <n v="105211"/>
    <x v="0"/>
    <n v="35"/>
    <x v="0"/>
    <n v="5"/>
    <n v="-7.08"/>
    <n v="1423"/>
    <n v="1.3710640921879216"/>
    <s v="Expert"/>
    <s v="Low Impact"/>
  </r>
  <r>
    <s v="E1556"/>
    <n v="59"/>
    <s v="Male"/>
    <s v="PhD"/>
    <x v="5"/>
    <s v="Professor"/>
    <n v="33"/>
    <x v="0"/>
    <s v="Low"/>
    <s v="Yes"/>
    <n v="68057"/>
    <n v="70391"/>
    <x v="0"/>
    <n v="44"/>
    <x v="0"/>
    <n v="9"/>
    <n v="-7.14"/>
    <n v="2334"/>
    <n v="3.4294782314824337"/>
    <s v="Expert"/>
    <s v="Low Impact"/>
  </r>
  <r>
    <s v="E1517"/>
    <n v="33"/>
    <s v="Other"/>
    <s v="High School"/>
    <x v="3"/>
    <s v="Investment Analyst"/>
    <n v="9"/>
    <x v="0"/>
    <s v="Low"/>
    <s v="No"/>
    <n v="40360"/>
    <n v="42372"/>
    <x v="0"/>
    <n v="45"/>
    <x v="1"/>
    <n v="7"/>
    <n v="-7.18"/>
    <n v="2012"/>
    <n v="4.9851337958374629"/>
    <s v="Intermediate"/>
    <s v="Low Impact"/>
  </r>
  <r>
    <s v="E0329"/>
    <n v="23"/>
    <s v="Male"/>
    <s v="PhD"/>
    <x v="3"/>
    <s v="Investment Analyst"/>
    <n v="0"/>
    <x v="0"/>
    <s v="Medium"/>
    <s v="No"/>
    <n v="85731"/>
    <n v="91960"/>
    <x v="1"/>
    <n v="53"/>
    <x v="1"/>
    <n v="9"/>
    <n v="-7.19"/>
    <n v="6229"/>
    <n v="7.2657498454468046"/>
    <s v="Beginner"/>
    <s v="Medium Impact"/>
  </r>
  <r>
    <s v="E1522"/>
    <n v="38"/>
    <s v="Male"/>
    <s v="PhD"/>
    <x v="4"/>
    <s v="Cashier"/>
    <n v="13"/>
    <x v="2"/>
    <s v="Medium"/>
    <s v="No"/>
    <n v="75530"/>
    <n v="76795"/>
    <x v="1"/>
    <n v="40"/>
    <x v="0"/>
    <n v="9"/>
    <n v="-7.2"/>
    <n v="1265"/>
    <n v="1.674831192903482"/>
    <s v="Intermediate"/>
    <s v="Medium Impact"/>
  </r>
  <r>
    <s v="E1329"/>
    <n v="34"/>
    <s v="Male"/>
    <s v="High School"/>
    <x v="4"/>
    <s v="Sales Associate"/>
    <n v="12"/>
    <x v="0"/>
    <s v="High"/>
    <s v="Yes"/>
    <n v="52113"/>
    <n v="52288"/>
    <x v="0"/>
    <n v="51"/>
    <x v="1"/>
    <n v="9"/>
    <n v="-7.23"/>
    <n v="175"/>
    <n v="0.33580872335117917"/>
    <s v="Intermediate"/>
    <s v="Low Impact"/>
  </r>
  <r>
    <s v="E0073"/>
    <n v="26"/>
    <s v="Female"/>
    <s v="High School"/>
    <x v="0"/>
    <s v="Software Engineer"/>
    <n v="2"/>
    <x v="0"/>
    <s v="Low"/>
    <s v="No"/>
    <n v="119112"/>
    <n v="123049"/>
    <x v="0"/>
    <n v="50"/>
    <x v="1"/>
    <n v="3"/>
    <n v="-7.24"/>
    <n v="3937"/>
    <n v="3.3052924978171805"/>
    <s v="Beginner"/>
    <s v="Low Impact"/>
  </r>
  <r>
    <s v="E1723"/>
    <n v="51"/>
    <s v="Other"/>
    <s v="Master"/>
    <x v="3"/>
    <s v="Auditor"/>
    <n v="29"/>
    <x v="0"/>
    <s v="High"/>
    <s v="No"/>
    <n v="91517"/>
    <n v="88623"/>
    <x v="0"/>
    <n v="49"/>
    <x v="1"/>
    <n v="4"/>
    <n v="-7.28"/>
    <n v="-2894"/>
    <n v="-3.1622540074521672"/>
    <s v="Expert"/>
    <s v="Low Impact"/>
  </r>
  <r>
    <s v="E0565"/>
    <n v="35"/>
    <s v="Male"/>
    <s v="Master"/>
    <x v="0"/>
    <s v="DevOps Engineer"/>
    <n v="12"/>
    <x v="1"/>
    <s v="Medium"/>
    <s v="No"/>
    <n v="73939"/>
    <n v="69171"/>
    <x v="1"/>
    <n v="45"/>
    <x v="1"/>
    <n v="8"/>
    <n v="-7.29"/>
    <n v="-4768"/>
    <n v="-6.4485589472402935"/>
    <s v="Intermediate"/>
    <s v="Medium Impact"/>
  </r>
  <r>
    <s v="E1134"/>
    <n v="23"/>
    <s v="Female"/>
    <s v="Master"/>
    <x v="0"/>
    <s v="Software Engineer"/>
    <n v="1"/>
    <x v="1"/>
    <s v="High"/>
    <s v="No"/>
    <n v="56145"/>
    <n v="54331"/>
    <x v="0"/>
    <n v="36"/>
    <x v="0"/>
    <n v="7"/>
    <n v="-7.29"/>
    <n v="-1814"/>
    <n v="-3.230919939442515"/>
    <s v="Beginner"/>
    <s v="Low Impact"/>
  </r>
  <r>
    <s v="E0448"/>
    <n v="23"/>
    <s v="Other"/>
    <s v="PhD"/>
    <x v="3"/>
    <s v="Investment Analyst"/>
    <n v="0"/>
    <x v="1"/>
    <s v="Low"/>
    <s v="No"/>
    <n v="76092"/>
    <n v="83705"/>
    <x v="0"/>
    <n v="36"/>
    <x v="1"/>
    <n v="9"/>
    <n v="-7.33"/>
    <n v="7613"/>
    <n v="10.004993954686432"/>
    <s v="Beginner"/>
    <s v="Low Impact"/>
  </r>
  <r>
    <s v="E1446"/>
    <n v="46"/>
    <s v="Female"/>
    <s v="High School"/>
    <x v="0"/>
    <s v="DevOps Engineer"/>
    <n v="24"/>
    <x v="1"/>
    <s v="Low"/>
    <s v="Yes"/>
    <n v="58013"/>
    <n v="64597"/>
    <x v="0"/>
    <n v="50"/>
    <x v="0"/>
    <n v="6"/>
    <n v="-7.34"/>
    <n v="6584"/>
    <n v="11.349180356127075"/>
    <s v="Expert"/>
    <s v="Low Impact"/>
  </r>
  <r>
    <s v="E1842"/>
    <n v="23"/>
    <s v="Male"/>
    <s v="PhD"/>
    <x v="1"/>
    <s v="Supervisor"/>
    <n v="0"/>
    <x v="2"/>
    <s v="High"/>
    <s v="No"/>
    <n v="82771"/>
    <n v="94216"/>
    <x v="1"/>
    <n v="43"/>
    <x v="1"/>
    <n v="8"/>
    <n v="-7.36"/>
    <n v="11445"/>
    <n v="13.82730666537797"/>
    <s v="Beginner"/>
    <s v="Medium Impact"/>
  </r>
  <r>
    <s v="E0441"/>
    <n v="42"/>
    <s v="Male"/>
    <s v="High School"/>
    <x v="1"/>
    <s v="Supervisor"/>
    <n v="17"/>
    <x v="2"/>
    <s v="Medium"/>
    <s v="No"/>
    <n v="41944"/>
    <n v="40570"/>
    <x v="1"/>
    <n v="49"/>
    <x v="0"/>
    <n v="5"/>
    <n v="-7.36"/>
    <n v="-1374"/>
    <n v="-3.2757962998283423"/>
    <s v="Expert"/>
    <s v="Medium Impact"/>
  </r>
  <r>
    <s v="E0796"/>
    <n v="32"/>
    <s v="Female"/>
    <s v="PhD"/>
    <x v="0"/>
    <s v="DevOps Engineer"/>
    <n v="8"/>
    <x v="2"/>
    <s v="Medium"/>
    <s v="Yes"/>
    <n v="41772"/>
    <n v="34034"/>
    <x v="1"/>
    <n v="47"/>
    <x v="1"/>
    <n v="6"/>
    <n v="-7.43"/>
    <n v="-7738"/>
    <n v="-18.524370391649907"/>
    <s v="Intermediate"/>
    <s v="Medium Impact"/>
  </r>
  <r>
    <s v="E0897"/>
    <n v="36"/>
    <s v="Other"/>
    <s v="High School"/>
    <x v="1"/>
    <s v="Quality Inspector"/>
    <n v="11"/>
    <x v="1"/>
    <s v="Low"/>
    <s v="Yes"/>
    <n v="81028"/>
    <n v="81992"/>
    <x v="0"/>
    <n v="46"/>
    <x v="1"/>
    <n v="4"/>
    <n v="-7.46"/>
    <n v="964"/>
    <n v="1.1897121982524561"/>
    <s v="Intermediate"/>
    <s v="Low Impact"/>
  </r>
  <r>
    <s v="E1743"/>
    <n v="23"/>
    <s v="Other"/>
    <s v="PhD"/>
    <x v="5"/>
    <s v="Teacher"/>
    <n v="0"/>
    <x v="1"/>
    <s v="High"/>
    <s v="Yes"/>
    <n v="46352"/>
    <n v="55057"/>
    <x v="0"/>
    <n v="39"/>
    <x v="0"/>
    <n v="3"/>
    <n v="-7.51"/>
    <n v="8705"/>
    <n v="18.780203658957543"/>
    <s v="Beginner"/>
    <s v="Low Impact"/>
  </r>
  <r>
    <s v="E1094"/>
    <n v="40"/>
    <s v="Male"/>
    <s v="Master"/>
    <x v="1"/>
    <s v="Quality Inspector"/>
    <n v="16"/>
    <x v="2"/>
    <s v="Medium"/>
    <s v="No"/>
    <n v="52784"/>
    <n v="64827"/>
    <x v="1"/>
    <n v="42"/>
    <x v="1"/>
    <n v="7"/>
    <n v="-7.55"/>
    <n v="12043"/>
    <n v="22.815625947256745"/>
    <s v="Expert"/>
    <s v="Medium Impact"/>
  </r>
  <r>
    <s v="E0617"/>
    <n v="29"/>
    <s v="Female"/>
    <s v="Master"/>
    <x v="0"/>
    <s v="DevOps Engineer"/>
    <n v="4"/>
    <x v="1"/>
    <s v="Low"/>
    <s v="Yes"/>
    <n v="105831"/>
    <n v="100187"/>
    <x v="0"/>
    <n v="42"/>
    <x v="0"/>
    <n v="7"/>
    <n v="-7.56"/>
    <n v="-5644"/>
    <n v="-5.3330309644622087"/>
    <s v="Beginner"/>
    <s v="Low Impact"/>
  </r>
  <r>
    <s v="E1048"/>
    <n v="24"/>
    <s v="Other"/>
    <s v="Bachelor"/>
    <x v="5"/>
    <s v="Professor"/>
    <n v="0"/>
    <x v="1"/>
    <s v="Medium"/>
    <s v="No"/>
    <n v="49252"/>
    <n v="58133"/>
    <x v="1"/>
    <n v="42"/>
    <x v="1"/>
    <n v="8"/>
    <n v="-7.61"/>
    <n v="8881"/>
    <n v="18.03175505563226"/>
    <s v="Beginner"/>
    <s v="Medium Impact"/>
  </r>
  <r>
    <s v="E0866"/>
    <n v="34"/>
    <s v="Male"/>
    <s v="Master"/>
    <x v="5"/>
    <s v="Professor"/>
    <n v="11"/>
    <x v="1"/>
    <s v="Low"/>
    <s v="No"/>
    <n v="90139"/>
    <n v="84463"/>
    <x v="0"/>
    <n v="38"/>
    <x v="0"/>
    <n v="4"/>
    <n v="-7.64"/>
    <n v="-5676"/>
    <n v="-6.2969413905190867"/>
    <s v="Intermediate"/>
    <s v="Low Impact"/>
  </r>
  <r>
    <s v="E1197"/>
    <n v="23"/>
    <s v="Female"/>
    <s v="High School"/>
    <x v="2"/>
    <s v="Content Creator"/>
    <n v="0"/>
    <x v="1"/>
    <s v="Medium"/>
    <s v="No"/>
    <n v="52948"/>
    <n v="59840"/>
    <x v="1"/>
    <n v="38"/>
    <x v="1"/>
    <n v="5"/>
    <n v="-7.65"/>
    <n v="6892"/>
    <n v="13.01654453426003"/>
    <s v="Beginner"/>
    <s v="Medium Impact"/>
  </r>
  <r>
    <s v="E0320"/>
    <n v="29"/>
    <s v="Female"/>
    <s v="Master"/>
    <x v="2"/>
    <s v="SEO Specialist"/>
    <n v="7"/>
    <x v="2"/>
    <s v="High"/>
    <s v="No"/>
    <n v="65144"/>
    <n v="67043"/>
    <x v="1"/>
    <n v="51"/>
    <x v="0"/>
    <n v="6"/>
    <n v="-7.66"/>
    <n v="1899"/>
    <n v="2.9150804371853125"/>
    <s v="Intermediate"/>
    <s v="Medium Impact"/>
  </r>
  <r>
    <s v="E1813"/>
    <n v="59"/>
    <s v="Female"/>
    <s v="High School"/>
    <x v="3"/>
    <s v="Investment Analyst"/>
    <n v="35"/>
    <x v="2"/>
    <s v="High"/>
    <s v="No"/>
    <n v="84499"/>
    <n v="105407"/>
    <x v="2"/>
    <n v="40"/>
    <x v="0"/>
    <n v="7"/>
    <n v="-7.68"/>
    <n v="20908"/>
    <n v="24.743488088616434"/>
    <s v="Expert"/>
    <s v="High Impact"/>
  </r>
  <r>
    <s v="E0533"/>
    <n v="48"/>
    <s v="Female"/>
    <s v="Bachelor"/>
    <x v="4"/>
    <s v="Cashier"/>
    <n v="26"/>
    <x v="0"/>
    <s v="Medium"/>
    <s v="Yes"/>
    <n v="58230"/>
    <n v="57626"/>
    <x v="1"/>
    <n v="37"/>
    <x v="1"/>
    <n v="4"/>
    <n v="-7.68"/>
    <n v="-604"/>
    <n v="-1.0372660140820884"/>
    <s v="Expert"/>
    <s v="Medium Impact"/>
  </r>
  <r>
    <s v="E1226"/>
    <n v="46"/>
    <s v="Other"/>
    <s v="High School"/>
    <x v="6"/>
    <s v="Nurse"/>
    <n v="22"/>
    <x v="2"/>
    <s v="Low"/>
    <s v="Yes"/>
    <n v="43663"/>
    <n v="35463"/>
    <x v="0"/>
    <n v="42"/>
    <x v="1"/>
    <n v="7"/>
    <n v="-7.69"/>
    <n v="-8200"/>
    <n v="-18.780202917802256"/>
    <s v="Expert"/>
    <s v="Low Impact"/>
  </r>
  <r>
    <s v="E0126"/>
    <n v="35"/>
    <s v="Male"/>
    <s v="PhD"/>
    <x v="3"/>
    <s v="Auditor"/>
    <n v="9"/>
    <x v="0"/>
    <s v="Medium"/>
    <s v="Yes"/>
    <n v="38567"/>
    <n v="42371"/>
    <x v="1"/>
    <n v="37"/>
    <x v="1"/>
    <n v="5"/>
    <n v="-7.7"/>
    <n v="3804"/>
    <n v="9.8633546814634272"/>
    <s v="Intermediate"/>
    <s v="Medium Impact"/>
  </r>
  <r>
    <s v="E1434"/>
    <n v="44"/>
    <s v="Other"/>
    <s v="Master"/>
    <x v="6"/>
    <s v="Technician"/>
    <n v="19"/>
    <x v="2"/>
    <s v="High"/>
    <s v="Yes"/>
    <n v="119595"/>
    <n v="147064"/>
    <x v="1"/>
    <n v="38"/>
    <x v="1"/>
    <n v="3"/>
    <n v="-7.75"/>
    <n v="27469"/>
    <n v="22.968351519712364"/>
    <s v="Expert"/>
    <s v="Medium Impact"/>
  </r>
  <r>
    <s v="E0544"/>
    <n v="38"/>
    <s v="Male"/>
    <s v="Bachelor"/>
    <x v="4"/>
    <s v="Cashier"/>
    <n v="14"/>
    <x v="1"/>
    <s v="Medium"/>
    <s v="No"/>
    <n v="105945"/>
    <n v="117626"/>
    <x v="1"/>
    <n v="41"/>
    <x v="0"/>
    <n v="3"/>
    <n v="-7.76"/>
    <n v="11681"/>
    <n v="11.025532115720422"/>
    <s v="Intermediate"/>
    <s v="Medium Impact"/>
  </r>
  <r>
    <s v="E0704"/>
    <n v="23"/>
    <s v="Male"/>
    <s v="PhD"/>
    <x v="4"/>
    <s v="Cashier"/>
    <n v="0"/>
    <x v="1"/>
    <s v="High"/>
    <s v="No"/>
    <n v="68751"/>
    <n v="79419"/>
    <x v="0"/>
    <n v="45"/>
    <x v="1"/>
    <n v="3"/>
    <n v="-7.91"/>
    <n v="10668"/>
    <n v="15.516865209233321"/>
    <s v="Beginner"/>
    <s v="Low Impact"/>
  </r>
  <r>
    <s v="E1761"/>
    <n v="59"/>
    <s v="Male"/>
    <s v="Bachelor"/>
    <x v="0"/>
    <s v="Data Analyst"/>
    <n v="37"/>
    <x v="1"/>
    <s v="High"/>
    <s v="Yes"/>
    <n v="69963"/>
    <n v="72092"/>
    <x v="0"/>
    <n v="43"/>
    <x v="0"/>
    <n v="9"/>
    <n v="-7.95"/>
    <n v="2129"/>
    <n v="3.0430370338607551"/>
    <s v="Expert"/>
    <s v="Low Impact"/>
  </r>
  <r>
    <s v="E1203"/>
    <n v="30"/>
    <s v="Male"/>
    <s v="Master"/>
    <x v="6"/>
    <s v="Doctor"/>
    <n v="4"/>
    <x v="2"/>
    <s v="High"/>
    <s v="Yes"/>
    <n v="111867"/>
    <n v="155127"/>
    <x v="1"/>
    <n v="37"/>
    <x v="1"/>
    <n v="7"/>
    <n v="-7.97"/>
    <n v="43260"/>
    <n v="38.670921719541958"/>
    <s v="Beginner"/>
    <s v="Medium Impact"/>
  </r>
  <r>
    <s v="E0223"/>
    <n v="38"/>
    <s v="Other"/>
    <s v="High School"/>
    <x v="3"/>
    <s v="Investment Analyst"/>
    <n v="13"/>
    <x v="2"/>
    <s v="Medium"/>
    <s v="No"/>
    <n v="81027"/>
    <n v="85741"/>
    <x v="1"/>
    <n v="36"/>
    <x v="1"/>
    <n v="5"/>
    <n v="-7.97"/>
    <n v="4714"/>
    <n v="5.8178138151480372"/>
    <s v="Intermediate"/>
    <s v="Medium Impact"/>
  </r>
  <r>
    <s v="E0789"/>
    <n v="22"/>
    <s v="Female"/>
    <s v="Bachelor"/>
    <x v="6"/>
    <s v="Nurse"/>
    <n v="0"/>
    <x v="2"/>
    <s v="Medium"/>
    <s v="Yes"/>
    <n v="67344"/>
    <n v="64736"/>
    <x v="1"/>
    <n v="52"/>
    <x v="1"/>
    <n v="4"/>
    <n v="-8.08"/>
    <n v="-2608"/>
    <n v="-3.8726538370159185"/>
    <s v="Beginner"/>
    <s v="Medium Impact"/>
  </r>
  <r>
    <s v="E1488"/>
    <n v="37"/>
    <s v="Other"/>
    <s v="Bachelor"/>
    <x v="5"/>
    <s v="Teacher"/>
    <n v="15"/>
    <x v="2"/>
    <s v="Medium"/>
    <s v="Yes"/>
    <n v="64293"/>
    <n v="58173"/>
    <x v="1"/>
    <n v="48"/>
    <x v="1"/>
    <n v="5"/>
    <n v="-8.08"/>
    <n v="-6120"/>
    <n v="-9.5189211889319214"/>
    <s v="Expert"/>
    <s v="Medium Impact"/>
  </r>
  <r>
    <s v="E0356"/>
    <n v="42"/>
    <s v="Female"/>
    <s v="Bachelor"/>
    <x v="4"/>
    <s v="Cashier"/>
    <n v="19"/>
    <x v="1"/>
    <s v="High"/>
    <s v="No"/>
    <n v="58228"/>
    <n v="63832"/>
    <x v="0"/>
    <n v="51"/>
    <x v="1"/>
    <n v="5"/>
    <n v="-8.11"/>
    <n v="5604"/>
    <n v="9.6242357628632274"/>
    <s v="Expert"/>
    <s v="Low Impact"/>
  </r>
  <r>
    <s v="E1351"/>
    <n v="46"/>
    <s v="Female"/>
    <s v="High School"/>
    <x v="2"/>
    <s v="Content Creator"/>
    <n v="20"/>
    <x v="0"/>
    <s v="Low"/>
    <s v="No"/>
    <n v="67905"/>
    <n v="73593"/>
    <x v="0"/>
    <n v="49"/>
    <x v="1"/>
    <n v="7"/>
    <n v="-8.2100000000000009"/>
    <n v="5688"/>
    <n v="8.3764082173624921"/>
    <s v="Expert"/>
    <s v="Low Impact"/>
  </r>
  <r>
    <s v="E0040"/>
    <n v="51"/>
    <s v="Male"/>
    <s v="Bachelor"/>
    <x v="4"/>
    <s v="Cashier"/>
    <n v="29"/>
    <x v="1"/>
    <s v="High"/>
    <s v="No"/>
    <n v="69790"/>
    <n v="73122"/>
    <x v="0"/>
    <n v="50"/>
    <x v="0"/>
    <n v="5"/>
    <n v="-8.2899999999999991"/>
    <n v="3332"/>
    <n v="4.7743229689067208"/>
    <s v="Expert"/>
    <s v="Low Impact"/>
  </r>
  <r>
    <s v="E0270"/>
    <n v="36"/>
    <s v="Other"/>
    <s v="High School"/>
    <x v="0"/>
    <s v="Data Analyst"/>
    <n v="11"/>
    <x v="2"/>
    <s v="High"/>
    <s v="Yes"/>
    <n v="108612"/>
    <n v="118116"/>
    <x v="1"/>
    <n v="48"/>
    <x v="0"/>
    <n v="7"/>
    <n v="-8.33"/>
    <n v="9504"/>
    <n v="8.7504143188597947"/>
    <s v="Intermediate"/>
    <s v="Medium Impact"/>
  </r>
  <r>
    <s v="E1794"/>
    <n v="33"/>
    <s v="Female"/>
    <s v="PhD"/>
    <x v="2"/>
    <s v="Content Creator"/>
    <n v="10"/>
    <x v="1"/>
    <s v="Medium"/>
    <s v="Yes"/>
    <n v="73016"/>
    <n v="85706"/>
    <x v="1"/>
    <n v="42"/>
    <x v="0"/>
    <n v="5"/>
    <n v="-8.43"/>
    <n v="12690"/>
    <n v="17.379752383039335"/>
    <s v="Intermediate"/>
    <s v="Medium Impact"/>
  </r>
  <r>
    <s v="E0645"/>
    <n v="49"/>
    <s v="Female"/>
    <s v="Bachelor"/>
    <x v="0"/>
    <s v="Data Analyst"/>
    <n v="25"/>
    <x v="2"/>
    <s v="High"/>
    <s v="Yes"/>
    <n v="87616"/>
    <n v="104440"/>
    <x v="1"/>
    <n v="36"/>
    <x v="0"/>
    <n v="8"/>
    <n v="-8.4600000000000009"/>
    <n v="16824"/>
    <n v="19.201972242512781"/>
    <s v="Expert"/>
    <s v="Medium Impact"/>
  </r>
  <r>
    <s v="E1018"/>
    <n v="51"/>
    <s v="Other"/>
    <s v="High School"/>
    <x v="0"/>
    <s v="Data Analyst"/>
    <n v="28"/>
    <x v="0"/>
    <s v="High"/>
    <s v="No"/>
    <n v="51304"/>
    <n v="56119"/>
    <x v="0"/>
    <n v="42"/>
    <x v="1"/>
    <n v="3"/>
    <n v="-8.4600000000000009"/>
    <n v="4815"/>
    <n v="9.3852331202245445"/>
    <s v="Expert"/>
    <s v="Low Impact"/>
  </r>
  <r>
    <s v="E1026"/>
    <n v="45"/>
    <s v="Male"/>
    <s v="Master"/>
    <x v="3"/>
    <s v="Investment Analyst"/>
    <n v="22"/>
    <x v="0"/>
    <s v="Medium"/>
    <s v="No"/>
    <n v="35544"/>
    <n v="36391"/>
    <x v="1"/>
    <n v="40"/>
    <x v="1"/>
    <n v="8"/>
    <n v="-8.4600000000000009"/>
    <n v="847"/>
    <n v="2.3829619626378573"/>
    <s v="Expert"/>
    <s v="Medium Impact"/>
  </r>
  <r>
    <s v="E1901"/>
    <n v="24"/>
    <s v="Female"/>
    <s v="High School"/>
    <x v="1"/>
    <s v="Machine Operator"/>
    <n v="0"/>
    <x v="1"/>
    <s v="High"/>
    <s v="Yes"/>
    <n v="55727"/>
    <n v="57394"/>
    <x v="0"/>
    <n v="40"/>
    <x v="0"/>
    <n v="6"/>
    <n v="-8.48"/>
    <n v="1667"/>
    <n v="2.9913686363881062"/>
    <s v="Beginner"/>
    <s v="Low Impact"/>
  </r>
  <r>
    <s v="E1312"/>
    <n v="29"/>
    <s v="Other"/>
    <s v="Master"/>
    <x v="2"/>
    <s v="Content Creator"/>
    <n v="6"/>
    <x v="2"/>
    <s v="High"/>
    <s v="Yes"/>
    <n v="106772"/>
    <n v="110638"/>
    <x v="2"/>
    <n v="36"/>
    <x v="0"/>
    <n v="5"/>
    <n v="-8.49"/>
    <n v="3866"/>
    <n v="3.6207994605327238"/>
    <s v="Intermediate"/>
    <s v="High Impact"/>
  </r>
  <r>
    <s v="E0378"/>
    <n v="56"/>
    <s v="Other"/>
    <s v="Bachelor"/>
    <x v="6"/>
    <s v="Nurse"/>
    <n v="31"/>
    <x v="0"/>
    <s v="Low"/>
    <s v="Yes"/>
    <n v="75096"/>
    <n v="79673"/>
    <x v="0"/>
    <n v="45"/>
    <x v="0"/>
    <n v="3"/>
    <n v="-8.52"/>
    <n v="4577"/>
    <n v="6.0948652391605416"/>
    <s v="Expert"/>
    <s v="Low Impact"/>
  </r>
  <r>
    <s v="E1090"/>
    <n v="54"/>
    <s v="Male"/>
    <s v="PhD"/>
    <x v="0"/>
    <s v="Data Analyst"/>
    <n v="31"/>
    <x v="1"/>
    <s v="Medium"/>
    <s v="Yes"/>
    <n v="52301"/>
    <n v="55224"/>
    <x v="1"/>
    <n v="52"/>
    <x v="1"/>
    <n v="5"/>
    <n v="-8.57"/>
    <n v="2923"/>
    <n v="5.5888032733599742"/>
    <s v="Expert"/>
    <s v="Medium Impact"/>
  </r>
  <r>
    <s v="E0738"/>
    <n v="28"/>
    <s v="Male"/>
    <s v="Master"/>
    <x v="5"/>
    <s v="Administrator"/>
    <n v="4"/>
    <x v="0"/>
    <s v="Medium"/>
    <s v="Yes"/>
    <n v="118422"/>
    <n v="120781"/>
    <x v="1"/>
    <n v="40"/>
    <x v="1"/>
    <n v="8"/>
    <n v="-8.6"/>
    <n v="2359"/>
    <n v="1.9920285082163787"/>
    <s v="Beginner"/>
    <s v="Medium Impact"/>
  </r>
  <r>
    <s v="E0532"/>
    <n v="26"/>
    <s v="Other"/>
    <s v="Master"/>
    <x v="2"/>
    <s v="Content Creator"/>
    <n v="1"/>
    <x v="0"/>
    <s v="High"/>
    <s v="No"/>
    <n v="55917"/>
    <n v="57780"/>
    <x v="0"/>
    <n v="54"/>
    <x v="0"/>
    <n v="3"/>
    <n v="-8.61"/>
    <n v="1863"/>
    <n v="3.3317238049251565"/>
    <s v="Beginner"/>
    <s v="Low Impact"/>
  </r>
  <r>
    <s v="E1157"/>
    <n v="32"/>
    <s v="Male"/>
    <s v="Master"/>
    <x v="6"/>
    <s v="Technician"/>
    <n v="6"/>
    <x v="0"/>
    <s v="High"/>
    <s v="No"/>
    <n v="59299"/>
    <n v="62777"/>
    <x v="0"/>
    <n v="52"/>
    <x v="1"/>
    <n v="4"/>
    <n v="-8.6300000000000008"/>
    <n v="3478"/>
    <n v="5.8651916558457984"/>
    <s v="Intermediate"/>
    <s v="Low Impact"/>
  </r>
  <r>
    <s v="E1275"/>
    <n v="48"/>
    <s v="Male"/>
    <s v="PhD"/>
    <x v="3"/>
    <s v="Investment Analyst"/>
    <n v="25"/>
    <x v="1"/>
    <s v="High"/>
    <s v="No"/>
    <n v="32108"/>
    <n v="36007"/>
    <x v="0"/>
    <n v="48"/>
    <x v="1"/>
    <n v="9"/>
    <n v="-8.65"/>
    <n v="3899"/>
    <n v="12.143391055188738"/>
    <s v="Expert"/>
    <s v="Low Impact"/>
  </r>
  <r>
    <s v="E0995"/>
    <n v="57"/>
    <s v="Other"/>
    <s v="Bachelor"/>
    <x v="1"/>
    <s v="Quality Inspector"/>
    <n v="32"/>
    <x v="1"/>
    <s v="Low"/>
    <s v="Yes"/>
    <n v="80508"/>
    <n v="79741"/>
    <x v="0"/>
    <n v="50"/>
    <x v="1"/>
    <n v="8"/>
    <n v="-8.6999999999999993"/>
    <n v="-767"/>
    <n v="-0.95270035275997411"/>
    <s v="Expert"/>
    <s v="Low Impact"/>
  </r>
  <r>
    <s v="E0585"/>
    <n v="23"/>
    <s v="Male"/>
    <s v="Bachelor"/>
    <x v="2"/>
    <s v="Digital Marketer"/>
    <n v="0"/>
    <x v="1"/>
    <s v="Low"/>
    <s v="Yes"/>
    <n v="71609"/>
    <n v="75341"/>
    <x v="0"/>
    <n v="51"/>
    <x v="0"/>
    <n v="4"/>
    <n v="-8.7200000000000006"/>
    <n v="3732"/>
    <n v="5.2116354089569743"/>
    <s v="Beginner"/>
    <s v="Low Impact"/>
  </r>
  <r>
    <s v="E1904"/>
    <n v="32"/>
    <s v="Other"/>
    <s v="Bachelor"/>
    <x v="4"/>
    <s v="Store Manager"/>
    <n v="7"/>
    <x v="2"/>
    <s v="High"/>
    <s v="No"/>
    <n v="34507"/>
    <n v="38929"/>
    <x v="2"/>
    <n v="45"/>
    <x v="1"/>
    <n v="5"/>
    <n v="-8.77"/>
    <n v="4422"/>
    <n v="12.814791201785145"/>
    <s v="Intermediate"/>
    <s v="High Impact"/>
  </r>
  <r>
    <s v="E0177"/>
    <n v="38"/>
    <s v="Other"/>
    <s v="High School"/>
    <x v="3"/>
    <s v="Accountant"/>
    <n v="15"/>
    <x v="0"/>
    <s v="Medium"/>
    <s v="Yes"/>
    <n v="66408"/>
    <n v="67530"/>
    <x v="1"/>
    <n v="50"/>
    <x v="0"/>
    <n v="5"/>
    <n v="-8.89"/>
    <n v="1122"/>
    <n v="1.6895554752439466"/>
    <s v="Expert"/>
    <s v="Medium Impact"/>
  </r>
  <r>
    <s v="E0273"/>
    <n v="52"/>
    <s v="Female"/>
    <s v="Master"/>
    <x v="0"/>
    <s v="Software Engineer"/>
    <n v="27"/>
    <x v="1"/>
    <s v="Low"/>
    <s v="No"/>
    <n v="78713"/>
    <n v="89727"/>
    <x v="0"/>
    <n v="51"/>
    <x v="1"/>
    <n v="4"/>
    <n v="-8.92"/>
    <n v="11014"/>
    <n v="13.992606049826586"/>
    <s v="Expert"/>
    <s v="Low Impact"/>
  </r>
  <r>
    <s v="E0761"/>
    <n v="36"/>
    <s v="Female"/>
    <s v="Bachelor"/>
    <x v="1"/>
    <s v="Supervisor"/>
    <n v="10"/>
    <x v="1"/>
    <s v="Low"/>
    <s v="Yes"/>
    <n v="81322"/>
    <n v="77175"/>
    <x v="0"/>
    <n v="49"/>
    <x v="1"/>
    <n v="5"/>
    <n v="-8.93"/>
    <n v="-4147"/>
    <n v="-5.0994810752317949"/>
    <s v="Intermediate"/>
    <s v="Low Impact"/>
  </r>
  <r>
    <s v="E0920"/>
    <n v="29"/>
    <s v="Male"/>
    <s v="Bachelor"/>
    <x v="4"/>
    <s v="Cashier"/>
    <n v="7"/>
    <x v="0"/>
    <s v="High"/>
    <s v="No"/>
    <n v="112800"/>
    <n v="111928"/>
    <x v="0"/>
    <n v="51"/>
    <x v="0"/>
    <n v="3"/>
    <n v="-8.94"/>
    <n v="-872"/>
    <n v="-0.77304964539007093"/>
    <s v="Intermediate"/>
    <s v="Low Impact"/>
  </r>
  <r>
    <s v="E1769"/>
    <n v="30"/>
    <s v="Female"/>
    <s v="Bachelor"/>
    <x v="4"/>
    <s v="Sales Associate"/>
    <n v="8"/>
    <x v="2"/>
    <s v="High"/>
    <s v="No"/>
    <n v="47868"/>
    <n v="45256"/>
    <x v="1"/>
    <n v="49"/>
    <x v="0"/>
    <n v="4"/>
    <n v="-8.94"/>
    <n v="-2612"/>
    <n v="-5.4566725160859031"/>
    <s v="Intermediate"/>
    <s v="Medium Impact"/>
  </r>
  <r>
    <s v="E0357"/>
    <n v="46"/>
    <s v="Other"/>
    <s v="PhD"/>
    <x v="6"/>
    <s v="Technician"/>
    <n v="20"/>
    <x v="1"/>
    <s v="Medium"/>
    <s v="Yes"/>
    <n v="59055"/>
    <n v="70287"/>
    <x v="1"/>
    <n v="35"/>
    <x v="0"/>
    <n v="4"/>
    <n v="-9.02"/>
    <n v="11232"/>
    <n v="19.019558039116077"/>
    <s v="Expert"/>
    <s v="Medium Impact"/>
  </r>
  <r>
    <s v="E0460"/>
    <n v="44"/>
    <s v="Female"/>
    <s v="Master"/>
    <x v="6"/>
    <s v="Doctor"/>
    <n v="18"/>
    <x v="2"/>
    <s v="Medium"/>
    <s v="No"/>
    <n v="42180"/>
    <n v="55901"/>
    <x v="1"/>
    <n v="46"/>
    <x v="1"/>
    <n v="5"/>
    <n v="-9.0299999999999994"/>
    <n v="13721"/>
    <n v="32.529634898055946"/>
    <s v="Expert"/>
    <s v="Medium Impact"/>
  </r>
  <r>
    <s v="E1854"/>
    <n v="30"/>
    <s v="Male"/>
    <s v="High School"/>
    <x v="6"/>
    <s v="Technician"/>
    <n v="8"/>
    <x v="0"/>
    <s v="Medium"/>
    <s v="Yes"/>
    <n v="106759"/>
    <n v="104697"/>
    <x v="1"/>
    <n v="45"/>
    <x v="1"/>
    <n v="9"/>
    <n v="-9.11"/>
    <n v="-2062"/>
    <n v="-1.9314530859224983"/>
    <s v="Intermediate"/>
    <s v="Medium Impact"/>
  </r>
  <r>
    <s v="E1418"/>
    <n v="25"/>
    <s v="Other"/>
    <s v="Master"/>
    <x v="2"/>
    <s v="SEO Specialist"/>
    <n v="1"/>
    <x v="2"/>
    <s v="Medium"/>
    <s v="No"/>
    <n v="62543"/>
    <n v="79870"/>
    <x v="1"/>
    <n v="44"/>
    <x v="0"/>
    <n v="4"/>
    <n v="-9.1199999999999992"/>
    <n v="17327"/>
    <n v="27.704139551988234"/>
    <s v="Beginner"/>
    <s v="Medium Impact"/>
  </r>
  <r>
    <s v="E1596"/>
    <n v="24"/>
    <s v="Female"/>
    <s v="Master"/>
    <x v="0"/>
    <s v="DevOps Engineer"/>
    <n v="2"/>
    <x v="0"/>
    <s v="High"/>
    <s v="Yes"/>
    <n v="105166"/>
    <n v="102546"/>
    <x v="0"/>
    <n v="36"/>
    <x v="1"/>
    <n v="3"/>
    <n v="-9.1300000000000008"/>
    <n v="-2620"/>
    <n v="-2.4912994694102659"/>
    <s v="Beginner"/>
    <s v="Low Impact"/>
  </r>
  <r>
    <s v="E1851"/>
    <n v="28"/>
    <s v="Male"/>
    <s v="PhD"/>
    <x v="4"/>
    <s v="Sales Associate"/>
    <n v="3"/>
    <x v="2"/>
    <s v="Medium"/>
    <s v="No"/>
    <n v="72340"/>
    <n v="83915"/>
    <x v="1"/>
    <n v="49"/>
    <x v="0"/>
    <n v="4"/>
    <n v="-9.15"/>
    <n v="11575"/>
    <n v="16.000829416643629"/>
    <s v="Beginner"/>
    <s v="Medium Impact"/>
  </r>
  <r>
    <s v="E1119"/>
    <n v="37"/>
    <s v="Other"/>
    <s v="PhD"/>
    <x v="5"/>
    <s v="Teacher"/>
    <n v="15"/>
    <x v="2"/>
    <s v="Low"/>
    <s v="No"/>
    <n v="60815"/>
    <n v="66637"/>
    <x v="0"/>
    <n v="45"/>
    <x v="1"/>
    <n v="4"/>
    <n v="-9.15"/>
    <n v="5822"/>
    <n v="9.5732960618268521"/>
    <s v="Expert"/>
    <s v="Low Impact"/>
  </r>
  <r>
    <s v="E1718"/>
    <n v="37"/>
    <s v="Other"/>
    <s v="Bachelor"/>
    <x v="5"/>
    <s v="Administrator"/>
    <n v="11"/>
    <x v="0"/>
    <s v="Low"/>
    <s v="Yes"/>
    <n v="102153"/>
    <n v="101319"/>
    <x v="0"/>
    <n v="50"/>
    <x v="1"/>
    <n v="9"/>
    <n v="-9.18"/>
    <n v="-834"/>
    <n v="-0.81642242518575081"/>
    <s v="Intermediate"/>
    <s v="Low Impact"/>
  </r>
  <r>
    <s v="E1438"/>
    <n v="40"/>
    <s v="Other"/>
    <s v="Master"/>
    <x v="1"/>
    <s v="Machine Operator"/>
    <n v="18"/>
    <x v="1"/>
    <s v="Low"/>
    <s v="Yes"/>
    <n v="98232"/>
    <n v="106349"/>
    <x v="0"/>
    <n v="43"/>
    <x v="0"/>
    <n v="9"/>
    <n v="-9.24"/>
    <n v="8117"/>
    <n v="8.2630914569590352"/>
    <s v="Expert"/>
    <s v="Low Impact"/>
  </r>
  <r>
    <s v="E0531"/>
    <n v="29"/>
    <s v="Male"/>
    <s v="Bachelor"/>
    <x v="6"/>
    <s v="Technician"/>
    <n v="6"/>
    <x v="0"/>
    <s v="High"/>
    <s v="No"/>
    <n v="84845"/>
    <n v="87204"/>
    <x v="0"/>
    <n v="40"/>
    <x v="0"/>
    <n v="4"/>
    <n v="-9.24"/>
    <n v="2359"/>
    <n v="2.780364193529377"/>
    <s v="Intermediate"/>
    <s v="Low Impact"/>
  </r>
  <r>
    <s v="E1324"/>
    <n v="37"/>
    <s v="Other"/>
    <s v="Master"/>
    <x v="0"/>
    <s v="DevOps Engineer"/>
    <n v="15"/>
    <x v="2"/>
    <s v="Medium"/>
    <s v="Yes"/>
    <n v="42109"/>
    <n v="41599"/>
    <x v="1"/>
    <n v="40"/>
    <x v="0"/>
    <n v="8"/>
    <n v="-9.27"/>
    <n v="-510"/>
    <n v="-1.2111425111021397"/>
    <s v="Expert"/>
    <s v="Medium Impact"/>
  </r>
  <r>
    <s v="E0279"/>
    <n v="55"/>
    <s v="Male"/>
    <s v="Bachelor"/>
    <x v="0"/>
    <s v="Data Analyst"/>
    <n v="33"/>
    <x v="2"/>
    <s v="High"/>
    <s v="Yes"/>
    <n v="47014"/>
    <n v="52712"/>
    <x v="1"/>
    <n v="39"/>
    <x v="0"/>
    <n v="9"/>
    <n v="-9.2899999999999991"/>
    <n v="5698"/>
    <n v="12.119794103883949"/>
    <s v="Expert"/>
    <s v="Medium Impact"/>
  </r>
  <r>
    <s v="E1631"/>
    <n v="39"/>
    <s v="Female"/>
    <s v="Master"/>
    <x v="5"/>
    <s v="Administrator"/>
    <n v="13"/>
    <x v="1"/>
    <s v="Medium"/>
    <s v="No"/>
    <n v="56467"/>
    <n v="51319"/>
    <x v="1"/>
    <n v="43"/>
    <x v="1"/>
    <n v="9"/>
    <n v="-9.3000000000000007"/>
    <n v="-5148"/>
    <n v="-9.1168292985283443"/>
    <s v="Intermediate"/>
    <s v="Medium Impact"/>
  </r>
  <r>
    <s v="E1158"/>
    <n v="28"/>
    <s v="Other"/>
    <s v="PhD"/>
    <x v="5"/>
    <s v="Administrator"/>
    <n v="5"/>
    <x v="1"/>
    <s v="Medium"/>
    <s v="Yes"/>
    <n v="42881"/>
    <n v="42717"/>
    <x v="1"/>
    <n v="42"/>
    <x v="0"/>
    <n v="6"/>
    <n v="-9.3000000000000007"/>
    <n v="-164"/>
    <n v="-0.38245376740281245"/>
    <s v="Intermediate"/>
    <s v="Medium Impact"/>
  </r>
  <r>
    <s v="E0149"/>
    <n v="47"/>
    <s v="Male"/>
    <s v="PhD"/>
    <x v="2"/>
    <s v="SEO Specialist"/>
    <n v="22"/>
    <x v="1"/>
    <s v="Medium"/>
    <s v="Yes"/>
    <n v="46241"/>
    <n v="50821"/>
    <x v="1"/>
    <n v="54"/>
    <x v="1"/>
    <n v="3"/>
    <n v="-9.32"/>
    <n v="4580"/>
    <n v="9.9046300901797117"/>
    <s v="Expert"/>
    <s v="Medium Impact"/>
  </r>
  <r>
    <s v="E1344"/>
    <n v="34"/>
    <s v="Other"/>
    <s v="Bachelor"/>
    <x v="3"/>
    <s v="Auditor"/>
    <n v="10"/>
    <x v="1"/>
    <s v="High"/>
    <s v="No"/>
    <n v="80481"/>
    <n v="82268"/>
    <x v="0"/>
    <n v="50"/>
    <x v="0"/>
    <n v="7"/>
    <n v="-9.36"/>
    <n v="1787"/>
    <n v="2.2203998459263676"/>
    <s v="Intermediate"/>
    <s v="Low Impact"/>
  </r>
  <r>
    <s v="E1972"/>
    <n v="48"/>
    <s v="Other"/>
    <s v="Bachelor"/>
    <x v="5"/>
    <s v="Teacher"/>
    <n v="24"/>
    <x v="2"/>
    <s v="Low"/>
    <s v="Yes"/>
    <n v="45115"/>
    <n v="40014"/>
    <x v="0"/>
    <n v="39"/>
    <x v="0"/>
    <n v="3"/>
    <n v="-9.36"/>
    <n v="-5101"/>
    <n v="-11.30666075584617"/>
    <s v="Expert"/>
    <s v="Low Impact"/>
  </r>
  <r>
    <s v="E1447"/>
    <n v="42"/>
    <s v="Other"/>
    <s v="Bachelor"/>
    <x v="2"/>
    <s v="Digital Marketer"/>
    <n v="17"/>
    <x v="0"/>
    <s v="High"/>
    <s v="No"/>
    <n v="88726"/>
    <n v="85766"/>
    <x v="0"/>
    <n v="39"/>
    <x v="0"/>
    <n v="8"/>
    <n v="-9.3699999999999992"/>
    <n v="-2960"/>
    <n v="-3.3361134278565472"/>
    <s v="Expert"/>
    <s v="Low Impact"/>
  </r>
  <r>
    <s v="E0256"/>
    <n v="29"/>
    <s v="Male"/>
    <s v="High School"/>
    <x v="3"/>
    <s v="Auditor"/>
    <n v="3"/>
    <x v="2"/>
    <s v="Low"/>
    <s v="Yes"/>
    <n v="43669"/>
    <n v="57681"/>
    <x v="0"/>
    <n v="36"/>
    <x v="1"/>
    <n v="3"/>
    <n v="-9.3699999999999992"/>
    <n v="14012"/>
    <n v="32.086835054615406"/>
    <s v="Beginner"/>
    <s v="Low Impact"/>
  </r>
  <r>
    <s v="E0727"/>
    <n v="22"/>
    <s v="Other"/>
    <s v="Master"/>
    <x v="0"/>
    <s v="DevOps Engineer"/>
    <n v="0"/>
    <x v="1"/>
    <s v="High"/>
    <s v="No"/>
    <n v="94427"/>
    <n v="87722"/>
    <x v="0"/>
    <n v="49"/>
    <x v="0"/>
    <n v="8"/>
    <n v="-9.39"/>
    <n v="-6705"/>
    <n v="-7.1007233100702134"/>
    <s v="Beginner"/>
    <s v="Low Impact"/>
  </r>
  <r>
    <s v="E0307"/>
    <n v="56"/>
    <s v="Other"/>
    <s v="Bachelor"/>
    <x v="2"/>
    <s v="Content Creator"/>
    <n v="32"/>
    <x v="0"/>
    <s v="Medium"/>
    <s v="Yes"/>
    <n v="56715"/>
    <n v="57976"/>
    <x v="1"/>
    <n v="39"/>
    <x v="0"/>
    <n v="8"/>
    <n v="-9.39"/>
    <n v="1261"/>
    <n v="2.2233976902054131"/>
    <s v="Expert"/>
    <s v="Medium Impact"/>
  </r>
  <r>
    <s v="E1698"/>
    <n v="56"/>
    <s v="Female"/>
    <s v="Bachelor"/>
    <x v="4"/>
    <s v="Store Manager"/>
    <n v="33"/>
    <x v="1"/>
    <s v="Low"/>
    <s v="No"/>
    <n v="49056"/>
    <n v="49136"/>
    <x v="0"/>
    <n v="53"/>
    <x v="0"/>
    <n v="9"/>
    <n v="-9.4600000000000009"/>
    <n v="80"/>
    <n v="0.16307893020221786"/>
    <s v="Expert"/>
    <s v="Low Impact"/>
  </r>
  <r>
    <s v="E0916"/>
    <n v="34"/>
    <s v="Other"/>
    <s v="Master"/>
    <x v="3"/>
    <s v="Investment Analyst"/>
    <n v="10"/>
    <x v="0"/>
    <s v="High"/>
    <s v="Yes"/>
    <n v="38605"/>
    <n v="40236"/>
    <x v="0"/>
    <n v="38"/>
    <x v="1"/>
    <n v="6"/>
    <n v="-9.4600000000000009"/>
    <n v="1631"/>
    <n v="4.2248413417951038"/>
    <s v="Intermediate"/>
    <s v="Low Impact"/>
  </r>
  <r>
    <s v="E0168"/>
    <n v="55"/>
    <s v="Female"/>
    <s v="Bachelor"/>
    <x v="0"/>
    <s v="Software Engineer"/>
    <n v="30"/>
    <x v="1"/>
    <s v="Medium"/>
    <s v="Yes"/>
    <n v="76828"/>
    <n v="84473"/>
    <x v="1"/>
    <n v="47"/>
    <x v="0"/>
    <n v="3"/>
    <n v="-9.48"/>
    <n v="7645"/>
    <n v="9.9507991877961164"/>
    <s v="Expert"/>
    <s v="Medium Impact"/>
  </r>
  <r>
    <s v="E1911"/>
    <n v="26"/>
    <s v="Male"/>
    <s v="Bachelor"/>
    <x v="6"/>
    <s v="Nurse"/>
    <n v="2"/>
    <x v="2"/>
    <s v="Low"/>
    <s v="Yes"/>
    <n v="110730"/>
    <n v="134356"/>
    <x v="0"/>
    <n v="43"/>
    <x v="1"/>
    <n v="9"/>
    <n v="-9.5"/>
    <n v="23626"/>
    <n v="21.336584484782804"/>
    <s v="Beginner"/>
    <s v="Low Impact"/>
  </r>
  <r>
    <s v="E1334"/>
    <n v="37"/>
    <s v="Male"/>
    <s v="Bachelor"/>
    <x v="0"/>
    <s v="Data Analyst"/>
    <n v="11"/>
    <x v="2"/>
    <s v="Low"/>
    <s v="Yes"/>
    <n v="109054"/>
    <n v="137291"/>
    <x v="0"/>
    <n v="49"/>
    <x v="0"/>
    <n v="8"/>
    <n v="-9.52"/>
    <n v="28237"/>
    <n v="25.892677022392576"/>
    <s v="Intermediate"/>
    <s v="Low Impact"/>
  </r>
  <r>
    <s v="E0538"/>
    <n v="57"/>
    <s v="Other"/>
    <s v="Master"/>
    <x v="4"/>
    <s v="Sales Associate"/>
    <n v="33"/>
    <x v="1"/>
    <s v="Medium"/>
    <s v="No"/>
    <n v="81707"/>
    <n v="73585"/>
    <x v="1"/>
    <n v="53"/>
    <x v="0"/>
    <n v="4"/>
    <n v="-9.56"/>
    <n v="-8122"/>
    <n v="-9.9403967836293106"/>
    <s v="Expert"/>
    <s v="Medium Impact"/>
  </r>
  <r>
    <s v="E1427"/>
    <n v="22"/>
    <s v="Male"/>
    <s v="PhD"/>
    <x v="1"/>
    <s v="Supervisor"/>
    <n v="0"/>
    <x v="2"/>
    <s v="Low"/>
    <s v="Yes"/>
    <n v="31894"/>
    <n v="28532"/>
    <x v="0"/>
    <n v="50"/>
    <x v="1"/>
    <n v="7"/>
    <n v="-9.56"/>
    <n v="-3362"/>
    <n v="-10.541167617733743"/>
    <s v="Beginner"/>
    <s v="Low Impact"/>
  </r>
  <r>
    <s v="E1845"/>
    <n v="49"/>
    <s v="Other"/>
    <s v="Master"/>
    <x v="4"/>
    <s v="Sales Associate"/>
    <n v="24"/>
    <x v="2"/>
    <s v="High"/>
    <s v="Yes"/>
    <n v="77475"/>
    <n v="68233"/>
    <x v="1"/>
    <n v="38"/>
    <x v="1"/>
    <n v="8"/>
    <n v="-9.6300000000000008"/>
    <n v="-9242"/>
    <n v="-11.929009357857373"/>
    <s v="Expert"/>
    <s v="Medium Impact"/>
  </r>
  <r>
    <s v="E0891"/>
    <n v="33"/>
    <s v="Male"/>
    <s v="Bachelor"/>
    <x v="1"/>
    <s v="Supervisor"/>
    <n v="10"/>
    <x v="0"/>
    <s v="High"/>
    <s v="Yes"/>
    <n v="76900"/>
    <n v="74361"/>
    <x v="0"/>
    <n v="50"/>
    <x v="1"/>
    <n v="7"/>
    <n v="-9.69"/>
    <n v="-2539"/>
    <n v="-3.3016905071521454"/>
    <s v="Intermediate"/>
    <s v="Low Impact"/>
  </r>
  <r>
    <s v="E1153"/>
    <n v="27"/>
    <s v="Other"/>
    <s v="High School"/>
    <x v="4"/>
    <s v="Store Manager"/>
    <n v="3"/>
    <x v="2"/>
    <s v="Low"/>
    <s v="No"/>
    <n v="115184"/>
    <n v="148704"/>
    <x v="0"/>
    <n v="46"/>
    <x v="0"/>
    <n v="8"/>
    <n v="-9.6999999999999993"/>
    <n v="33520"/>
    <n v="29.101264064453396"/>
    <s v="Beginner"/>
    <s v="Low Impact"/>
  </r>
  <r>
    <s v="E1758"/>
    <n v="44"/>
    <s v="Male"/>
    <s v="Master"/>
    <x v="3"/>
    <s v="Accountant"/>
    <n v="20"/>
    <x v="0"/>
    <s v="Low"/>
    <s v="No"/>
    <n v="113576"/>
    <n v="109502"/>
    <x v="0"/>
    <n v="52"/>
    <x v="0"/>
    <n v="8"/>
    <n v="-9.6999999999999993"/>
    <n v="-4074"/>
    <n v="-3.5870254279073048"/>
    <s v="Expert"/>
    <s v="Low Impact"/>
  </r>
  <r>
    <s v="E0697"/>
    <n v="57"/>
    <s v="Other"/>
    <s v="PhD"/>
    <x v="0"/>
    <s v="Data Analyst"/>
    <n v="34"/>
    <x v="1"/>
    <s v="Low"/>
    <s v="Yes"/>
    <n v="65733"/>
    <n v="61635"/>
    <x v="0"/>
    <n v="38"/>
    <x v="1"/>
    <n v="8"/>
    <n v="-9.7200000000000006"/>
    <n v="-4098"/>
    <n v="-6.2343115330199446"/>
    <s v="Expert"/>
    <s v="Low Impact"/>
  </r>
  <r>
    <s v="E1555"/>
    <n v="41"/>
    <s v="Other"/>
    <s v="Bachelor"/>
    <x v="1"/>
    <s v="Quality Inspector"/>
    <n v="19"/>
    <x v="1"/>
    <s v="High"/>
    <s v="No"/>
    <n v="66303"/>
    <n v="67600"/>
    <x v="0"/>
    <n v="36"/>
    <x v="1"/>
    <n v="9"/>
    <n v="-9.7899999999999991"/>
    <n v="1297"/>
    <n v="1.9561709123267423"/>
    <s v="Expert"/>
    <s v="Low Impact"/>
  </r>
  <r>
    <s v="E1475"/>
    <n v="55"/>
    <s v="Male"/>
    <s v="High School"/>
    <x v="1"/>
    <s v="Supervisor"/>
    <n v="30"/>
    <x v="1"/>
    <s v="High"/>
    <s v="No"/>
    <n v="36487"/>
    <n v="38920"/>
    <x v="0"/>
    <n v="43"/>
    <x v="1"/>
    <n v="5"/>
    <n v="-9.7899999999999991"/>
    <n v="2433"/>
    <n v="6.6681283744895445"/>
    <s v="Expert"/>
    <s v="Low Impact"/>
  </r>
  <r>
    <s v="E0246"/>
    <n v="52"/>
    <s v="Male"/>
    <s v="Master"/>
    <x v="2"/>
    <s v="SEO Specialist"/>
    <n v="28"/>
    <x v="0"/>
    <s v="Medium"/>
    <s v="No"/>
    <n v="82233"/>
    <n v="79027"/>
    <x v="1"/>
    <n v="44"/>
    <x v="0"/>
    <n v="7"/>
    <n v="-9.81"/>
    <n v="-3206"/>
    <n v="-3.8986781462429927"/>
    <s v="Expert"/>
    <s v="Medium Impact"/>
  </r>
  <r>
    <s v="E0769"/>
    <n v="35"/>
    <s v="Other"/>
    <s v="Master"/>
    <x v="4"/>
    <s v="Cashier"/>
    <n v="10"/>
    <x v="2"/>
    <s v="Low"/>
    <s v="No"/>
    <n v="57281"/>
    <n v="68933"/>
    <x v="0"/>
    <n v="53"/>
    <x v="1"/>
    <n v="5"/>
    <n v="-9.81"/>
    <n v="11652"/>
    <n v="20.341823641347041"/>
    <s v="Intermediate"/>
    <s v="Low Impact"/>
  </r>
  <r>
    <s v="E1591"/>
    <n v="55"/>
    <s v="Male"/>
    <s v="PhD"/>
    <x v="1"/>
    <s v="Machine Operator"/>
    <n v="32"/>
    <x v="1"/>
    <s v="Low"/>
    <s v="No"/>
    <n v="102467"/>
    <n v="107469"/>
    <x v="0"/>
    <n v="45"/>
    <x v="0"/>
    <n v="7"/>
    <n v="-9.85"/>
    <n v="5002"/>
    <n v="4.8815716279387509"/>
    <s v="Expert"/>
    <s v="Low Impact"/>
  </r>
  <r>
    <s v="E1609"/>
    <n v="50"/>
    <s v="Other"/>
    <s v="Bachelor"/>
    <x v="1"/>
    <s v="Machine Operator"/>
    <n v="26"/>
    <x v="1"/>
    <s v="Medium"/>
    <s v="No"/>
    <n v="102793"/>
    <n v="99982"/>
    <x v="1"/>
    <n v="42"/>
    <x v="1"/>
    <n v="8"/>
    <n v="-9.86"/>
    <n v="-2811"/>
    <n v="-2.7346220073351297"/>
    <s v="Expert"/>
    <s v="Medium Impact"/>
  </r>
  <r>
    <s v="E1058"/>
    <n v="31"/>
    <s v="Other"/>
    <s v="High School"/>
    <x v="6"/>
    <s v="Technician"/>
    <n v="5"/>
    <x v="1"/>
    <s v="Low"/>
    <s v="Yes"/>
    <n v="45882"/>
    <n v="45493"/>
    <x v="0"/>
    <n v="51"/>
    <x v="0"/>
    <n v="9"/>
    <n v="-9.8699999999999992"/>
    <n v="-389"/>
    <n v="-0.84782703456693265"/>
    <s v="Intermediate"/>
    <s v="Low Impact"/>
  </r>
  <r>
    <s v="E1647"/>
    <n v="44"/>
    <s v="Female"/>
    <s v="Bachelor"/>
    <x v="1"/>
    <s v="Quality Inspector"/>
    <n v="18"/>
    <x v="1"/>
    <s v="Low"/>
    <s v="Yes"/>
    <n v="97143"/>
    <n v="90954"/>
    <x v="0"/>
    <n v="40"/>
    <x v="1"/>
    <n v="5"/>
    <n v="-9.8800000000000008"/>
    <n v="-6189"/>
    <n v="-6.3710200426175838"/>
    <s v="Expert"/>
    <s v="Low Impact"/>
  </r>
  <r>
    <s v="E1103"/>
    <n v="57"/>
    <s v="Other"/>
    <s v="Bachelor"/>
    <x v="3"/>
    <s v="Auditor"/>
    <n v="31"/>
    <x v="1"/>
    <s v="Medium"/>
    <s v="Yes"/>
    <n v="58365"/>
    <n v="65568"/>
    <x v="1"/>
    <n v="38"/>
    <x v="1"/>
    <n v="7"/>
    <n v="-9.91"/>
    <n v="7203"/>
    <n v="12.34130043690568"/>
    <s v="Expert"/>
    <s v="Medium Impact"/>
  </r>
  <r>
    <s v="E1214"/>
    <n v="59"/>
    <s v="Female"/>
    <s v="Master"/>
    <x v="6"/>
    <s v="Nurse"/>
    <n v="37"/>
    <x v="1"/>
    <s v="High"/>
    <s v="No"/>
    <n v="92709"/>
    <n v="91573"/>
    <x v="0"/>
    <n v="54"/>
    <x v="1"/>
    <n v="8"/>
    <n v="-9.9499999999999993"/>
    <n v="-1136"/>
    <n v="-1.2253395031766063"/>
    <s v="Expert"/>
    <s v="Low Impact"/>
  </r>
  <r>
    <s v="E1921"/>
    <n v="58"/>
    <s v="Male"/>
    <s v="Bachelor"/>
    <x v="6"/>
    <s v="Nurse"/>
    <n v="36"/>
    <x v="2"/>
    <s v="Low"/>
    <s v="Yes"/>
    <n v="66725"/>
    <n v="69647"/>
    <x v="0"/>
    <n v="52"/>
    <x v="1"/>
    <n v="7"/>
    <n v="-9.99"/>
    <n v="2922"/>
    <n v="4.3791682278006743"/>
    <s v="Expert"/>
    <s v="Low Impact"/>
  </r>
  <r>
    <s v="E0564"/>
    <n v="39"/>
    <s v="Male"/>
    <s v="Bachelor"/>
    <x v="3"/>
    <s v="Accountant"/>
    <n v="17"/>
    <x v="1"/>
    <s v="High"/>
    <s v="Yes"/>
    <n v="94925"/>
    <n v="85977"/>
    <x v="0"/>
    <n v="44"/>
    <x v="1"/>
    <n v="5"/>
    <n v="-10.06"/>
    <n v="-8948"/>
    <n v="-9.4263892546747421"/>
    <s v="Expert"/>
    <s v="Low Impact"/>
  </r>
  <r>
    <s v="E0872"/>
    <n v="26"/>
    <s v="Female"/>
    <s v="PhD"/>
    <x v="6"/>
    <s v="Nurse"/>
    <n v="2"/>
    <x v="1"/>
    <s v="Medium"/>
    <s v="Yes"/>
    <n v="79294"/>
    <n v="81601"/>
    <x v="1"/>
    <n v="39"/>
    <x v="0"/>
    <n v="3"/>
    <n v="-10.07"/>
    <n v="2307"/>
    <n v="2.9094256816404771"/>
    <s v="Beginner"/>
    <s v="Medium Impact"/>
  </r>
  <r>
    <s v="E1863"/>
    <n v="41"/>
    <s v="Other"/>
    <s v="High School"/>
    <x v="0"/>
    <s v="Data Analyst"/>
    <n v="18"/>
    <x v="2"/>
    <s v="High"/>
    <s v="Yes"/>
    <n v="37802"/>
    <n v="49549"/>
    <x v="2"/>
    <n v="42"/>
    <x v="0"/>
    <n v="3"/>
    <n v="-10.07"/>
    <n v="11747"/>
    <n v="31.075075392836361"/>
    <s v="Expert"/>
    <s v="High Impact"/>
  </r>
  <r>
    <s v="E0649"/>
    <n v="33"/>
    <s v="Other"/>
    <s v="Bachelor"/>
    <x v="0"/>
    <s v="Software Engineer"/>
    <n v="10"/>
    <x v="0"/>
    <s v="Medium"/>
    <s v="Yes"/>
    <n v="78003"/>
    <n v="76425"/>
    <x v="1"/>
    <n v="49"/>
    <x v="0"/>
    <n v="6"/>
    <n v="-10.11"/>
    <n v="-1578"/>
    <n v="-2.0229991154186377"/>
    <s v="Intermediate"/>
    <s v="Medium Impact"/>
  </r>
  <r>
    <s v="E1178"/>
    <n v="57"/>
    <s v="Other"/>
    <s v="Bachelor"/>
    <x v="2"/>
    <s v="Content Creator"/>
    <n v="31"/>
    <x v="2"/>
    <s v="Medium"/>
    <s v="Yes"/>
    <n v="93171"/>
    <n v="110096"/>
    <x v="1"/>
    <n v="50"/>
    <x v="0"/>
    <n v="5"/>
    <n v="-10.119999999999999"/>
    <n v="16925"/>
    <n v="18.165523607130972"/>
    <s v="Expert"/>
    <s v="Medium Impact"/>
  </r>
  <r>
    <s v="E1000"/>
    <n v="52"/>
    <s v="Other"/>
    <s v="Bachelor"/>
    <x v="6"/>
    <s v="Doctor"/>
    <n v="28"/>
    <x v="2"/>
    <s v="Low"/>
    <s v="No"/>
    <n v="69390"/>
    <n v="96797"/>
    <x v="0"/>
    <n v="54"/>
    <x v="0"/>
    <n v="8"/>
    <n v="-10.18"/>
    <n v="27407"/>
    <n v="39.497045683816111"/>
    <s v="Expert"/>
    <s v="Low Impact"/>
  </r>
  <r>
    <s v="E0692"/>
    <n v="29"/>
    <s v="Male"/>
    <s v="Bachelor"/>
    <x v="6"/>
    <s v="Technician"/>
    <n v="4"/>
    <x v="2"/>
    <s v="Medium"/>
    <s v="No"/>
    <n v="48443"/>
    <n v="50685"/>
    <x v="1"/>
    <n v="51"/>
    <x v="1"/>
    <n v="6"/>
    <n v="-10.199999999999999"/>
    <n v="2242"/>
    <n v="4.6281196457692548"/>
    <s v="Beginner"/>
    <s v="Medium Impact"/>
  </r>
  <r>
    <s v="E0061"/>
    <n v="53"/>
    <s v="Male"/>
    <s v="High School"/>
    <x v="2"/>
    <s v="SEO Specialist"/>
    <n v="31"/>
    <x v="0"/>
    <s v="High"/>
    <s v="No"/>
    <n v="71975"/>
    <n v="75487"/>
    <x v="0"/>
    <n v="50"/>
    <x v="0"/>
    <n v="9"/>
    <n v="-10.220000000000001"/>
    <n v="3512"/>
    <n v="4.8794720389023967"/>
    <s v="Expert"/>
    <s v="Low Impact"/>
  </r>
  <r>
    <s v="E0747"/>
    <n v="54"/>
    <s v="Male"/>
    <s v="PhD"/>
    <x v="0"/>
    <s v="Software Engineer"/>
    <n v="32"/>
    <x v="0"/>
    <s v="Medium"/>
    <s v="No"/>
    <n v="35867"/>
    <n v="36181"/>
    <x v="1"/>
    <n v="51"/>
    <x v="1"/>
    <n v="6"/>
    <n v="-10.24"/>
    <n v="314"/>
    <n v="0.87545654780160043"/>
    <s v="Expert"/>
    <s v="Medium Impact"/>
  </r>
  <r>
    <s v="E1286"/>
    <n v="35"/>
    <s v="Female"/>
    <s v="High School"/>
    <x v="0"/>
    <s v="DevOps Engineer"/>
    <n v="10"/>
    <x v="0"/>
    <s v="Low"/>
    <s v="No"/>
    <n v="56548"/>
    <n v="54243"/>
    <x v="0"/>
    <n v="40"/>
    <x v="1"/>
    <n v="5"/>
    <n v="-10.25"/>
    <n v="-2305"/>
    <n v="-4.0761830657140834"/>
    <s v="Intermediate"/>
    <s v="Low Impact"/>
  </r>
  <r>
    <s v="E0255"/>
    <n v="37"/>
    <s v="Male"/>
    <s v="High School"/>
    <x v="1"/>
    <s v="Machine Operator"/>
    <n v="14"/>
    <x v="0"/>
    <s v="High"/>
    <s v="Yes"/>
    <n v="73753"/>
    <n v="78173"/>
    <x v="0"/>
    <n v="35"/>
    <x v="0"/>
    <n v="9"/>
    <n v="-10.26"/>
    <n v="4420"/>
    <n v="5.9929765568858215"/>
    <s v="Intermediate"/>
    <s v="Low Impact"/>
  </r>
  <r>
    <s v="E1240"/>
    <n v="39"/>
    <s v="Male"/>
    <s v="High School"/>
    <x v="1"/>
    <s v="Quality Inspector"/>
    <n v="16"/>
    <x v="1"/>
    <s v="High"/>
    <s v="Yes"/>
    <n v="109431"/>
    <n v="120526"/>
    <x v="0"/>
    <n v="44"/>
    <x v="1"/>
    <n v="5"/>
    <n v="-10.27"/>
    <n v="11095"/>
    <n v="10.138808929827928"/>
    <s v="Expert"/>
    <s v="Low Impact"/>
  </r>
  <r>
    <s v="E0490"/>
    <n v="37"/>
    <s v="Female"/>
    <s v="Master"/>
    <x v="4"/>
    <s v="Cashier"/>
    <n v="14"/>
    <x v="1"/>
    <s v="Low"/>
    <s v="Yes"/>
    <n v="80081"/>
    <n v="90266"/>
    <x v="0"/>
    <n v="42"/>
    <x v="0"/>
    <n v="8"/>
    <n v="-10.3"/>
    <n v="10185"/>
    <n v="12.71837264769421"/>
    <s v="Intermediate"/>
    <s v="Low Impact"/>
  </r>
  <r>
    <s v="E1565"/>
    <n v="27"/>
    <s v="Male"/>
    <s v="Master"/>
    <x v="6"/>
    <s v="Technician"/>
    <n v="5"/>
    <x v="2"/>
    <s v="High"/>
    <s v="Yes"/>
    <n v="79648"/>
    <n v="82944"/>
    <x v="1"/>
    <n v="39"/>
    <x v="1"/>
    <n v="9"/>
    <n v="-10.3"/>
    <n v="3296"/>
    <n v="4.1382081157091202"/>
    <s v="Intermediate"/>
    <s v="Medium Impact"/>
  </r>
  <r>
    <s v="E0695"/>
    <n v="24"/>
    <s v="Male"/>
    <s v="Bachelor"/>
    <x v="4"/>
    <s v="Store Manager"/>
    <n v="0"/>
    <x v="0"/>
    <s v="Medium"/>
    <s v="Yes"/>
    <n v="111326"/>
    <n v="114609"/>
    <x v="1"/>
    <n v="44"/>
    <x v="1"/>
    <n v="7"/>
    <n v="-10.32"/>
    <n v="3283"/>
    <n v="2.9489966404972785"/>
    <s v="Beginner"/>
    <s v="Medium Impact"/>
  </r>
  <r>
    <s v="E1840"/>
    <n v="38"/>
    <s v="Female"/>
    <s v="Master"/>
    <x v="0"/>
    <s v="DevOps Engineer"/>
    <n v="13"/>
    <x v="0"/>
    <s v="High"/>
    <s v="Yes"/>
    <n v="117084"/>
    <n v="119609"/>
    <x v="0"/>
    <n v="40"/>
    <x v="0"/>
    <n v="5"/>
    <n v="-10.34"/>
    <n v="2525"/>
    <n v="2.1565713504834139"/>
    <s v="Intermediate"/>
    <s v="Low Impact"/>
  </r>
  <r>
    <s v="E0206"/>
    <n v="53"/>
    <s v="Male"/>
    <s v="PhD"/>
    <x v="6"/>
    <s v="Technician"/>
    <n v="29"/>
    <x v="1"/>
    <s v="Medium"/>
    <s v="No"/>
    <n v="107236"/>
    <n v="120431"/>
    <x v="1"/>
    <n v="38"/>
    <x v="1"/>
    <n v="4"/>
    <n v="-10.35"/>
    <n v="13195"/>
    <n v="12.304636502667014"/>
    <s v="Expert"/>
    <s v="Medium Impact"/>
  </r>
  <r>
    <s v="E1653"/>
    <n v="58"/>
    <s v="Female"/>
    <s v="Bachelor"/>
    <x v="6"/>
    <s v="Technician"/>
    <n v="35"/>
    <x v="2"/>
    <s v="Low"/>
    <s v="No"/>
    <n v="78704"/>
    <n v="76573"/>
    <x v="0"/>
    <n v="45"/>
    <x v="0"/>
    <n v="7"/>
    <n v="-10.38"/>
    <n v="-2131"/>
    <n v="-2.7076133360439116"/>
    <s v="Expert"/>
    <s v="Low Impact"/>
  </r>
  <r>
    <s v="E1217"/>
    <n v="36"/>
    <s v="Female"/>
    <s v="High School"/>
    <x v="1"/>
    <s v="Quality Inspector"/>
    <n v="14"/>
    <x v="0"/>
    <s v="Medium"/>
    <s v="No"/>
    <n v="114629"/>
    <n v="120828"/>
    <x v="1"/>
    <n v="38"/>
    <x v="0"/>
    <n v="4"/>
    <n v="-10.42"/>
    <n v="6199"/>
    <n v="5.4078810772143173"/>
    <s v="Intermediate"/>
    <s v="Medium Impact"/>
  </r>
  <r>
    <s v="E0291"/>
    <n v="53"/>
    <s v="Other"/>
    <s v="High School"/>
    <x v="6"/>
    <s v="Nurse"/>
    <n v="31"/>
    <x v="2"/>
    <s v="Low"/>
    <s v="No"/>
    <n v="106559"/>
    <n v="117652"/>
    <x v="0"/>
    <n v="48"/>
    <x v="1"/>
    <n v="6"/>
    <n v="-10.44"/>
    <n v="11093"/>
    <n v="10.410195290871723"/>
    <s v="Expert"/>
    <s v="Low Impact"/>
  </r>
  <r>
    <s v="E0220"/>
    <n v="36"/>
    <s v="Female"/>
    <s v="Bachelor"/>
    <x v="3"/>
    <s v="Accountant"/>
    <n v="11"/>
    <x v="2"/>
    <s v="High"/>
    <s v="No"/>
    <n v="48639"/>
    <n v="54764"/>
    <x v="2"/>
    <n v="51"/>
    <x v="0"/>
    <n v="7"/>
    <n v="-10.45"/>
    <n v="6125"/>
    <n v="12.592775344887846"/>
    <s v="Intermediate"/>
    <s v="High Impact"/>
  </r>
  <r>
    <s v="E0349"/>
    <n v="45"/>
    <s v="Female"/>
    <s v="Bachelor"/>
    <x v="3"/>
    <s v="Auditor"/>
    <n v="23"/>
    <x v="0"/>
    <s v="Medium"/>
    <s v="Yes"/>
    <n v="73619"/>
    <n v="78391"/>
    <x v="1"/>
    <n v="46"/>
    <x v="0"/>
    <n v="6"/>
    <n v="-10.47"/>
    <n v="4772"/>
    <n v="6.4820223040247757"/>
    <s v="Expert"/>
    <s v="Medium Impact"/>
  </r>
  <r>
    <s v="E0665"/>
    <n v="43"/>
    <s v="Male"/>
    <s v="Bachelor"/>
    <x v="1"/>
    <s v="Machine Operator"/>
    <n v="19"/>
    <x v="1"/>
    <s v="Low"/>
    <s v="No"/>
    <n v="113948"/>
    <n v="129693"/>
    <x v="0"/>
    <n v="51"/>
    <x v="0"/>
    <n v="3"/>
    <n v="-10.5"/>
    <n v="15745"/>
    <n v="13.817706322182048"/>
    <s v="Expert"/>
    <s v="Low Impact"/>
  </r>
  <r>
    <s v="E0001"/>
    <n v="50"/>
    <s v="Female"/>
    <s v="Bachelor"/>
    <x v="2"/>
    <s v="Content Creator"/>
    <n v="26"/>
    <x v="2"/>
    <s v="High"/>
    <s v="Yes"/>
    <n v="106820"/>
    <n v="95455"/>
    <x v="2"/>
    <n v="45"/>
    <x v="0"/>
    <n v="5"/>
    <n v="-10.64"/>
    <n v="-11365"/>
    <n v="-10.63939337202771"/>
    <s v="Expert"/>
    <s v="High Impact"/>
  </r>
  <r>
    <s v="E1495"/>
    <n v="46"/>
    <s v="Other"/>
    <s v="Master"/>
    <x v="0"/>
    <s v="DevOps Engineer"/>
    <n v="22"/>
    <x v="2"/>
    <s v="High"/>
    <s v="No"/>
    <n v="116120"/>
    <n v="126898"/>
    <x v="2"/>
    <n v="43"/>
    <x v="1"/>
    <n v="9"/>
    <n v="-10.71"/>
    <n v="10778"/>
    <n v="9.2817774715811243"/>
    <s v="Expert"/>
    <s v="High Impact"/>
  </r>
  <r>
    <s v="E1281"/>
    <n v="57"/>
    <s v="Other"/>
    <s v="PhD"/>
    <x v="2"/>
    <s v="Digital Marketer"/>
    <n v="33"/>
    <x v="2"/>
    <s v="High"/>
    <s v="Yes"/>
    <n v="38080"/>
    <n v="47181"/>
    <x v="1"/>
    <n v="43"/>
    <x v="0"/>
    <n v="7"/>
    <n v="-10.75"/>
    <n v="9101"/>
    <n v="23.899684873949582"/>
    <s v="Expert"/>
    <s v="Medium Impact"/>
  </r>
  <r>
    <s v="E0737"/>
    <n v="40"/>
    <s v="Male"/>
    <s v="Master"/>
    <x v="1"/>
    <s v="Supervisor"/>
    <n v="15"/>
    <x v="0"/>
    <s v="High"/>
    <s v="No"/>
    <n v="34837"/>
    <n v="36507"/>
    <x v="0"/>
    <n v="37"/>
    <x v="0"/>
    <n v="5"/>
    <n v="-10.76"/>
    <n v="1670"/>
    <n v="4.7937537675460007"/>
    <s v="Expert"/>
    <s v="Low Impact"/>
  </r>
  <r>
    <s v="E0495"/>
    <n v="34"/>
    <s v="Female"/>
    <s v="Bachelor"/>
    <x v="1"/>
    <s v="Quality Inspector"/>
    <n v="8"/>
    <x v="1"/>
    <s v="Low"/>
    <s v="Yes"/>
    <n v="42297"/>
    <n v="49505"/>
    <x v="0"/>
    <n v="36"/>
    <x v="1"/>
    <n v="5"/>
    <n v="-10.77"/>
    <n v="7208"/>
    <n v="17.041397735063953"/>
    <s v="Intermediate"/>
    <s v="Low Impact"/>
  </r>
  <r>
    <s v="E1388"/>
    <n v="51"/>
    <s v="Female"/>
    <s v="Bachelor"/>
    <x v="3"/>
    <s v="Auditor"/>
    <n v="27"/>
    <x v="0"/>
    <s v="Low"/>
    <s v="Yes"/>
    <n v="47529"/>
    <n v="48833"/>
    <x v="0"/>
    <n v="43"/>
    <x v="0"/>
    <n v="7"/>
    <n v="-10.78"/>
    <n v="1304"/>
    <n v="2.7435881251446483"/>
    <s v="Expert"/>
    <s v="Low Impact"/>
  </r>
  <r>
    <s v="E0278"/>
    <n v="57"/>
    <s v="Female"/>
    <s v="PhD"/>
    <x v="1"/>
    <s v="Machine Operator"/>
    <n v="34"/>
    <x v="2"/>
    <s v="Low"/>
    <s v="Yes"/>
    <n v="98576"/>
    <n v="103935"/>
    <x v="0"/>
    <n v="51"/>
    <x v="1"/>
    <n v="5"/>
    <n v="-10.82"/>
    <n v="5359"/>
    <n v="5.4364145430936537"/>
    <s v="Expert"/>
    <s v="Low Impact"/>
  </r>
  <r>
    <s v="E1670"/>
    <n v="26"/>
    <s v="Male"/>
    <s v="Bachelor"/>
    <x v="6"/>
    <s v="Doctor"/>
    <n v="3"/>
    <x v="0"/>
    <s v="Low"/>
    <s v="Yes"/>
    <n v="70498"/>
    <n v="69551"/>
    <x v="0"/>
    <n v="42"/>
    <x v="0"/>
    <n v="3"/>
    <n v="-10.85"/>
    <n v="-947"/>
    <n v="-1.3433005191636642"/>
    <s v="Beginner"/>
    <s v="Low Impact"/>
  </r>
  <r>
    <s v="E0289"/>
    <n v="37"/>
    <s v="Other"/>
    <s v="High School"/>
    <x v="0"/>
    <s v="Software Engineer"/>
    <n v="11"/>
    <x v="0"/>
    <s v="Medium"/>
    <s v="Yes"/>
    <n v="102982"/>
    <n v="104001"/>
    <x v="1"/>
    <n v="39"/>
    <x v="0"/>
    <n v="6"/>
    <n v="-10.86"/>
    <n v="1019"/>
    <n v="0.98949330951039993"/>
    <s v="Intermediate"/>
    <s v="Medium Impact"/>
  </r>
  <r>
    <s v="E0909"/>
    <n v="48"/>
    <s v="Other"/>
    <s v="PhD"/>
    <x v="0"/>
    <s v="Data Analyst"/>
    <n v="24"/>
    <x v="0"/>
    <s v="High"/>
    <s v="Yes"/>
    <n v="58333"/>
    <n v="63154"/>
    <x v="0"/>
    <n v="51"/>
    <x v="0"/>
    <n v="8"/>
    <n v="-10.9"/>
    <n v="4821"/>
    <n v="8.2646186549637424"/>
    <s v="Expert"/>
    <s v="Low Impact"/>
  </r>
  <r>
    <s v="E0028"/>
    <n v="27"/>
    <s v="Male"/>
    <s v="High School"/>
    <x v="5"/>
    <s v="Professor"/>
    <n v="3"/>
    <x v="2"/>
    <s v="Medium"/>
    <s v="Yes"/>
    <n v="110623"/>
    <n v="141487"/>
    <x v="1"/>
    <n v="40"/>
    <x v="1"/>
    <n v="7"/>
    <n v="-10.96"/>
    <n v="30864"/>
    <n v="27.900165426719582"/>
    <s v="Beginner"/>
    <s v="Medium Impact"/>
  </r>
  <r>
    <s v="E1385"/>
    <n v="59"/>
    <s v="Male"/>
    <s v="PhD"/>
    <x v="5"/>
    <s v="Professor"/>
    <n v="36"/>
    <x v="1"/>
    <s v="Low"/>
    <s v="Yes"/>
    <n v="99726"/>
    <n v="114632"/>
    <x v="0"/>
    <n v="41"/>
    <x v="1"/>
    <n v="6"/>
    <n v="-10.98"/>
    <n v="14906"/>
    <n v="14.946954655756773"/>
    <s v="Expert"/>
    <s v="Low Impact"/>
  </r>
  <r>
    <s v="E1917"/>
    <n v="24"/>
    <s v="Other"/>
    <s v="Master"/>
    <x v="4"/>
    <s v="Store Manager"/>
    <n v="0"/>
    <x v="0"/>
    <s v="Medium"/>
    <s v="No"/>
    <n v="52580"/>
    <n v="54418"/>
    <x v="1"/>
    <n v="35"/>
    <x v="1"/>
    <n v="8"/>
    <n v="-11.04"/>
    <n v="1838"/>
    <n v="3.4956257131989346"/>
    <s v="Beginner"/>
    <s v="Medium Impact"/>
  </r>
  <r>
    <s v="E0696"/>
    <n v="58"/>
    <s v="Male"/>
    <s v="Master"/>
    <x v="0"/>
    <s v="Data Analyst"/>
    <n v="34"/>
    <x v="0"/>
    <s v="Low"/>
    <s v="Yes"/>
    <n v="53862"/>
    <n v="52412"/>
    <x v="0"/>
    <n v="40"/>
    <x v="0"/>
    <n v="9"/>
    <n v="-11.05"/>
    <n v="-1450"/>
    <n v="-2.6920649066131968"/>
    <s v="Expert"/>
    <s v="Low Impact"/>
  </r>
  <r>
    <s v="E1968"/>
    <n v="58"/>
    <s v="Male"/>
    <s v="PhD"/>
    <x v="1"/>
    <s v="Quality Inspector"/>
    <n v="36"/>
    <x v="0"/>
    <s v="Medium"/>
    <s v="No"/>
    <n v="92497"/>
    <n v="96691"/>
    <x v="1"/>
    <n v="51"/>
    <x v="1"/>
    <n v="8"/>
    <n v="-11.1"/>
    <n v="4194"/>
    <n v="4.5342011092251635"/>
    <s v="Expert"/>
    <s v="Medium Impact"/>
  </r>
  <r>
    <s v="E0898"/>
    <n v="58"/>
    <s v="Female"/>
    <s v="Bachelor"/>
    <x v="1"/>
    <s v="Supervisor"/>
    <n v="32"/>
    <x v="0"/>
    <s v="High"/>
    <s v="No"/>
    <n v="117892"/>
    <n v="120283"/>
    <x v="0"/>
    <n v="41"/>
    <x v="1"/>
    <n v="7"/>
    <n v="-11.12"/>
    <n v="2391"/>
    <n v="2.0281274386726835"/>
    <s v="Expert"/>
    <s v="Low Impact"/>
  </r>
  <r>
    <s v="E1265"/>
    <n v="26"/>
    <s v="Male"/>
    <s v="Bachelor"/>
    <x v="1"/>
    <s v="Machine Operator"/>
    <n v="3"/>
    <x v="0"/>
    <s v="High"/>
    <s v="Yes"/>
    <n v="108627"/>
    <n v="105204"/>
    <x v="0"/>
    <n v="44"/>
    <x v="0"/>
    <n v="4"/>
    <n v="-11.15"/>
    <n v="-3423"/>
    <n v="-3.1511502665083269"/>
    <s v="Beginner"/>
    <s v="Low Impact"/>
  </r>
  <r>
    <s v="E1357"/>
    <n v="24"/>
    <s v="Female"/>
    <s v="Master"/>
    <x v="5"/>
    <s v="Professor"/>
    <n v="0"/>
    <x v="1"/>
    <s v="Medium"/>
    <s v="No"/>
    <n v="113251"/>
    <n v="108836"/>
    <x v="1"/>
    <n v="40"/>
    <x v="1"/>
    <n v="9"/>
    <n v="-11.19"/>
    <n v="-4415"/>
    <n v="-3.8984203229993555"/>
    <s v="Beginner"/>
    <s v="Medium Impact"/>
  </r>
  <r>
    <s v="E0805"/>
    <n v="34"/>
    <s v="Male"/>
    <s v="High School"/>
    <x v="2"/>
    <s v="SEO Specialist"/>
    <n v="10"/>
    <x v="2"/>
    <s v="Medium"/>
    <s v="No"/>
    <n v="111417"/>
    <n v="140250"/>
    <x v="1"/>
    <n v="52"/>
    <x v="0"/>
    <n v="9"/>
    <n v="-11.2"/>
    <n v="28833"/>
    <n v="25.878456608955545"/>
    <s v="Intermediate"/>
    <s v="Medium Impact"/>
  </r>
  <r>
    <s v="E1611"/>
    <n v="40"/>
    <s v="Other"/>
    <s v="Bachelor"/>
    <x v="0"/>
    <s v="Software Engineer"/>
    <n v="16"/>
    <x v="2"/>
    <s v="Medium"/>
    <s v="Yes"/>
    <n v="52191"/>
    <n v="50525"/>
    <x v="1"/>
    <n v="48"/>
    <x v="1"/>
    <n v="4"/>
    <n v="-11.24"/>
    <n v="-1666"/>
    <n v="-3.1921212469582878"/>
    <s v="Expert"/>
    <s v="Medium Impact"/>
  </r>
  <r>
    <s v="E1078"/>
    <n v="27"/>
    <s v="Male"/>
    <s v="PhD"/>
    <x v="6"/>
    <s v="Doctor"/>
    <n v="3"/>
    <x v="1"/>
    <s v="High"/>
    <s v="No"/>
    <n v="68231"/>
    <n v="64184"/>
    <x v="0"/>
    <n v="39"/>
    <x v="0"/>
    <n v="8"/>
    <n v="-11.26"/>
    <n v="-4047"/>
    <n v="-5.9313215400624353"/>
    <s v="Beginner"/>
    <s v="Low Impact"/>
  </r>
  <r>
    <s v="E1760"/>
    <n v="43"/>
    <s v="Female"/>
    <s v="Master"/>
    <x v="3"/>
    <s v="Accountant"/>
    <n v="19"/>
    <x v="1"/>
    <s v="Medium"/>
    <s v="No"/>
    <n v="33454"/>
    <n v="38752"/>
    <x v="1"/>
    <n v="36"/>
    <x v="1"/>
    <n v="8"/>
    <n v="-11.27"/>
    <n v="5298"/>
    <n v="15.83667125007473"/>
    <s v="Expert"/>
    <s v="Medium Impact"/>
  </r>
  <r>
    <s v="E1139"/>
    <n v="46"/>
    <s v="Other"/>
    <s v="Master"/>
    <x v="3"/>
    <s v="Investment Analyst"/>
    <n v="24"/>
    <x v="1"/>
    <s v="Low"/>
    <s v="Yes"/>
    <n v="71152"/>
    <n v="74769"/>
    <x v="0"/>
    <n v="45"/>
    <x v="1"/>
    <n v="3"/>
    <n v="-11.33"/>
    <n v="3617"/>
    <n v="5.0834832471328983"/>
    <s v="Expert"/>
    <s v="Low Impact"/>
  </r>
  <r>
    <s v="E0134"/>
    <n v="54"/>
    <s v="Female"/>
    <s v="Master"/>
    <x v="1"/>
    <s v="Quality Inspector"/>
    <n v="28"/>
    <x v="0"/>
    <s v="Low"/>
    <s v="Yes"/>
    <n v="94484"/>
    <n v="100794"/>
    <x v="0"/>
    <n v="38"/>
    <x v="1"/>
    <n v="8"/>
    <n v="-11.41"/>
    <n v="6310"/>
    <n v="6.678379408153762"/>
    <s v="Expert"/>
    <s v="Low Impact"/>
  </r>
  <r>
    <s v="E0517"/>
    <n v="38"/>
    <s v="Male"/>
    <s v="Master"/>
    <x v="3"/>
    <s v="Investment Analyst"/>
    <n v="15"/>
    <x v="0"/>
    <s v="Medium"/>
    <s v="No"/>
    <n v="43050"/>
    <n v="41232"/>
    <x v="1"/>
    <n v="40"/>
    <x v="1"/>
    <n v="8"/>
    <n v="-11.47"/>
    <n v="-1818"/>
    <n v="-4.2229965156794425"/>
    <s v="Expert"/>
    <s v="Medium Impact"/>
  </r>
  <r>
    <s v="E0360"/>
    <n v="55"/>
    <s v="Female"/>
    <s v="Bachelor"/>
    <x v="4"/>
    <s v="Sales Associate"/>
    <n v="32"/>
    <x v="2"/>
    <s v="Medium"/>
    <s v="Yes"/>
    <n v="99184"/>
    <n v="104855"/>
    <x v="1"/>
    <n v="50"/>
    <x v="1"/>
    <n v="3"/>
    <n v="-11.54"/>
    <n v="5671"/>
    <n v="5.717656073560252"/>
    <s v="Expert"/>
    <s v="Medium Impact"/>
  </r>
  <r>
    <s v="E0147"/>
    <n v="38"/>
    <s v="Other"/>
    <s v="High School"/>
    <x v="5"/>
    <s v="Administrator"/>
    <n v="14"/>
    <x v="1"/>
    <s v="Low"/>
    <s v="No"/>
    <n v="71914"/>
    <n v="74483"/>
    <x v="0"/>
    <n v="41"/>
    <x v="0"/>
    <n v="6"/>
    <n v="-11.55"/>
    <n v="2569"/>
    <n v="3.5723224963150431"/>
    <s v="Intermediate"/>
    <s v="Low Impact"/>
  </r>
  <r>
    <s v="E1744"/>
    <n v="41"/>
    <s v="Male"/>
    <s v="High School"/>
    <x v="1"/>
    <s v="Machine Operator"/>
    <n v="15"/>
    <x v="2"/>
    <s v="Medium"/>
    <s v="Yes"/>
    <n v="32853"/>
    <n v="44455"/>
    <x v="1"/>
    <n v="37"/>
    <x v="0"/>
    <n v="8"/>
    <n v="-11.55"/>
    <n v="11602"/>
    <n v="35.314887529297174"/>
    <s v="Expert"/>
    <s v="Medium Impact"/>
  </r>
  <r>
    <s v="E0421"/>
    <n v="33"/>
    <s v="Male"/>
    <s v="Master"/>
    <x v="5"/>
    <s v="Professor"/>
    <n v="11"/>
    <x v="0"/>
    <s v="High"/>
    <s v="No"/>
    <n v="47438"/>
    <n v="49963"/>
    <x v="0"/>
    <n v="39"/>
    <x v="0"/>
    <n v="8"/>
    <n v="-11.57"/>
    <n v="2525"/>
    <n v="5.3227370462498413"/>
    <s v="Intermediate"/>
    <s v="Low Impact"/>
  </r>
  <r>
    <s v="E1844"/>
    <n v="35"/>
    <s v="Male"/>
    <s v="Master"/>
    <x v="1"/>
    <s v="Supervisor"/>
    <n v="9"/>
    <x v="2"/>
    <s v="High"/>
    <s v="No"/>
    <n v="108766"/>
    <n v="136079"/>
    <x v="2"/>
    <n v="39"/>
    <x v="0"/>
    <n v="7"/>
    <n v="-11.6"/>
    <n v="27313"/>
    <n v="25.111707702774765"/>
    <s v="Intermediate"/>
    <s v="High Impact"/>
  </r>
  <r>
    <s v="E0132"/>
    <n v="27"/>
    <s v="Male"/>
    <s v="Bachelor"/>
    <x v="4"/>
    <s v="Cashier"/>
    <n v="3"/>
    <x v="0"/>
    <s v="High"/>
    <s v="Yes"/>
    <n v="113122"/>
    <n v="113148"/>
    <x v="0"/>
    <n v="49"/>
    <x v="0"/>
    <n v="9"/>
    <n v="-11.64"/>
    <n v="26"/>
    <n v="2.2984034935733103E-2"/>
    <s v="Beginner"/>
    <s v="Low Impact"/>
  </r>
  <r>
    <s v="E1853"/>
    <n v="35"/>
    <s v="Other"/>
    <s v="Bachelor"/>
    <x v="3"/>
    <s v="Accountant"/>
    <n v="12"/>
    <x v="2"/>
    <s v="High"/>
    <s v="Yes"/>
    <n v="119711"/>
    <n v="138070"/>
    <x v="1"/>
    <n v="50"/>
    <x v="0"/>
    <n v="4"/>
    <n v="-11.65"/>
    <n v="18359"/>
    <n v="15.336101110173669"/>
    <s v="Intermediate"/>
    <s v="Medium Impact"/>
  </r>
  <r>
    <s v="E0837"/>
    <n v="22"/>
    <s v="Male"/>
    <s v="Master"/>
    <x v="1"/>
    <s v="Supervisor"/>
    <n v="0"/>
    <x v="0"/>
    <s v="High"/>
    <s v="No"/>
    <n v="85514"/>
    <n v="90703"/>
    <x v="0"/>
    <n v="42"/>
    <x v="0"/>
    <n v="4"/>
    <n v="-11.66"/>
    <n v="5189"/>
    <n v="6.0680122553032252"/>
    <s v="Beginner"/>
    <s v="Low Impact"/>
  </r>
  <r>
    <s v="E1960"/>
    <n v="37"/>
    <s v="Male"/>
    <s v="Bachelor"/>
    <x v="3"/>
    <s v="Investment Analyst"/>
    <n v="12"/>
    <x v="2"/>
    <s v="Low"/>
    <s v="No"/>
    <n v="102134"/>
    <n v="88678"/>
    <x v="0"/>
    <n v="47"/>
    <x v="1"/>
    <n v="7"/>
    <n v="-11.67"/>
    <n v="-13456"/>
    <n v="-13.174848728141461"/>
    <s v="Intermediate"/>
    <s v="Low Impact"/>
  </r>
  <r>
    <s v="E0867"/>
    <n v="30"/>
    <s v="Male"/>
    <s v="Master"/>
    <x v="2"/>
    <s v="SEO Specialist"/>
    <n v="4"/>
    <x v="2"/>
    <s v="Low"/>
    <s v="No"/>
    <n v="77894"/>
    <n v="80434"/>
    <x v="0"/>
    <n v="36"/>
    <x v="0"/>
    <n v="6"/>
    <n v="-11.7"/>
    <n v="2540"/>
    <n v="3.2608416566102654"/>
    <s v="Beginner"/>
    <s v="Low Impact"/>
  </r>
  <r>
    <s v="E1579"/>
    <n v="56"/>
    <s v="Other"/>
    <s v="High School"/>
    <x v="4"/>
    <s v="Sales Associate"/>
    <n v="34"/>
    <x v="0"/>
    <s v="Medium"/>
    <s v="No"/>
    <n v="94814"/>
    <n v="94757"/>
    <x v="1"/>
    <n v="47"/>
    <x v="0"/>
    <n v="8"/>
    <n v="-11.71"/>
    <n v="-57"/>
    <n v="-6.0117704136519921E-2"/>
    <s v="Expert"/>
    <s v="Medium Impact"/>
  </r>
  <r>
    <s v="E1623"/>
    <n v="59"/>
    <s v="Other"/>
    <s v="Master"/>
    <x v="1"/>
    <s v="Quality Inspector"/>
    <n v="37"/>
    <x v="1"/>
    <s v="High"/>
    <s v="No"/>
    <n v="66394"/>
    <n v="70313"/>
    <x v="0"/>
    <n v="39"/>
    <x v="1"/>
    <n v="7"/>
    <n v="-11.73"/>
    <n v="3919"/>
    <n v="5.9026418049823786"/>
    <s v="Expert"/>
    <s v="Low Impact"/>
  </r>
  <r>
    <s v="E0807"/>
    <n v="55"/>
    <s v="Male"/>
    <s v="Master"/>
    <x v="3"/>
    <s v="Auditor"/>
    <n v="30"/>
    <x v="0"/>
    <s v="Low"/>
    <s v="No"/>
    <n v="43386"/>
    <n v="46822"/>
    <x v="0"/>
    <n v="50"/>
    <x v="1"/>
    <n v="7"/>
    <n v="-11.76"/>
    <n v="3436"/>
    <n v="7.9196054026644536"/>
    <s v="Expert"/>
    <s v="Low Impact"/>
  </r>
  <r>
    <s v="E1529"/>
    <n v="53"/>
    <s v="Male"/>
    <s v="Bachelor"/>
    <x v="6"/>
    <s v="Doctor"/>
    <n v="28"/>
    <x v="2"/>
    <s v="Low"/>
    <s v="No"/>
    <n v="36163"/>
    <n v="37686"/>
    <x v="0"/>
    <n v="49"/>
    <x v="1"/>
    <n v="4"/>
    <n v="-11.78"/>
    <n v="1523"/>
    <n v="4.2114868788540774"/>
    <s v="Expert"/>
    <s v="Low Impact"/>
  </r>
  <r>
    <s v="E1703"/>
    <n v="22"/>
    <s v="Female"/>
    <s v="High School"/>
    <x v="2"/>
    <s v="Digital Marketer"/>
    <n v="0"/>
    <x v="1"/>
    <s v="High"/>
    <s v="Yes"/>
    <n v="119848"/>
    <n v="119636"/>
    <x v="0"/>
    <n v="35"/>
    <x v="1"/>
    <n v="8"/>
    <n v="-11.85"/>
    <n v="-212"/>
    <n v="-0.17689072825579066"/>
    <s v="Beginner"/>
    <s v="Low Impact"/>
  </r>
  <r>
    <s v="E0689"/>
    <n v="42"/>
    <s v="Male"/>
    <s v="Master"/>
    <x v="2"/>
    <s v="Content Creator"/>
    <n v="16"/>
    <x v="0"/>
    <s v="High"/>
    <s v="No"/>
    <n v="70149"/>
    <n v="76897"/>
    <x v="0"/>
    <n v="36"/>
    <x v="1"/>
    <n v="6"/>
    <n v="-11.87"/>
    <n v="6748"/>
    <n v="9.6195241557256708"/>
    <s v="Expert"/>
    <s v="Low Impact"/>
  </r>
  <r>
    <s v="E0745"/>
    <n v="59"/>
    <s v="Male"/>
    <s v="High School"/>
    <x v="1"/>
    <s v="Supervisor"/>
    <n v="37"/>
    <x v="2"/>
    <s v="Low"/>
    <s v="Yes"/>
    <n v="86809"/>
    <n v="107495"/>
    <x v="0"/>
    <n v="51"/>
    <x v="1"/>
    <n v="3"/>
    <n v="-11.88"/>
    <n v="20686"/>
    <n v="23.82932645232637"/>
    <s v="Expert"/>
    <s v="Low Impact"/>
  </r>
  <r>
    <s v="E1976"/>
    <n v="37"/>
    <s v="Male"/>
    <s v="PhD"/>
    <x v="3"/>
    <s v="Auditor"/>
    <n v="14"/>
    <x v="0"/>
    <s v="Medium"/>
    <s v="Yes"/>
    <n v="44633"/>
    <n v="45308"/>
    <x v="1"/>
    <n v="54"/>
    <x v="0"/>
    <n v="3"/>
    <n v="-11.89"/>
    <n v="675"/>
    <n v="1.5123339233302713"/>
    <s v="Intermediate"/>
    <s v="Medium Impact"/>
  </r>
  <r>
    <s v="E1422"/>
    <n v="27"/>
    <s v="Other"/>
    <s v="High School"/>
    <x v="6"/>
    <s v="Doctor"/>
    <n v="5"/>
    <x v="0"/>
    <s v="High"/>
    <s v="Yes"/>
    <n v="96567"/>
    <n v="94607"/>
    <x v="0"/>
    <n v="49"/>
    <x v="1"/>
    <n v="9"/>
    <n v="-11.95"/>
    <n v="-1960"/>
    <n v="-2.029678875806435"/>
    <s v="Intermediate"/>
    <s v="Low Impact"/>
  </r>
  <r>
    <s v="E1038"/>
    <n v="47"/>
    <s v="Other"/>
    <s v="Bachelor"/>
    <x v="2"/>
    <s v="SEO Specialist"/>
    <n v="24"/>
    <x v="0"/>
    <s v="Low"/>
    <s v="No"/>
    <n v="80568"/>
    <n v="84077"/>
    <x v="0"/>
    <n v="35"/>
    <x v="1"/>
    <n v="7"/>
    <n v="-11.96"/>
    <n v="3509"/>
    <n v="4.3553271770429944"/>
    <s v="Expert"/>
    <s v="Low Impact"/>
  </r>
  <r>
    <s v="E1973"/>
    <n v="25"/>
    <s v="Female"/>
    <s v="Master"/>
    <x v="4"/>
    <s v="Cashier"/>
    <n v="1"/>
    <x v="1"/>
    <s v="High"/>
    <s v="Yes"/>
    <n v="73098"/>
    <n v="83315"/>
    <x v="0"/>
    <n v="49"/>
    <x v="0"/>
    <n v="5"/>
    <n v="-12"/>
    <n v="10217"/>
    <n v="13.977126597170923"/>
    <s v="Beginner"/>
    <s v="Low Impact"/>
  </r>
  <r>
    <s v="E1676"/>
    <n v="56"/>
    <s v="Male"/>
    <s v="Bachelor"/>
    <x v="0"/>
    <s v="Software Engineer"/>
    <n v="34"/>
    <x v="0"/>
    <s v="High"/>
    <s v="Yes"/>
    <n v="101975"/>
    <n v="101796"/>
    <x v="0"/>
    <n v="40"/>
    <x v="1"/>
    <n v="4"/>
    <n v="-12.07"/>
    <n v="-179"/>
    <n v="-0.17553321892620741"/>
    <s v="Expert"/>
    <s v="Low Impact"/>
  </r>
  <r>
    <s v="E0755"/>
    <n v="42"/>
    <s v="Male"/>
    <s v="High School"/>
    <x v="0"/>
    <s v="Software Engineer"/>
    <n v="17"/>
    <x v="0"/>
    <s v="Low"/>
    <s v="Yes"/>
    <n v="56140"/>
    <n v="55693"/>
    <x v="0"/>
    <n v="49"/>
    <x v="0"/>
    <n v="4"/>
    <n v="-12.07"/>
    <n v="-447"/>
    <n v="-0.79622372639828998"/>
    <s v="Expert"/>
    <s v="Low Impact"/>
  </r>
  <r>
    <s v="E1576"/>
    <n v="27"/>
    <s v="Male"/>
    <s v="High School"/>
    <x v="2"/>
    <s v="Digital Marketer"/>
    <n v="4"/>
    <x v="1"/>
    <s v="High"/>
    <s v="No"/>
    <n v="63387"/>
    <n v="57628"/>
    <x v="0"/>
    <n v="36"/>
    <x v="1"/>
    <n v="3"/>
    <n v="-12.09"/>
    <n v="-5759"/>
    <n v="-9.085459163550885"/>
    <s v="Beginner"/>
    <s v="Low Impact"/>
  </r>
  <r>
    <s v="E0523"/>
    <n v="34"/>
    <s v="Male"/>
    <s v="High School"/>
    <x v="3"/>
    <s v="Auditor"/>
    <n v="10"/>
    <x v="0"/>
    <s v="Medium"/>
    <s v="Yes"/>
    <n v="88002"/>
    <n v="88836"/>
    <x v="1"/>
    <n v="44"/>
    <x v="1"/>
    <n v="3"/>
    <n v="-12.1"/>
    <n v="834"/>
    <n v="0.94770573396059188"/>
    <s v="Intermediate"/>
    <s v="Medium Impact"/>
  </r>
  <r>
    <s v="E0397"/>
    <n v="50"/>
    <s v="Male"/>
    <s v="PhD"/>
    <x v="4"/>
    <s v="Cashier"/>
    <n v="26"/>
    <x v="1"/>
    <s v="Low"/>
    <s v="Yes"/>
    <n v="58803"/>
    <n v="64855"/>
    <x v="0"/>
    <n v="38"/>
    <x v="1"/>
    <n v="8"/>
    <n v="-12.1"/>
    <n v="6052"/>
    <n v="10.291991905174907"/>
    <s v="Expert"/>
    <s v="Low Impact"/>
  </r>
  <r>
    <s v="E1766"/>
    <n v="42"/>
    <s v="Male"/>
    <s v="High School"/>
    <x v="3"/>
    <s v="Auditor"/>
    <n v="17"/>
    <x v="1"/>
    <s v="Low"/>
    <s v="No"/>
    <n v="69823"/>
    <n v="71935"/>
    <x v="0"/>
    <n v="37"/>
    <x v="0"/>
    <n v="6"/>
    <n v="-12.13"/>
    <n v="2112"/>
    <n v="3.0247912578949632"/>
    <s v="Expert"/>
    <s v="Low Impact"/>
  </r>
  <r>
    <s v="E0245"/>
    <n v="58"/>
    <s v="Male"/>
    <s v="PhD"/>
    <x v="2"/>
    <s v="Content Creator"/>
    <n v="32"/>
    <x v="1"/>
    <s v="High"/>
    <s v="Yes"/>
    <n v="43760"/>
    <n v="49538"/>
    <x v="0"/>
    <n v="47"/>
    <x v="0"/>
    <n v="9"/>
    <n v="-12.15"/>
    <n v="5778"/>
    <n v="13.203839122486288"/>
    <s v="Expert"/>
    <s v="Low Impact"/>
  </r>
  <r>
    <s v="E1857"/>
    <n v="39"/>
    <s v="Female"/>
    <s v="PhD"/>
    <x v="4"/>
    <s v="Store Manager"/>
    <n v="14"/>
    <x v="0"/>
    <s v="High"/>
    <s v="No"/>
    <n v="69925"/>
    <n v="66833"/>
    <x v="0"/>
    <n v="48"/>
    <x v="0"/>
    <n v="9"/>
    <n v="-12.3"/>
    <n v="-3092"/>
    <n v="-4.4218805863425095"/>
    <s v="Intermediate"/>
    <s v="Low Impact"/>
  </r>
  <r>
    <s v="E0354"/>
    <n v="48"/>
    <s v="Other"/>
    <s v="Bachelor"/>
    <x v="3"/>
    <s v="Accountant"/>
    <n v="25"/>
    <x v="0"/>
    <s v="Medium"/>
    <s v="Yes"/>
    <n v="37927"/>
    <n v="39150"/>
    <x v="1"/>
    <n v="50"/>
    <x v="0"/>
    <n v="9"/>
    <n v="-12.32"/>
    <n v="1223"/>
    <n v="3.2246157091254251"/>
    <s v="Expert"/>
    <s v="Medium Impact"/>
  </r>
  <r>
    <s v="E0103"/>
    <n v="32"/>
    <s v="Other"/>
    <s v="Bachelor"/>
    <x v="1"/>
    <s v="Supervisor"/>
    <n v="8"/>
    <x v="1"/>
    <s v="High"/>
    <s v="Yes"/>
    <n v="36254"/>
    <n v="34030"/>
    <x v="0"/>
    <n v="45"/>
    <x v="1"/>
    <n v="8"/>
    <n v="-12.32"/>
    <n v="-2224"/>
    <n v="-6.1344955039443922"/>
    <s v="Intermediate"/>
    <s v="Low Impact"/>
  </r>
  <r>
    <s v="E1602"/>
    <n v="59"/>
    <s v="Female"/>
    <s v="Bachelor"/>
    <x v="3"/>
    <s v="Auditor"/>
    <n v="35"/>
    <x v="0"/>
    <s v="Medium"/>
    <s v="No"/>
    <n v="94325"/>
    <n v="101586"/>
    <x v="1"/>
    <n v="44"/>
    <x v="1"/>
    <n v="5"/>
    <n v="-12.35"/>
    <n v="7261"/>
    <n v="7.6978531672409227"/>
    <s v="Expert"/>
    <s v="Medium Impact"/>
  </r>
  <r>
    <s v="E0572"/>
    <n v="50"/>
    <s v="Female"/>
    <s v="PhD"/>
    <x v="1"/>
    <s v="Machine Operator"/>
    <n v="28"/>
    <x v="0"/>
    <s v="High"/>
    <s v="No"/>
    <n v="44671"/>
    <n v="43800"/>
    <x v="0"/>
    <n v="43"/>
    <x v="1"/>
    <n v="9"/>
    <n v="-12.36"/>
    <n v="-871"/>
    <n v="-1.9498108392469387"/>
    <s v="Expert"/>
    <s v="Low Impact"/>
  </r>
  <r>
    <s v="E1599"/>
    <n v="24"/>
    <s v="Other"/>
    <s v="PhD"/>
    <x v="6"/>
    <s v="Nurse"/>
    <n v="2"/>
    <x v="1"/>
    <s v="Low"/>
    <s v="Yes"/>
    <n v="81550"/>
    <n v="94846"/>
    <x v="0"/>
    <n v="50"/>
    <x v="1"/>
    <n v="8"/>
    <n v="-12.44"/>
    <n v="13296"/>
    <n v="16.304107909258121"/>
    <s v="Beginner"/>
    <s v="Low Impact"/>
  </r>
  <r>
    <s v="E0707"/>
    <n v="23"/>
    <s v="Male"/>
    <s v="Master"/>
    <x v="6"/>
    <s v="Technician"/>
    <n v="0"/>
    <x v="2"/>
    <s v="High"/>
    <s v="No"/>
    <n v="78899"/>
    <n v="67987"/>
    <x v="2"/>
    <n v="42"/>
    <x v="1"/>
    <n v="4"/>
    <n v="-12.44"/>
    <n v="-10912"/>
    <n v="-13.830340055007035"/>
    <s v="Beginner"/>
    <s v="High Impact"/>
  </r>
  <r>
    <s v="E0877"/>
    <n v="42"/>
    <s v="Other"/>
    <s v="High School"/>
    <x v="0"/>
    <s v="DevOps Engineer"/>
    <n v="20"/>
    <x v="0"/>
    <s v="Low"/>
    <s v="Yes"/>
    <n v="33203"/>
    <n v="34444"/>
    <x v="0"/>
    <n v="46"/>
    <x v="1"/>
    <n v="3"/>
    <n v="-12.55"/>
    <n v="1241"/>
    <n v="3.7376140710176795"/>
    <s v="Expert"/>
    <s v="Low Impact"/>
  </r>
  <r>
    <s v="E0450"/>
    <n v="34"/>
    <s v="Other"/>
    <s v="Bachelor"/>
    <x v="4"/>
    <s v="Sales Associate"/>
    <n v="8"/>
    <x v="1"/>
    <s v="Low"/>
    <s v="No"/>
    <n v="91202"/>
    <n v="99806"/>
    <x v="0"/>
    <n v="51"/>
    <x v="0"/>
    <n v="9"/>
    <n v="-12.62"/>
    <n v="8604"/>
    <n v="9.4340036402710457"/>
    <s v="Intermediate"/>
    <s v="Low Impact"/>
  </r>
  <r>
    <s v="E1278"/>
    <n v="57"/>
    <s v="Female"/>
    <s v="Bachelor"/>
    <x v="5"/>
    <s v="Teacher"/>
    <n v="35"/>
    <x v="2"/>
    <s v="Low"/>
    <s v="No"/>
    <n v="42780"/>
    <n v="37514"/>
    <x v="0"/>
    <n v="40"/>
    <x v="0"/>
    <n v="8"/>
    <n v="-12.62"/>
    <n v="-5266"/>
    <n v="-12.309490416082282"/>
    <s v="Expert"/>
    <s v="Low Impact"/>
  </r>
  <r>
    <s v="E0835"/>
    <n v="38"/>
    <s v="Other"/>
    <s v="High School"/>
    <x v="1"/>
    <s v="Quality Inspector"/>
    <n v="16"/>
    <x v="2"/>
    <s v="Low"/>
    <s v="Yes"/>
    <n v="96766"/>
    <n v="122882"/>
    <x v="0"/>
    <n v="53"/>
    <x v="0"/>
    <n v="3"/>
    <n v="-12.65"/>
    <n v="26116"/>
    <n v="26.988818386623404"/>
    <s v="Expert"/>
    <s v="Low Impact"/>
  </r>
  <r>
    <s v="E0304"/>
    <n v="44"/>
    <s v="Other"/>
    <s v="Bachelor"/>
    <x v="3"/>
    <s v="Investment Analyst"/>
    <n v="20"/>
    <x v="2"/>
    <s v="High"/>
    <s v="No"/>
    <n v="74936"/>
    <n v="66344"/>
    <x v="1"/>
    <n v="48"/>
    <x v="0"/>
    <n v="5"/>
    <n v="-12.72"/>
    <n v="-8592"/>
    <n v="-11.465784135795881"/>
    <s v="Expert"/>
    <s v="Medium Impact"/>
  </r>
  <r>
    <s v="E0408"/>
    <n v="25"/>
    <s v="Other"/>
    <s v="PhD"/>
    <x v="6"/>
    <s v="Doctor"/>
    <n v="3"/>
    <x v="2"/>
    <s v="Medium"/>
    <s v="Yes"/>
    <n v="54995"/>
    <n v="56173"/>
    <x v="1"/>
    <n v="42"/>
    <x v="0"/>
    <n v="6"/>
    <n v="-12.74"/>
    <n v="1178"/>
    <n v="2.1420129102645693"/>
    <s v="Beginner"/>
    <s v="Medium Impact"/>
  </r>
  <r>
    <s v="E0901"/>
    <n v="26"/>
    <s v="Female"/>
    <s v="High School"/>
    <x v="3"/>
    <s v="Accountant"/>
    <n v="1"/>
    <x v="1"/>
    <s v="Medium"/>
    <s v="Yes"/>
    <n v="41957"/>
    <n v="45580"/>
    <x v="1"/>
    <n v="36"/>
    <x v="1"/>
    <n v="8"/>
    <n v="-12.76"/>
    <n v="3623"/>
    <n v="8.6350311032723983"/>
    <s v="Beginner"/>
    <s v="Medium Impact"/>
  </r>
  <r>
    <s v="E1319"/>
    <n v="40"/>
    <s v="Female"/>
    <s v="PhD"/>
    <x v="6"/>
    <s v="Technician"/>
    <n v="14"/>
    <x v="1"/>
    <s v="Medium"/>
    <s v="Yes"/>
    <n v="68165"/>
    <n v="61374"/>
    <x v="1"/>
    <n v="51"/>
    <x v="1"/>
    <n v="6"/>
    <n v="-12.79"/>
    <n v="-6791"/>
    <n v="-9.9625907723905236"/>
    <s v="Intermediate"/>
    <s v="Medium Impact"/>
  </r>
  <r>
    <s v="E1870"/>
    <n v="40"/>
    <s v="Other"/>
    <s v="High School"/>
    <x v="5"/>
    <s v="Administrator"/>
    <n v="15"/>
    <x v="1"/>
    <s v="High"/>
    <s v="No"/>
    <n v="81142"/>
    <n v="88748"/>
    <x v="0"/>
    <n v="40"/>
    <x v="0"/>
    <n v="4"/>
    <n v="-12.94"/>
    <n v="7606"/>
    <n v="9.3736905671538775"/>
    <s v="Expert"/>
    <s v="Low Impact"/>
  </r>
  <r>
    <s v="E1321"/>
    <n v="26"/>
    <s v="Female"/>
    <s v="Master"/>
    <x v="6"/>
    <s v="Technician"/>
    <n v="2"/>
    <x v="2"/>
    <s v="Medium"/>
    <s v="No"/>
    <n v="86911"/>
    <n v="116187"/>
    <x v="1"/>
    <n v="53"/>
    <x v="0"/>
    <n v="8"/>
    <n v="-12.95"/>
    <n v="29276"/>
    <n v="33.685034115359393"/>
    <s v="Beginner"/>
    <s v="Medium Impact"/>
  </r>
  <r>
    <s v="E0080"/>
    <n v="49"/>
    <s v="Male"/>
    <s v="PhD"/>
    <x v="5"/>
    <s v="Professor"/>
    <n v="26"/>
    <x v="2"/>
    <s v="Low"/>
    <s v="No"/>
    <n v="60355"/>
    <n v="52586"/>
    <x v="0"/>
    <n v="43"/>
    <x v="0"/>
    <n v="9"/>
    <n v="-12.95"/>
    <n v="-7769"/>
    <n v="-12.87217297655538"/>
    <s v="Expert"/>
    <s v="Low Impact"/>
  </r>
  <r>
    <s v="E0655"/>
    <n v="43"/>
    <s v="Other"/>
    <s v="Bachelor"/>
    <x v="4"/>
    <s v="Cashier"/>
    <n v="17"/>
    <x v="1"/>
    <s v="High"/>
    <s v="Yes"/>
    <n v="36589"/>
    <n v="38262"/>
    <x v="0"/>
    <n v="49"/>
    <x v="1"/>
    <n v="4"/>
    <n v="-12.98"/>
    <n v="1673"/>
    <n v="4.5724124736942793"/>
    <s v="Expert"/>
    <s v="Low Impact"/>
  </r>
  <r>
    <s v="E1391"/>
    <n v="43"/>
    <s v="Female"/>
    <s v="High School"/>
    <x v="3"/>
    <s v="Investment Analyst"/>
    <n v="17"/>
    <x v="0"/>
    <s v="Medium"/>
    <s v="No"/>
    <n v="36922"/>
    <n v="36819"/>
    <x v="1"/>
    <n v="36"/>
    <x v="1"/>
    <n v="5"/>
    <n v="-12.99"/>
    <n v="-103"/>
    <n v="-0.27896646985537077"/>
    <s v="Expert"/>
    <s v="Medium Impact"/>
  </r>
  <r>
    <s v="E0423"/>
    <n v="27"/>
    <s v="Other"/>
    <s v="PhD"/>
    <x v="1"/>
    <s v="Quality Inspector"/>
    <n v="3"/>
    <x v="1"/>
    <s v="High"/>
    <s v="Yes"/>
    <n v="83161"/>
    <n v="97300"/>
    <x v="0"/>
    <n v="44"/>
    <x v="1"/>
    <n v="6"/>
    <n v="-13.03"/>
    <n v="14139"/>
    <n v="17.001960053390412"/>
    <s v="Beginner"/>
    <s v="Low Impact"/>
  </r>
  <r>
    <s v="E0771"/>
    <n v="55"/>
    <s v="Other"/>
    <s v="PhD"/>
    <x v="6"/>
    <s v="Technician"/>
    <n v="31"/>
    <x v="2"/>
    <s v="High"/>
    <s v="Yes"/>
    <n v="109823"/>
    <n v="151324"/>
    <x v="1"/>
    <n v="47"/>
    <x v="0"/>
    <n v="7"/>
    <n v="-13.11"/>
    <n v="41501"/>
    <n v="37.788987734809645"/>
    <s v="Expert"/>
    <s v="Medium Impact"/>
  </r>
  <r>
    <s v="E1553"/>
    <n v="55"/>
    <s v="Male"/>
    <s v="Bachelor"/>
    <x v="1"/>
    <s v="Supervisor"/>
    <n v="30"/>
    <x v="0"/>
    <s v="Low"/>
    <s v="No"/>
    <n v="116478"/>
    <n v="127503"/>
    <x v="0"/>
    <n v="48"/>
    <x v="1"/>
    <n v="8"/>
    <n v="-13.13"/>
    <n v="11025"/>
    <n v="9.4653067532066135"/>
    <s v="Expert"/>
    <s v="Low Impact"/>
  </r>
  <r>
    <s v="E0322"/>
    <n v="42"/>
    <s v="Other"/>
    <s v="PhD"/>
    <x v="2"/>
    <s v="Digital Marketer"/>
    <n v="17"/>
    <x v="0"/>
    <s v="High"/>
    <s v="Yes"/>
    <n v="55227"/>
    <n v="56395"/>
    <x v="0"/>
    <n v="47"/>
    <x v="0"/>
    <n v="7"/>
    <n v="-13.16"/>
    <n v="1168"/>
    <n v="2.1149075633295307"/>
    <s v="Expert"/>
    <s v="Low Impact"/>
  </r>
  <r>
    <s v="E0403"/>
    <n v="30"/>
    <s v="Other"/>
    <s v="PhD"/>
    <x v="0"/>
    <s v="Software Engineer"/>
    <n v="4"/>
    <x v="0"/>
    <s v="Medium"/>
    <s v="Yes"/>
    <n v="100448"/>
    <n v="104723"/>
    <x v="1"/>
    <n v="53"/>
    <x v="0"/>
    <n v="5"/>
    <n v="-13.17"/>
    <n v="4275"/>
    <n v="4.2559334182860784"/>
    <s v="Beginner"/>
    <s v="Medium Impact"/>
  </r>
  <r>
    <s v="E0712"/>
    <n v="43"/>
    <s v="Male"/>
    <s v="Bachelor"/>
    <x v="6"/>
    <s v="Nurse"/>
    <n v="21"/>
    <x v="1"/>
    <s v="Low"/>
    <s v="Yes"/>
    <n v="116483"/>
    <n v="129344"/>
    <x v="0"/>
    <n v="50"/>
    <x v="1"/>
    <n v="4"/>
    <n v="-13.19"/>
    <n v="12861"/>
    <n v="11.041096125614896"/>
    <s v="Expert"/>
    <s v="Low Impact"/>
  </r>
  <r>
    <s v="E0764"/>
    <n v="24"/>
    <s v="Other"/>
    <s v="Master"/>
    <x v="6"/>
    <s v="Nurse"/>
    <n v="2"/>
    <x v="2"/>
    <s v="Low"/>
    <s v="No"/>
    <n v="83051"/>
    <n v="79302"/>
    <x v="0"/>
    <n v="41"/>
    <x v="0"/>
    <n v="9"/>
    <n v="-13.19"/>
    <n v="-3749"/>
    <n v="-4.5140937496237248"/>
    <s v="Beginner"/>
    <s v="Low Impact"/>
  </r>
  <r>
    <s v="E0031"/>
    <n v="39"/>
    <s v="Female"/>
    <s v="High School"/>
    <x v="2"/>
    <s v="Content Creator"/>
    <n v="17"/>
    <x v="1"/>
    <s v="Low"/>
    <s v="Yes"/>
    <n v="31802"/>
    <n v="31875"/>
    <x v="0"/>
    <n v="44"/>
    <x v="1"/>
    <n v="5"/>
    <n v="-13.19"/>
    <n v="73"/>
    <n v="0.22954531161562164"/>
    <s v="Expert"/>
    <s v="Low Impact"/>
  </r>
  <r>
    <s v="E1628"/>
    <n v="29"/>
    <s v="Male"/>
    <s v="Master"/>
    <x v="2"/>
    <s v="SEO Specialist"/>
    <n v="6"/>
    <x v="1"/>
    <s v="High"/>
    <s v="No"/>
    <n v="30944"/>
    <n v="29600"/>
    <x v="0"/>
    <n v="40"/>
    <x v="1"/>
    <n v="7"/>
    <n v="-13.19"/>
    <n v="-1344"/>
    <n v="-4.3433298862461225"/>
    <s v="Intermediate"/>
    <s v="Low Impact"/>
  </r>
  <r>
    <s v="E1705"/>
    <n v="34"/>
    <s v="Other"/>
    <s v="Bachelor"/>
    <x v="5"/>
    <s v="Teacher"/>
    <n v="9"/>
    <x v="2"/>
    <s v="Medium"/>
    <s v="Yes"/>
    <n v="113441"/>
    <n v="127071"/>
    <x v="1"/>
    <n v="48"/>
    <x v="0"/>
    <n v="4"/>
    <n v="-13.21"/>
    <n v="13630"/>
    <n v="12.015056284764768"/>
    <s v="Intermediate"/>
    <s v="Medium Impact"/>
  </r>
  <r>
    <s v="E1401"/>
    <n v="29"/>
    <s v="Female"/>
    <s v="Bachelor"/>
    <x v="6"/>
    <s v="Technician"/>
    <n v="4"/>
    <x v="1"/>
    <s v="High"/>
    <s v="No"/>
    <n v="77994"/>
    <n v="80467"/>
    <x v="0"/>
    <n v="46"/>
    <x v="0"/>
    <n v="9"/>
    <n v="-13.23"/>
    <n v="2473"/>
    <n v="3.1707567248762727"/>
    <s v="Beginner"/>
    <s v="Low Impact"/>
  </r>
  <r>
    <s v="E0814"/>
    <n v="52"/>
    <s v="Female"/>
    <s v="High School"/>
    <x v="1"/>
    <s v="Machine Operator"/>
    <n v="30"/>
    <x v="1"/>
    <s v="High"/>
    <s v="No"/>
    <n v="82091"/>
    <n v="91745"/>
    <x v="0"/>
    <n v="52"/>
    <x v="0"/>
    <n v="8"/>
    <n v="-13.24"/>
    <n v="9654"/>
    <n v="11.760119866976892"/>
    <s v="Expert"/>
    <s v="Low Impact"/>
  </r>
  <r>
    <s v="E1213"/>
    <n v="54"/>
    <s v="Female"/>
    <s v="PhD"/>
    <x v="6"/>
    <s v="Technician"/>
    <n v="28"/>
    <x v="1"/>
    <s v="Low"/>
    <s v="No"/>
    <n v="65645"/>
    <n v="67240"/>
    <x v="0"/>
    <n v="44"/>
    <x v="0"/>
    <n v="8"/>
    <n v="-13.26"/>
    <n v="1595"/>
    <n v="2.4297356995963133"/>
    <s v="Expert"/>
    <s v="Low Impact"/>
  </r>
  <r>
    <s v="E0555"/>
    <n v="24"/>
    <s v="Male"/>
    <s v="Bachelor"/>
    <x v="5"/>
    <s v="Teacher"/>
    <n v="1"/>
    <x v="0"/>
    <s v="High"/>
    <s v="Yes"/>
    <n v="86704"/>
    <n v="94386"/>
    <x v="0"/>
    <n v="39"/>
    <x v="1"/>
    <n v="3"/>
    <n v="-13.29"/>
    <n v="7682"/>
    <n v="8.8600295257427568"/>
    <s v="Beginner"/>
    <s v="Low Impact"/>
  </r>
  <r>
    <s v="E0323"/>
    <n v="53"/>
    <s v="Other"/>
    <s v="High School"/>
    <x v="5"/>
    <s v="Teacher"/>
    <n v="28"/>
    <x v="2"/>
    <s v="Medium"/>
    <s v="No"/>
    <n v="87866"/>
    <n v="72598"/>
    <x v="1"/>
    <n v="52"/>
    <x v="1"/>
    <n v="9"/>
    <n v="-13.35"/>
    <n v="-15268"/>
    <n v="-17.376459608949993"/>
    <s v="Expert"/>
    <s v="Medium Impact"/>
  </r>
  <r>
    <s v="E0603"/>
    <n v="39"/>
    <s v="Female"/>
    <s v="PhD"/>
    <x v="1"/>
    <s v="Machine Operator"/>
    <n v="15"/>
    <x v="0"/>
    <s v="Low"/>
    <s v="Yes"/>
    <n v="76646"/>
    <n v="82742"/>
    <x v="0"/>
    <n v="45"/>
    <x v="0"/>
    <n v="7"/>
    <n v="-13.4"/>
    <n v="6096"/>
    <n v="7.9534483208517077"/>
    <s v="Expert"/>
    <s v="Low Impact"/>
  </r>
  <r>
    <s v="E0437"/>
    <n v="25"/>
    <s v="Male"/>
    <s v="PhD"/>
    <x v="3"/>
    <s v="Auditor"/>
    <n v="0"/>
    <x v="2"/>
    <s v="Medium"/>
    <s v="Yes"/>
    <n v="83410"/>
    <n v="76760"/>
    <x v="1"/>
    <n v="54"/>
    <x v="1"/>
    <n v="7"/>
    <n v="-13.44"/>
    <n v="-6650"/>
    <n v="-7.9726651480637818"/>
    <s v="Beginner"/>
    <s v="Medium Impact"/>
  </r>
  <r>
    <s v="E0267"/>
    <n v="27"/>
    <s v="Female"/>
    <s v="Master"/>
    <x v="5"/>
    <s v="Teacher"/>
    <n v="2"/>
    <x v="2"/>
    <s v="High"/>
    <s v="No"/>
    <n v="61348"/>
    <n v="79032"/>
    <x v="2"/>
    <n v="39"/>
    <x v="0"/>
    <n v="4"/>
    <n v="-13.46"/>
    <n v="17684"/>
    <n v="28.825715589750278"/>
    <s v="Beginner"/>
    <s v="High Impact"/>
  </r>
  <r>
    <s v="E1551"/>
    <n v="44"/>
    <s v="Female"/>
    <s v="Bachelor"/>
    <x v="3"/>
    <s v="Accountant"/>
    <n v="22"/>
    <x v="2"/>
    <s v="High"/>
    <s v="No"/>
    <n v="115782"/>
    <n v="117419"/>
    <x v="2"/>
    <n v="47"/>
    <x v="1"/>
    <n v="6"/>
    <n v="-13.5"/>
    <n v="1637"/>
    <n v="1.413863985766354"/>
    <s v="Expert"/>
    <s v="High Impact"/>
  </r>
  <r>
    <s v="E1753"/>
    <n v="35"/>
    <s v="Male"/>
    <s v="High School"/>
    <x v="1"/>
    <s v="Quality Inspector"/>
    <n v="13"/>
    <x v="0"/>
    <s v="Low"/>
    <s v="Yes"/>
    <n v="34369"/>
    <n v="32975"/>
    <x v="0"/>
    <n v="50"/>
    <x v="1"/>
    <n v="9"/>
    <n v="-13.53"/>
    <n v="-1394"/>
    <n v="-4.0559806802641916"/>
    <s v="Intermediate"/>
    <s v="Low Impact"/>
  </r>
  <r>
    <s v="E1193"/>
    <n v="38"/>
    <s v="Other"/>
    <s v="Master"/>
    <x v="0"/>
    <s v="Data Analyst"/>
    <n v="14"/>
    <x v="1"/>
    <s v="Low"/>
    <s v="Yes"/>
    <n v="73516"/>
    <n v="79451"/>
    <x v="0"/>
    <n v="45"/>
    <x v="1"/>
    <n v="8"/>
    <n v="-13.57"/>
    <n v="5935"/>
    <n v="8.0730725284291864"/>
    <s v="Intermediate"/>
    <s v="Low Impact"/>
  </r>
  <r>
    <s v="E1881"/>
    <n v="55"/>
    <s v="Male"/>
    <s v="High School"/>
    <x v="4"/>
    <s v="Sales Associate"/>
    <n v="30"/>
    <x v="0"/>
    <s v="Medium"/>
    <s v="No"/>
    <n v="78657"/>
    <n v="79537"/>
    <x v="1"/>
    <n v="43"/>
    <x v="0"/>
    <n v="4"/>
    <n v="-13.59"/>
    <n v="880"/>
    <n v="1.118781545189875"/>
    <s v="Expert"/>
    <s v="Medium Impact"/>
  </r>
  <r>
    <s v="E0259"/>
    <n v="52"/>
    <s v="Male"/>
    <s v="PhD"/>
    <x v="6"/>
    <s v="Technician"/>
    <n v="26"/>
    <x v="1"/>
    <s v="Medium"/>
    <s v="No"/>
    <n v="72287"/>
    <n v="79181"/>
    <x v="1"/>
    <n v="36"/>
    <x v="1"/>
    <n v="4"/>
    <n v="-13.6"/>
    <n v="6894"/>
    <n v="9.5369845200381818"/>
    <s v="Expert"/>
    <s v="Medium Impact"/>
  </r>
  <r>
    <s v="E1882"/>
    <n v="59"/>
    <s v="Female"/>
    <s v="PhD"/>
    <x v="4"/>
    <s v="Store Manager"/>
    <n v="37"/>
    <x v="2"/>
    <s v="High"/>
    <s v="No"/>
    <n v="46442"/>
    <n v="42287"/>
    <x v="2"/>
    <n v="53"/>
    <x v="0"/>
    <n v="8"/>
    <n v="-13.61"/>
    <n v="-4155"/>
    <n v="-8.9466431247577631"/>
    <s v="Expert"/>
    <s v="High Impact"/>
  </r>
  <r>
    <s v="E1496"/>
    <n v="44"/>
    <s v="Other"/>
    <s v="Master"/>
    <x v="0"/>
    <s v="DevOps Engineer"/>
    <n v="18"/>
    <x v="2"/>
    <s v="Medium"/>
    <s v="No"/>
    <n v="105700"/>
    <n v="147546"/>
    <x v="1"/>
    <n v="48"/>
    <x v="0"/>
    <n v="8"/>
    <n v="-13.63"/>
    <n v="41846"/>
    <n v="39.589403973509931"/>
    <s v="Expert"/>
    <s v="Medium Impact"/>
  </r>
  <r>
    <s v="E1490"/>
    <n v="47"/>
    <s v="Male"/>
    <s v="PhD"/>
    <x v="4"/>
    <s v="Store Manager"/>
    <n v="24"/>
    <x v="1"/>
    <s v="Low"/>
    <s v="Yes"/>
    <n v="111490"/>
    <n v="110799"/>
    <x v="0"/>
    <n v="51"/>
    <x v="0"/>
    <n v="3"/>
    <n v="-13.65"/>
    <n v="-691"/>
    <n v="-0.61978652793972555"/>
    <s v="Expert"/>
    <s v="Low Impact"/>
  </r>
  <r>
    <s v="E0461"/>
    <n v="38"/>
    <s v="Male"/>
    <s v="PhD"/>
    <x v="0"/>
    <s v="Software Engineer"/>
    <n v="13"/>
    <x v="2"/>
    <s v="High"/>
    <s v="No"/>
    <n v="84040"/>
    <n v="82260"/>
    <x v="2"/>
    <n v="53"/>
    <x v="1"/>
    <n v="5"/>
    <n v="-13.68"/>
    <n v="-1780"/>
    <n v="-2.1180390290337936"/>
    <s v="Intermediate"/>
    <s v="High Impact"/>
  </r>
  <r>
    <s v="E1539"/>
    <n v="29"/>
    <s v="Female"/>
    <s v="PhD"/>
    <x v="5"/>
    <s v="Professor"/>
    <n v="3"/>
    <x v="0"/>
    <s v="Low"/>
    <s v="No"/>
    <n v="60226"/>
    <n v="62706"/>
    <x v="0"/>
    <n v="41"/>
    <x v="1"/>
    <n v="5"/>
    <n v="-13.71"/>
    <n v="2480"/>
    <n v="4.1178228672002124"/>
    <s v="Beginner"/>
    <s v="Low Impact"/>
  </r>
  <r>
    <s v="E1082"/>
    <n v="29"/>
    <s v="Other"/>
    <s v="High School"/>
    <x v="3"/>
    <s v="Investment Analyst"/>
    <n v="4"/>
    <x v="1"/>
    <s v="High"/>
    <s v="Yes"/>
    <n v="37642"/>
    <n v="44398"/>
    <x v="0"/>
    <n v="36"/>
    <x v="1"/>
    <n v="8"/>
    <n v="-13.71"/>
    <n v="6756"/>
    <n v="17.948036767440627"/>
    <s v="Beginner"/>
    <s v="Low Impact"/>
  </r>
  <r>
    <s v="E0444"/>
    <n v="30"/>
    <s v="Other"/>
    <s v="High School"/>
    <x v="3"/>
    <s v="Accountant"/>
    <n v="8"/>
    <x v="1"/>
    <s v="Low"/>
    <s v="No"/>
    <n v="50131"/>
    <n v="55645"/>
    <x v="0"/>
    <n v="43"/>
    <x v="1"/>
    <n v="4"/>
    <n v="-13.74"/>
    <n v="5514"/>
    <n v="10.999182142785902"/>
    <s v="Intermediate"/>
    <s v="Low Impact"/>
  </r>
  <r>
    <s v="E0156"/>
    <n v="24"/>
    <s v="Female"/>
    <s v="High School"/>
    <x v="4"/>
    <s v="Sales Associate"/>
    <n v="0"/>
    <x v="2"/>
    <s v="Low"/>
    <s v="No"/>
    <n v="93230"/>
    <n v="75686"/>
    <x v="0"/>
    <n v="49"/>
    <x v="1"/>
    <n v="7"/>
    <n v="-13.75"/>
    <n v="-17544"/>
    <n v="-18.81797704601523"/>
    <s v="Beginner"/>
    <s v="Low Impact"/>
  </r>
  <r>
    <s v="E0251"/>
    <n v="56"/>
    <s v="Other"/>
    <s v="Master"/>
    <x v="3"/>
    <s v="Accountant"/>
    <n v="30"/>
    <x v="2"/>
    <s v="Low"/>
    <s v="Yes"/>
    <n v="58404"/>
    <n v="49826"/>
    <x v="0"/>
    <n v="53"/>
    <x v="0"/>
    <n v="8"/>
    <n v="-13.8"/>
    <n v="-8578"/>
    <n v="-14.687350181494418"/>
    <s v="Expert"/>
    <s v="Low Impact"/>
  </r>
  <r>
    <s v="E0999"/>
    <n v="57"/>
    <s v="Male"/>
    <s v="Bachelor"/>
    <x v="5"/>
    <s v="Teacher"/>
    <n v="32"/>
    <x v="0"/>
    <s v="Medium"/>
    <s v="Yes"/>
    <n v="76694"/>
    <n v="73062"/>
    <x v="1"/>
    <n v="51"/>
    <x v="1"/>
    <n v="6"/>
    <n v="-13.83"/>
    <n v="-3632"/>
    <n v="-4.7357029233056043"/>
    <s v="Expert"/>
    <s v="Medium Impact"/>
  </r>
  <r>
    <s v="E1118"/>
    <n v="56"/>
    <s v="Male"/>
    <s v="Master"/>
    <x v="4"/>
    <s v="Cashier"/>
    <n v="33"/>
    <x v="0"/>
    <s v="High"/>
    <s v="No"/>
    <n v="56853"/>
    <n v="59014"/>
    <x v="0"/>
    <n v="39"/>
    <x v="1"/>
    <n v="4"/>
    <n v="-13.83"/>
    <n v="2161"/>
    <n v="3.8010307283696552"/>
    <s v="Expert"/>
    <s v="Low Impact"/>
  </r>
  <r>
    <s v="E0454"/>
    <n v="32"/>
    <s v="Female"/>
    <s v="Master"/>
    <x v="4"/>
    <s v="Cashier"/>
    <n v="10"/>
    <x v="2"/>
    <s v="Medium"/>
    <s v="No"/>
    <n v="109563"/>
    <n v="114106"/>
    <x v="1"/>
    <n v="51"/>
    <x v="0"/>
    <n v="4"/>
    <n v="-13.84"/>
    <n v="4543"/>
    <n v="4.1464728056004301"/>
    <s v="Intermediate"/>
    <s v="Medium Impact"/>
  </r>
  <r>
    <s v="E0687"/>
    <n v="31"/>
    <s v="Male"/>
    <s v="Master"/>
    <x v="5"/>
    <s v="Professor"/>
    <n v="8"/>
    <x v="0"/>
    <s v="Medium"/>
    <s v="Yes"/>
    <n v="58141"/>
    <n v="58662"/>
    <x v="1"/>
    <n v="43"/>
    <x v="0"/>
    <n v="3"/>
    <n v="-13.99"/>
    <n v="521"/>
    <n v="0.89609741834505774"/>
    <s v="Intermediate"/>
    <s v="Medium Impact"/>
  </r>
  <r>
    <s v="E1185"/>
    <n v="31"/>
    <s v="Other"/>
    <s v="Bachelor"/>
    <x v="3"/>
    <s v="Investment Analyst"/>
    <n v="5"/>
    <x v="1"/>
    <s v="Medium"/>
    <s v="No"/>
    <n v="36458"/>
    <n v="34777"/>
    <x v="1"/>
    <n v="51"/>
    <x v="0"/>
    <n v="5"/>
    <n v="-14.01"/>
    <n v="-1681"/>
    <n v="-4.6107850128915464"/>
    <s v="Intermediate"/>
    <s v="Medium Impact"/>
  </r>
  <r>
    <s v="E0888"/>
    <n v="39"/>
    <s v="Female"/>
    <s v="PhD"/>
    <x v="0"/>
    <s v="Software Engineer"/>
    <n v="13"/>
    <x v="2"/>
    <s v="High"/>
    <s v="No"/>
    <n v="80717"/>
    <n v="82337"/>
    <x v="2"/>
    <n v="54"/>
    <x v="0"/>
    <n v="3"/>
    <n v="-14.03"/>
    <n v="1620"/>
    <n v="2.0070121535735965"/>
    <s v="Intermediate"/>
    <s v="High Impact"/>
  </r>
  <r>
    <s v="E0058"/>
    <n v="51"/>
    <s v="Male"/>
    <s v="Bachelor"/>
    <x v="4"/>
    <s v="Store Manager"/>
    <n v="26"/>
    <x v="2"/>
    <s v="Low"/>
    <s v="No"/>
    <n v="59124"/>
    <n v="64120"/>
    <x v="0"/>
    <n v="50"/>
    <x v="0"/>
    <n v="7"/>
    <n v="-14.13"/>
    <n v="4996"/>
    <n v="8.4500372099316685"/>
    <s v="Expert"/>
    <s v="Low Impact"/>
  </r>
  <r>
    <s v="E0997"/>
    <n v="43"/>
    <s v="Male"/>
    <s v="Master"/>
    <x v="6"/>
    <s v="Technician"/>
    <n v="19"/>
    <x v="1"/>
    <s v="High"/>
    <s v="No"/>
    <n v="31132"/>
    <n v="29860"/>
    <x v="0"/>
    <n v="38"/>
    <x v="1"/>
    <n v="6"/>
    <n v="-14.14"/>
    <n v="-1272"/>
    <n v="-4.085828086855968"/>
    <s v="Expert"/>
    <s v="Low Impact"/>
  </r>
  <r>
    <s v="E1247"/>
    <n v="33"/>
    <s v="Male"/>
    <s v="Master"/>
    <x v="6"/>
    <s v="Doctor"/>
    <n v="9"/>
    <x v="2"/>
    <s v="Medium"/>
    <s v="Yes"/>
    <n v="30148"/>
    <n v="37680"/>
    <x v="1"/>
    <n v="47"/>
    <x v="1"/>
    <n v="6"/>
    <n v="-14.19"/>
    <n v="7532"/>
    <n v="24.983415151917207"/>
    <s v="Intermediate"/>
    <s v="Medium Impact"/>
  </r>
  <r>
    <s v="E1859"/>
    <n v="24"/>
    <s v="Male"/>
    <s v="PhD"/>
    <x v="3"/>
    <s v="Investment Analyst"/>
    <n v="2"/>
    <x v="0"/>
    <s v="Low"/>
    <s v="Yes"/>
    <n v="45376"/>
    <n v="49791"/>
    <x v="0"/>
    <n v="39"/>
    <x v="0"/>
    <n v="5"/>
    <n v="-14.23"/>
    <n v="4415"/>
    <n v="9.7298131170662909"/>
    <s v="Beginner"/>
    <s v="Low Impact"/>
  </r>
  <r>
    <s v="E0014"/>
    <n v="49"/>
    <s v="Female"/>
    <s v="High School"/>
    <x v="2"/>
    <s v="Content Creator"/>
    <n v="27"/>
    <x v="2"/>
    <s v="Low"/>
    <s v="Yes"/>
    <n v="60535"/>
    <n v="64752"/>
    <x v="0"/>
    <n v="39"/>
    <x v="1"/>
    <n v="5"/>
    <n v="-14.28"/>
    <n v="4217"/>
    <n v="6.9662178904765835"/>
    <s v="Expert"/>
    <s v="Low Impact"/>
  </r>
  <r>
    <s v="E0365"/>
    <n v="49"/>
    <s v="Other"/>
    <s v="PhD"/>
    <x v="3"/>
    <s v="Investment Analyst"/>
    <n v="26"/>
    <x v="1"/>
    <s v="High"/>
    <s v="No"/>
    <n v="59118"/>
    <n v="63005"/>
    <x v="0"/>
    <n v="37"/>
    <x v="0"/>
    <n v="6"/>
    <n v="-14.35"/>
    <n v="3887"/>
    <n v="6.5749856219763858"/>
    <s v="Expert"/>
    <s v="Low Impact"/>
  </r>
  <r>
    <s v="E0367"/>
    <n v="40"/>
    <s v="Male"/>
    <s v="PhD"/>
    <x v="4"/>
    <s v="Cashier"/>
    <n v="14"/>
    <x v="0"/>
    <s v="Medium"/>
    <s v="Yes"/>
    <n v="32551"/>
    <n v="31835"/>
    <x v="1"/>
    <n v="43"/>
    <x v="1"/>
    <n v="6"/>
    <n v="-14.36"/>
    <n v="-716"/>
    <n v="-2.1996252035267734"/>
    <s v="Intermediate"/>
    <s v="Medium Impact"/>
  </r>
  <r>
    <s v="E0038"/>
    <n v="24"/>
    <s v="Male"/>
    <s v="Bachelor"/>
    <x v="3"/>
    <s v="Accountant"/>
    <n v="2"/>
    <x v="1"/>
    <s v="Low"/>
    <s v="No"/>
    <n v="100271"/>
    <n v="107339"/>
    <x v="0"/>
    <n v="53"/>
    <x v="1"/>
    <n v="8"/>
    <n v="-14.38"/>
    <n v="7068"/>
    <n v="7.0488974878080395"/>
    <s v="Beginner"/>
    <s v="Low Impact"/>
  </r>
  <r>
    <s v="E0732"/>
    <n v="25"/>
    <s v="Other"/>
    <s v="Master"/>
    <x v="0"/>
    <s v="Software Engineer"/>
    <n v="1"/>
    <x v="1"/>
    <s v="Medium"/>
    <s v="Yes"/>
    <n v="116005"/>
    <n v="139021"/>
    <x v="1"/>
    <n v="45"/>
    <x v="1"/>
    <n v="7"/>
    <n v="-14.45"/>
    <n v="23016"/>
    <n v="19.840524115339857"/>
    <s v="Beginner"/>
    <s v="Medium Impact"/>
  </r>
  <r>
    <s v="E1893"/>
    <n v="23"/>
    <s v="Other"/>
    <s v="Bachelor"/>
    <x v="2"/>
    <s v="Digital Marketer"/>
    <n v="0"/>
    <x v="2"/>
    <s v="Medium"/>
    <s v="No"/>
    <n v="33577"/>
    <n v="44096"/>
    <x v="1"/>
    <n v="53"/>
    <x v="0"/>
    <n v="8"/>
    <n v="-14.49"/>
    <n v="10519"/>
    <n v="31.327992375733388"/>
    <s v="Beginner"/>
    <s v="Medium Impact"/>
  </r>
  <r>
    <s v="E0176"/>
    <n v="59"/>
    <s v="Male"/>
    <s v="Master"/>
    <x v="4"/>
    <s v="Cashier"/>
    <n v="36"/>
    <x v="2"/>
    <s v="Low"/>
    <s v="No"/>
    <n v="53051"/>
    <n v="53930"/>
    <x v="0"/>
    <n v="51"/>
    <x v="0"/>
    <n v="7"/>
    <n v="-14.51"/>
    <n v="879"/>
    <n v="1.6568961942281955"/>
    <s v="Expert"/>
    <s v="Low Impact"/>
  </r>
  <r>
    <s v="E1420"/>
    <n v="52"/>
    <s v="Other"/>
    <s v="High School"/>
    <x v="2"/>
    <s v="Digital Marketer"/>
    <n v="30"/>
    <x v="1"/>
    <s v="Medium"/>
    <s v="No"/>
    <n v="94808"/>
    <n v="111998"/>
    <x v="1"/>
    <n v="53"/>
    <x v="0"/>
    <n v="8"/>
    <n v="-14.52"/>
    <n v="17190"/>
    <n v="18.131381318032233"/>
    <s v="Expert"/>
    <s v="Medium Impact"/>
  </r>
  <r>
    <s v="E1502"/>
    <n v="25"/>
    <s v="Female"/>
    <s v="Bachelor"/>
    <x v="5"/>
    <s v="Teacher"/>
    <n v="0"/>
    <x v="1"/>
    <s v="Low"/>
    <s v="No"/>
    <n v="35239"/>
    <n v="36367"/>
    <x v="0"/>
    <n v="46"/>
    <x v="0"/>
    <n v="7"/>
    <n v="-14.53"/>
    <n v="1128"/>
    <n v="3.2009988932716595"/>
    <s v="Beginner"/>
    <s v="Low Impact"/>
  </r>
  <r>
    <s v="E0442"/>
    <n v="40"/>
    <s v="Other"/>
    <s v="Master"/>
    <x v="3"/>
    <s v="Accountant"/>
    <n v="17"/>
    <x v="2"/>
    <s v="High"/>
    <s v="No"/>
    <n v="40503"/>
    <n v="56574"/>
    <x v="2"/>
    <n v="41"/>
    <x v="0"/>
    <n v="5"/>
    <n v="-14.61"/>
    <n v="16071"/>
    <n v="39.678542330197764"/>
    <s v="Expert"/>
    <s v="High Impact"/>
  </r>
  <r>
    <s v="E1049"/>
    <n v="54"/>
    <s v="Female"/>
    <s v="High School"/>
    <x v="5"/>
    <s v="Teacher"/>
    <n v="31"/>
    <x v="0"/>
    <s v="Low"/>
    <s v="Yes"/>
    <n v="95747"/>
    <n v="98804"/>
    <x v="0"/>
    <n v="46"/>
    <x v="0"/>
    <n v="7"/>
    <n v="-14.63"/>
    <n v="3057"/>
    <n v="3.1927893302140014"/>
    <s v="Expert"/>
    <s v="Low Impact"/>
  </r>
  <r>
    <s v="E1797"/>
    <n v="36"/>
    <s v="Other"/>
    <s v="Bachelor"/>
    <x v="0"/>
    <s v="Data Analyst"/>
    <n v="11"/>
    <x v="0"/>
    <s v="Low"/>
    <s v="Yes"/>
    <n v="79979"/>
    <n v="82937"/>
    <x v="0"/>
    <n v="36"/>
    <x v="1"/>
    <n v="5"/>
    <n v="-14.66"/>
    <n v="2958"/>
    <n v="3.6984708485977569"/>
    <s v="Intermediate"/>
    <s v="Low Impact"/>
  </r>
  <r>
    <s v="E1011"/>
    <n v="50"/>
    <s v="Other"/>
    <s v="Master"/>
    <x v="6"/>
    <s v="Technician"/>
    <n v="26"/>
    <x v="2"/>
    <s v="Low"/>
    <s v="No"/>
    <n v="116489"/>
    <n v="119632"/>
    <x v="0"/>
    <n v="36"/>
    <x v="0"/>
    <n v="8"/>
    <n v="-14.7"/>
    <n v="3143"/>
    <n v="2.6981088343105357"/>
    <s v="Expert"/>
    <s v="Low Impact"/>
  </r>
  <r>
    <s v="E1346"/>
    <n v="25"/>
    <s v="Other"/>
    <s v="Bachelor"/>
    <x v="3"/>
    <s v="Auditor"/>
    <n v="1"/>
    <x v="2"/>
    <s v="Low"/>
    <s v="Yes"/>
    <n v="31160"/>
    <n v="40074"/>
    <x v="0"/>
    <n v="40"/>
    <x v="0"/>
    <n v="7"/>
    <n v="-14.75"/>
    <n v="8914"/>
    <n v="28.60718870346598"/>
    <s v="Beginner"/>
    <s v="Low Impact"/>
  </r>
  <r>
    <s v="E0851"/>
    <n v="31"/>
    <s v="Male"/>
    <s v="PhD"/>
    <x v="0"/>
    <s v="Data Analyst"/>
    <n v="9"/>
    <x v="1"/>
    <s v="High"/>
    <s v="No"/>
    <n v="75156"/>
    <n v="75766"/>
    <x v="0"/>
    <n v="43"/>
    <x v="0"/>
    <n v="7"/>
    <n v="-14.78"/>
    <n v="610"/>
    <n v="0.81164511150141039"/>
    <s v="Intermediate"/>
    <s v="Low Impact"/>
  </r>
  <r>
    <s v="E1942"/>
    <n v="38"/>
    <s v="Female"/>
    <s v="Master"/>
    <x v="5"/>
    <s v="Administrator"/>
    <n v="12"/>
    <x v="1"/>
    <s v="High"/>
    <s v="No"/>
    <n v="110946"/>
    <n v="116021"/>
    <x v="0"/>
    <n v="49"/>
    <x v="1"/>
    <n v="3"/>
    <n v="-14.84"/>
    <n v="5075"/>
    <n v="4.5742974059452344"/>
    <s v="Intermediate"/>
    <s v="Low Impact"/>
  </r>
  <r>
    <s v="E1711"/>
    <n v="33"/>
    <s v="Male"/>
    <s v="Master"/>
    <x v="0"/>
    <s v="Software Engineer"/>
    <n v="8"/>
    <x v="1"/>
    <s v="Low"/>
    <s v="Yes"/>
    <n v="72816"/>
    <n v="83342"/>
    <x v="0"/>
    <n v="53"/>
    <x v="0"/>
    <n v="3"/>
    <n v="-14.92"/>
    <n v="10526"/>
    <n v="14.455614150736102"/>
    <s v="Intermediate"/>
    <s v="Low Impact"/>
  </r>
  <r>
    <s v="E1100"/>
    <n v="50"/>
    <s v="Other"/>
    <s v="PhD"/>
    <x v="3"/>
    <s v="Investment Analyst"/>
    <n v="24"/>
    <x v="1"/>
    <s v="Low"/>
    <s v="Yes"/>
    <n v="63172"/>
    <n v="62816"/>
    <x v="0"/>
    <n v="40"/>
    <x v="1"/>
    <n v="5"/>
    <n v="-14.94"/>
    <n v="-356"/>
    <n v="-0.56354080921927441"/>
    <s v="Expert"/>
    <s v="Low Impact"/>
  </r>
  <r>
    <s v="E0207"/>
    <n v="35"/>
    <s v="Male"/>
    <s v="Master"/>
    <x v="4"/>
    <s v="Store Manager"/>
    <n v="9"/>
    <x v="2"/>
    <s v="Medium"/>
    <s v="No"/>
    <n v="63062"/>
    <n v="57757"/>
    <x v="1"/>
    <n v="51"/>
    <x v="1"/>
    <n v="3"/>
    <n v="-14.95"/>
    <n v="-5305"/>
    <n v="-8.4123560940027282"/>
    <s v="Intermediate"/>
    <s v="Medium Impact"/>
  </r>
  <r>
    <s v="E1046"/>
    <n v="26"/>
    <s v="Male"/>
    <s v="PhD"/>
    <x v="1"/>
    <s v="Supervisor"/>
    <n v="0"/>
    <x v="1"/>
    <s v="Low"/>
    <s v="No"/>
    <n v="107707"/>
    <n v="116574"/>
    <x v="0"/>
    <n v="37"/>
    <x v="0"/>
    <n v="6"/>
    <n v="-14.97"/>
    <n v="8867"/>
    <n v="8.2325197062400761"/>
    <s v="Beginner"/>
    <s v="Low Impact"/>
  </r>
  <r>
    <s v="E1814"/>
    <n v="25"/>
    <s v="Female"/>
    <s v="PhD"/>
    <x v="0"/>
    <s v="DevOps Engineer"/>
    <n v="0"/>
    <x v="1"/>
    <s v="Medium"/>
    <s v="Yes"/>
    <n v="118131"/>
    <n v="111731"/>
    <x v="1"/>
    <n v="48"/>
    <x v="1"/>
    <n v="5"/>
    <n v="-15.02"/>
    <n v="-6400"/>
    <n v="-5.4177142325045926"/>
    <s v="Beginner"/>
    <s v="Medium Impact"/>
  </r>
  <r>
    <s v="E0216"/>
    <n v="50"/>
    <s v="Other"/>
    <s v="Master"/>
    <x v="5"/>
    <s v="Teacher"/>
    <n v="24"/>
    <x v="0"/>
    <s v="High"/>
    <s v="No"/>
    <n v="47482"/>
    <n v="46680"/>
    <x v="0"/>
    <n v="48"/>
    <x v="1"/>
    <n v="6"/>
    <n v="-15.06"/>
    <n v="-802"/>
    <n v="-1.6890611178973085"/>
    <s v="Expert"/>
    <s v="Low Impact"/>
  </r>
  <r>
    <s v="E1059"/>
    <n v="37"/>
    <s v="Female"/>
    <s v="Master"/>
    <x v="1"/>
    <s v="Quality Inspector"/>
    <n v="13"/>
    <x v="0"/>
    <s v="High"/>
    <s v="No"/>
    <n v="76073"/>
    <n v="75582"/>
    <x v="0"/>
    <n v="37"/>
    <x v="0"/>
    <n v="3"/>
    <n v="-15.08"/>
    <n v="-491"/>
    <n v="-0.64543267650809089"/>
    <s v="Intermediate"/>
    <s v="Low Impact"/>
  </r>
  <r>
    <s v="E1101"/>
    <n v="34"/>
    <s v="Male"/>
    <s v="PhD"/>
    <x v="0"/>
    <s v="DevOps Engineer"/>
    <n v="12"/>
    <x v="2"/>
    <s v="Low"/>
    <s v="Yes"/>
    <n v="39491"/>
    <n v="40109"/>
    <x v="0"/>
    <n v="44"/>
    <x v="1"/>
    <n v="3"/>
    <n v="-15.11"/>
    <n v="618"/>
    <n v="1.5649135246005419"/>
    <s v="Intermediate"/>
    <s v="Low Impact"/>
  </r>
  <r>
    <s v="E0854"/>
    <n v="42"/>
    <s v="Other"/>
    <s v="PhD"/>
    <x v="1"/>
    <s v="Supervisor"/>
    <n v="19"/>
    <x v="1"/>
    <s v="High"/>
    <s v="Yes"/>
    <n v="108518"/>
    <n v="106858"/>
    <x v="0"/>
    <n v="51"/>
    <x v="1"/>
    <n v="4"/>
    <n v="-15.14"/>
    <n v="-1660"/>
    <n v="-1.5297001419119409"/>
    <s v="Expert"/>
    <s v="Low Impact"/>
  </r>
  <r>
    <s v="E0296"/>
    <n v="35"/>
    <s v="Female"/>
    <s v="High School"/>
    <x v="2"/>
    <s v="Digital Marketer"/>
    <n v="11"/>
    <x v="0"/>
    <s v="Low"/>
    <s v="Yes"/>
    <n v="61750"/>
    <n v="61484"/>
    <x v="0"/>
    <n v="37"/>
    <x v="0"/>
    <n v="4"/>
    <n v="-15.14"/>
    <n v="-266"/>
    <n v="-0.43076923076923074"/>
    <s v="Intermediate"/>
    <s v="Low Impact"/>
  </r>
  <r>
    <s v="E1891"/>
    <n v="56"/>
    <s v="Other"/>
    <s v="High School"/>
    <x v="2"/>
    <s v="Content Creator"/>
    <n v="31"/>
    <x v="2"/>
    <s v="Medium"/>
    <s v="Yes"/>
    <n v="59164"/>
    <n v="60626"/>
    <x v="1"/>
    <n v="54"/>
    <x v="1"/>
    <n v="8"/>
    <n v="-15.15"/>
    <n v="1462"/>
    <n v="2.4710972888918938"/>
    <s v="Expert"/>
    <s v="Medium Impact"/>
  </r>
  <r>
    <s v="E1276"/>
    <n v="53"/>
    <s v="Male"/>
    <s v="Master"/>
    <x v="4"/>
    <s v="Cashier"/>
    <n v="31"/>
    <x v="1"/>
    <s v="Medium"/>
    <s v="No"/>
    <n v="99868"/>
    <n v="91566"/>
    <x v="1"/>
    <n v="44"/>
    <x v="0"/>
    <n v="9"/>
    <n v="-15.16"/>
    <n v="-8302"/>
    <n v="-8.3129731245243725"/>
    <s v="Expert"/>
    <s v="Medium Impact"/>
  </r>
  <r>
    <s v="E0512"/>
    <n v="42"/>
    <s v="Male"/>
    <s v="PhD"/>
    <x v="4"/>
    <s v="Store Manager"/>
    <n v="16"/>
    <x v="2"/>
    <s v="Low"/>
    <s v="Yes"/>
    <n v="48375"/>
    <n v="57885"/>
    <x v="0"/>
    <n v="44"/>
    <x v="0"/>
    <n v="4"/>
    <n v="-15.29"/>
    <n v="9510"/>
    <n v="19.65891472868217"/>
    <s v="Expert"/>
    <s v="Low Impact"/>
  </r>
  <r>
    <s v="E1648"/>
    <n v="37"/>
    <s v="Female"/>
    <s v="Master"/>
    <x v="2"/>
    <s v="Digital Marketer"/>
    <n v="11"/>
    <x v="1"/>
    <s v="High"/>
    <s v="No"/>
    <n v="50175"/>
    <n v="51123"/>
    <x v="0"/>
    <n v="52"/>
    <x v="1"/>
    <n v="7"/>
    <n v="-15.33"/>
    <n v="948"/>
    <n v="1.8893871449925264"/>
    <s v="Intermediate"/>
    <s v="Low Impact"/>
  </r>
  <r>
    <s v="E0985"/>
    <n v="46"/>
    <s v="Female"/>
    <s v="PhD"/>
    <x v="6"/>
    <s v="Technician"/>
    <n v="24"/>
    <x v="0"/>
    <s v="Medium"/>
    <s v="Yes"/>
    <n v="109732"/>
    <n v="114446"/>
    <x v="1"/>
    <n v="44"/>
    <x v="1"/>
    <n v="6"/>
    <n v="-15.36"/>
    <n v="4714"/>
    <n v="4.2959209710932091"/>
    <s v="Expert"/>
    <s v="Medium Impact"/>
  </r>
  <r>
    <s v="E0183"/>
    <n v="38"/>
    <s v="Other"/>
    <s v="Master"/>
    <x v="4"/>
    <s v="Cashier"/>
    <n v="14"/>
    <x v="2"/>
    <s v="Low"/>
    <s v="No"/>
    <n v="65435"/>
    <n v="57081"/>
    <x v="0"/>
    <n v="39"/>
    <x v="0"/>
    <n v="5"/>
    <n v="-15.38"/>
    <n v="-8354"/>
    <n v="-12.766867884159852"/>
    <s v="Intermediate"/>
    <s v="Low Impact"/>
  </r>
  <r>
    <s v="E0688"/>
    <n v="35"/>
    <s v="Female"/>
    <s v="Master"/>
    <x v="3"/>
    <s v="Investment Analyst"/>
    <n v="11"/>
    <x v="1"/>
    <s v="Low"/>
    <s v="Yes"/>
    <n v="38307"/>
    <n v="38333"/>
    <x v="0"/>
    <n v="45"/>
    <x v="1"/>
    <n v="5"/>
    <n v="-15.39"/>
    <n v="26"/>
    <n v="6.7872712559062312E-2"/>
    <s v="Intermediate"/>
    <s v="Low Impact"/>
  </r>
  <r>
    <s v="E1320"/>
    <n v="29"/>
    <s v="Male"/>
    <s v="High School"/>
    <x v="0"/>
    <s v="Data Analyst"/>
    <n v="6"/>
    <x v="0"/>
    <s v="High"/>
    <s v="No"/>
    <n v="76716"/>
    <n v="78885"/>
    <x v="0"/>
    <n v="40"/>
    <x v="0"/>
    <n v="3"/>
    <n v="-15.55"/>
    <n v="2169"/>
    <n v="2.8273111215391835"/>
    <s v="Intermediate"/>
    <s v="Low Impact"/>
  </r>
  <r>
    <s v="E0488"/>
    <n v="58"/>
    <s v="Other"/>
    <s v="Bachelor"/>
    <x v="2"/>
    <s v="Digital Marketer"/>
    <n v="36"/>
    <x v="2"/>
    <s v="High"/>
    <s v="Yes"/>
    <n v="93761"/>
    <n v="108400"/>
    <x v="2"/>
    <n v="52"/>
    <x v="1"/>
    <n v="4"/>
    <n v="-15.62"/>
    <n v="14639"/>
    <n v="15.613101396102858"/>
    <s v="Expert"/>
    <s v="High Impact"/>
  </r>
  <r>
    <s v="E0446"/>
    <n v="35"/>
    <s v="Female"/>
    <s v="Bachelor"/>
    <x v="3"/>
    <s v="Investment Analyst"/>
    <n v="10"/>
    <x v="2"/>
    <s v="High"/>
    <s v="No"/>
    <n v="91388"/>
    <n v="125074"/>
    <x v="2"/>
    <n v="53"/>
    <x v="1"/>
    <n v="5"/>
    <n v="-15.66"/>
    <n v="33686"/>
    <n v="36.860419311069286"/>
    <s v="Intermediate"/>
    <s v="High Impact"/>
  </r>
  <r>
    <s v="E0528"/>
    <n v="54"/>
    <s v="Other"/>
    <s v="Bachelor"/>
    <x v="0"/>
    <s v="Data Analyst"/>
    <n v="31"/>
    <x v="0"/>
    <s v="Medium"/>
    <s v="Yes"/>
    <n v="111938"/>
    <n v="117717"/>
    <x v="1"/>
    <n v="49"/>
    <x v="0"/>
    <n v="9"/>
    <n v="-15.67"/>
    <n v="5779"/>
    <n v="5.162679340349122"/>
    <s v="Expert"/>
    <s v="Medium Impact"/>
  </r>
  <r>
    <s v="E0763"/>
    <n v="41"/>
    <s v="Female"/>
    <s v="High School"/>
    <x v="4"/>
    <s v="Cashier"/>
    <n v="16"/>
    <x v="0"/>
    <s v="Low"/>
    <s v="No"/>
    <n v="72674"/>
    <n v="69716"/>
    <x v="0"/>
    <n v="50"/>
    <x v="0"/>
    <n v="7"/>
    <n v="-15.73"/>
    <n v="-2958"/>
    <n v="-4.0702314445331202"/>
    <s v="Expert"/>
    <s v="Low Impact"/>
  </r>
  <r>
    <s v="E0048"/>
    <n v="28"/>
    <s v="Female"/>
    <s v="Master"/>
    <x v="1"/>
    <s v="Machine Operator"/>
    <n v="6"/>
    <x v="0"/>
    <s v="Medium"/>
    <s v="Yes"/>
    <n v="100316"/>
    <n v="98223"/>
    <x v="1"/>
    <n v="48"/>
    <x v="0"/>
    <n v="8"/>
    <n v="-15.74"/>
    <n v="-2093"/>
    <n v="-2.0864069540252799"/>
    <s v="Intermediate"/>
    <s v="Medium Impact"/>
  </r>
  <r>
    <s v="E1830"/>
    <n v="42"/>
    <s v="Male"/>
    <s v="PhD"/>
    <x v="0"/>
    <s v="DevOps Engineer"/>
    <n v="19"/>
    <x v="2"/>
    <s v="Low"/>
    <s v="No"/>
    <n v="72082"/>
    <n v="82860"/>
    <x v="0"/>
    <n v="40"/>
    <x v="1"/>
    <n v="7"/>
    <n v="-15.74"/>
    <n v="10778"/>
    <n v="14.952415304791767"/>
    <s v="Expert"/>
    <s v="Low Impact"/>
  </r>
  <r>
    <s v="E1084"/>
    <n v="49"/>
    <s v="Male"/>
    <s v="High School"/>
    <x v="6"/>
    <s v="Doctor"/>
    <n v="23"/>
    <x v="0"/>
    <s v="Low"/>
    <s v="Yes"/>
    <n v="45089"/>
    <n v="49299"/>
    <x v="0"/>
    <n v="46"/>
    <x v="1"/>
    <n v="3"/>
    <n v="-15.78"/>
    <n v="4210"/>
    <n v="9.3370888686819402"/>
    <s v="Expert"/>
    <s v="Low Impact"/>
  </r>
  <r>
    <s v="E1155"/>
    <n v="54"/>
    <s v="Other"/>
    <s v="PhD"/>
    <x v="4"/>
    <s v="Sales Associate"/>
    <n v="28"/>
    <x v="0"/>
    <s v="Medium"/>
    <s v="No"/>
    <n v="90561"/>
    <n v="98908"/>
    <x v="1"/>
    <n v="43"/>
    <x v="1"/>
    <n v="9"/>
    <n v="-15.84"/>
    <n v="8347"/>
    <n v="9.2169918618389808"/>
    <s v="Expert"/>
    <s v="Medium Impact"/>
  </r>
  <r>
    <s v="E1961"/>
    <n v="56"/>
    <s v="Other"/>
    <s v="Bachelor"/>
    <x v="5"/>
    <s v="Professor"/>
    <n v="31"/>
    <x v="1"/>
    <s v="Low"/>
    <s v="No"/>
    <n v="44306"/>
    <n v="50050"/>
    <x v="0"/>
    <n v="52"/>
    <x v="1"/>
    <n v="5"/>
    <n v="-15.85"/>
    <n v="5744"/>
    <n v="12.964384056335485"/>
    <s v="Expert"/>
    <s v="Low Impact"/>
  </r>
  <r>
    <s v="E0443"/>
    <n v="22"/>
    <s v="Male"/>
    <s v="High School"/>
    <x v="6"/>
    <s v="Technician"/>
    <n v="0"/>
    <x v="2"/>
    <s v="Medium"/>
    <s v="No"/>
    <n v="62792"/>
    <n v="74078"/>
    <x v="1"/>
    <n v="47"/>
    <x v="1"/>
    <n v="7"/>
    <n v="-15.86"/>
    <n v="11286"/>
    <n v="17.973627213657792"/>
    <s v="Beginner"/>
    <s v="Medium Impact"/>
  </r>
  <r>
    <s v="E0577"/>
    <n v="24"/>
    <s v="Female"/>
    <s v="PhD"/>
    <x v="1"/>
    <s v="Quality Inspector"/>
    <n v="0"/>
    <x v="0"/>
    <s v="High"/>
    <s v="No"/>
    <n v="103933"/>
    <n v="104544"/>
    <x v="0"/>
    <n v="38"/>
    <x v="0"/>
    <n v="5"/>
    <n v="-15.88"/>
    <n v="611"/>
    <n v="0.58787872956616283"/>
    <s v="Beginner"/>
    <s v="Low Impact"/>
  </r>
  <r>
    <s v="E0869"/>
    <n v="37"/>
    <s v="Male"/>
    <s v="High School"/>
    <x v="0"/>
    <s v="Data Analyst"/>
    <n v="13"/>
    <x v="0"/>
    <s v="Low"/>
    <s v="Yes"/>
    <n v="107355"/>
    <n v="112429"/>
    <x v="0"/>
    <n v="38"/>
    <x v="1"/>
    <n v="8"/>
    <n v="-15.89"/>
    <n v="5074"/>
    <n v="4.7263751106143168"/>
    <s v="Intermediate"/>
    <s v="Low Impact"/>
  </r>
  <r>
    <s v="E1666"/>
    <n v="42"/>
    <s v="Other"/>
    <s v="PhD"/>
    <x v="1"/>
    <s v="Machine Operator"/>
    <n v="16"/>
    <x v="1"/>
    <s v="Medium"/>
    <s v="No"/>
    <n v="39745"/>
    <n v="40791"/>
    <x v="1"/>
    <n v="38"/>
    <x v="1"/>
    <n v="8"/>
    <n v="-15.89"/>
    <n v="1046"/>
    <n v="2.6317775820857969"/>
    <s v="Expert"/>
    <s v="Medium Impact"/>
  </r>
  <r>
    <s v="E0670"/>
    <n v="25"/>
    <s v="Female"/>
    <s v="Master"/>
    <x v="3"/>
    <s v="Accountant"/>
    <n v="3"/>
    <x v="1"/>
    <s v="Low"/>
    <s v="Yes"/>
    <n v="35368"/>
    <n v="39415"/>
    <x v="0"/>
    <n v="46"/>
    <x v="1"/>
    <n v="9"/>
    <n v="-15.89"/>
    <n v="4047"/>
    <n v="11.442546935082561"/>
    <s v="Beginner"/>
    <s v="Low Impact"/>
  </r>
  <r>
    <s v="E0824"/>
    <n v="43"/>
    <s v="Female"/>
    <s v="PhD"/>
    <x v="4"/>
    <s v="Store Manager"/>
    <n v="20"/>
    <x v="0"/>
    <s v="High"/>
    <s v="Yes"/>
    <n v="75212"/>
    <n v="72809"/>
    <x v="0"/>
    <n v="52"/>
    <x v="0"/>
    <n v="9"/>
    <n v="-15.94"/>
    <n v="-2403"/>
    <n v="-3.1949688879434133"/>
    <s v="Expert"/>
    <s v="Low Impact"/>
  </r>
  <r>
    <s v="E0414"/>
    <n v="52"/>
    <s v="Female"/>
    <s v="High School"/>
    <x v="0"/>
    <s v="DevOps Engineer"/>
    <n v="30"/>
    <x v="0"/>
    <s v="Low"/>
    <s v="Yes"/>
    <n v="102982"/>
    <n v="110449"/>
    <x v="0"/>
    <n v="45"/>
    <x v="1"/>
    <n v="4"/>
    <n v="-15.96"/>
    <n v="7467"/>
    <n v="7.2507816900040778"/>
    <s v="Expert"/>
    <s v="Low Impact"/>
  </r>
  <r>
    <s v="E0790"/>
    <n v="46"/>
    <s v="Other"/>
    <s v="Bachelor"/>
    <x v="0"/>
    <s v="Software Engineer"/>
    <n v="20"/>
    <x v="0"/>
    <s v="High"/>
    <s v="No"/>
    <n v="70581"/>
    <n v="73294"/>
    <x v="0"/>
    <n v="43"/>
    <x v="1"/>
    <n v="5"/>
    <n v="-15.96"/>
    <n v="2713"/>
    <n v="3.8438106572590356"/>
    <s v="Expert"/>
    <s v="Low Impact"/>
  </r>
  <r>
    <s v="E0166"/>
    <n v="42"/>
    <s v="Other"/>
    <s v="PhD"/>
    <x v="0"/>
    <s v="Data Analyst"/>
    <n v="19"/>
    <x v="2"/>
    <s v="Medium"/>
    <s v="Yes"/>
    <n v="68243"/>
    <n v="74989"/>
    <x v="1"/>
    <n v="39"/>
    <x v="0"/>
    <n v="3"/>
    <n v="-15.97"/>
    <n v="6746"/>
    <n v="9.8852629573729178"/>
    <s v="Expert"/>
    <s v="Medium Impact"/>
  </r>
  <r>
    <s v="E1827"/>
    <n v="30"/>
    <s v="Male"/>
    <s v="Master"/>
    <x v="3"/>
    <s v="Accountant"/>
    <n v="4"/>
    <x v="1"/>
    <s v="Medium"/>
    <s v="Yes"/>
    <n v="47974"/>
    <n v="52381"/>
    <x v="1"/>
    <n v="51"/>
    <x v="0"/>
    <n v="9"/>
    <n v="-15.97"/>
    <n v="4407"/>
    <n v="9.1862258723475207"/>
    <s v="Beginner"/>
    <s v="Medium Impact"/>
  </r>
  <r>
    <s v="E0728"/>
    <n v="45"/>
    <s v="Other"/>
    <s v="Master"/>
    <x v="4"/>
    <s v="Store Manager"/>
    <n v="21"/>
    <x v="2"/>
    <s v="Low"/>
    <s v="Yes"/>
    <n v="79052"/>
    <n v="67398"/>
    <x v="0"/>
    <n v="54"/>
    <x v="1"/>
    <n v="8"/>
    <n v="-16.05"/>
    <n v="-11654"/>
    <n v="-14.742195010878914"/>
    <s v="Expert"/>
    <s v="Low Impact"/>
  </r>
  <r>
    <s v="E1159"/>
    <n v="55"/>
    <s v="Other"/>
    <s v="Bachelor"/>
    <x v="2"/>
    <s v="Digital Marketer"/>
    <n v="31"/>
    <x v="0"/>
    <s v="Medium"/>
    <s v="No"/>
    <n v="37833"/>
    <n v="36791"/>
    <x v="1"/>
    <n v="39"/>
    <x v="0"/>
    <n v="5"/>
    <n v="-16.07"/>
    <n v="-1042"/>
    <n v="-2.7542092881875613"/>
    <s v="Expert"/>
    <s v="Medium Impact"/>
  </r>
  <r>
    <s v="E0352"/>
    <n v="52"/>
    <s v="Other"/>
    <s v="High School"/>
    <x v="2"/>
    <s v="Digital Marketer"/>
    <n v="29"/>
    <x v="1"/>
    <s v="Medium"/>
    <s v="Yes"/>
    <n v="37896"/>
    <n v="42936"/>
    <x v="1"/>
    <n v="47"/>
    <x v="0"/>
    <n v="6"/>
    <n v="-16.079999999999998"/>
    <n v="5040"/>
    <n v="13.299556681443953"/>
    <s v="Expert"/>
    <s v="Medium Impact"/>
  </r>
  <r>
    <s v="E0192"/>
    <n v="34"/>
    <s v="Female"/>
    <s v="PhD"/>
    <x v="4"/>
    <s v="Store Manager"/>
    <n v="11"/>
    <x v="1"/>
    <s v="High"/>
    <s v="No"/>
    <n v="78280"/>
    <n v="87908"/>
    <x v="0"/>
    <n v="42"/>
    <x v="1"/>
    <n v="6"/>
    <n v="-16.100000000000001"/>
    <n v="9628"/>
    <n v="12.299437915176291"/>
    <s v="Intermediate"/>
    <s v="Low Impact"/>
  </r>
  <r>
    <s v="E1107"/>
    <n v="55"/>
    <s v="Female"/>
    <s v="PhD"/>
    <x v="1"/>
    <s v="Quality Inspector"/>
    <n v="29"/>
    <x v="2"/>
    <s v="Medium"/>
    <s v="Yes"/>
    <n v="60028"/>
    <n v="72283"/>
    <x v="1"/>
    <n v="46"/>
    <x v="0"/>
    <n v="3"/>
    <n v="-16.11"/>
    <n v="12255"/>
    <n v="20.41547277936963"/>
    <s v="Expert"/>
    <s v="Medium Impact"/>
  </r>
  <r>
    <s v="E0339"/>
    <n v="38"/>
    <s v="Other"/>
    <s v="Master"/>
    <x v="3"/>
    <s v="Accountant"/>
    <n v="13"/>
    <x v="1"/>
    <s v="High"/>
    <s v="No"/>
    <n v="66060"/>
    <n v="72183"/>
    <x v="0"/>
    <n v="50"/>
    <x v="0"/>
    <n v="4"/>
    <n v="-16.11"/>
    <n v="6123"/>
    <n v="9.2688465031789278"/>
    <s v="Intermediate"/>
    <s v="Low Impact"/>
  </r>
  <r>
    <s v="E0394"/>
    <n v="30"/>
    <s v="Female"/>
    <s v="Bachelor"/>
    <x v="3"/>
    <s v="Accountant"/>
    <n v="4"/>
    <x v="1"/>
    <s v="Low"/>
    <s v="Yes"/>
    <n v="76403"/>
    <n v="88670"/>
    <x v="0"/>
    <n v="35"/>
    <x v="0"/>
    <n v="7"/>
    <n v="-16.12"/>
    <n v="12267"/>
    <n v="16.05565226496342"/>
    <s v="Beginner"/>
    <s v="Low Impact"/>
  </r>
  <r>
    <s v="E0123"/>
    <n v="54"/>
    <s v="Other"/>
    <s v="PhD"/>
    <x v="1"/>
    <s v="Quality Inspector"/>
    <n v="31"/>
    <x v="2"/>
    <s v="Low"/>
    <s v="No"/>
    <n v="89383"/>
    <n v="78715"/>
    <x v="0"/>
    <n v="46"/>
    <x v="0"/>
    <n v="4"/>
    <n v="-16.2"/>
    <n v="-10668"/>
    <n v="-11.93515545461665"/>
    <s v="Expert"/>
    <s v="Low Impact"/>
  </r>
  <r>
    <s v="E0885"/>
    <n v="48"/>
    <s v="Female"/>
    <s v="PhD"/>
    <x v="5"/>
    <s v="Professor"/>
    <n v="25"/>
    <x v="1"/>
    <s v="Low"/>
    <s v="Yes"/>
    <n v="47400"/>
    <n v="53591"/>
    <x v="0"/>
    <n v="45"/>
    <x v="1"/>
    <n v="9"/>
    <n v="-16.28"/>
    <n v="6191"/>
    <n v="13.061181434599156"/>
    <s v="Expert"/>
    <s v="Low Impact"/>
  </r>
  <r>
    <s v="E0201"/>
    <n v="34"/>
    <s v="Male"/>
    <s v="High School"/>
    <x v="5"/>
    <s v="Administrator"/>
    <n v="9"/>
    <x v="2"/>
    <s v="High"/>
    <s v="No"/>
    <n v="115956"/>
    <n v="161745"/>
    <x v="1"/>
    <n v="47"/>
    <x v="1"/>
    <n v="8"/>
    <n v="-16.309999999999999"/>
    <n v="45789"/>
    <n v="39.488254165373071"/>
    <s v="Intermediate"/>
    <s v="Medium Impact"/>
  </r>
  <r>
    <s v="E1544"/>
    <n v="36"/>
    <s v="Female"/>
    <s v="Master"/>
    <x v="5"/>
    <s v="Professor"/>
    <n v="11"/>
    <x v="2"/>
    <s v="High"/>
    <s v="No"/>
    <n v="48361"/>
    <n v="38899"/>
    <x v="2"/>
    <n v="49"/>
    <x v="0"/>
    <n v="6"/>
    <n v="-16.350000000000001"/>
    <n v="-9462"/>
    <n v="-19.565352246645023"/>
    <s v="Intermediate"/>
    <s v="High Impact"/>
  </r>
  <r>
    <s v="E0711"/>
    <n v="34"/>
    <s v="Male"/>
    <s v="Bachelor"/>
    <x v="0"/>
    <s v="Software Engineer"/>
    <n v="12"/>
    <x v="0"/>
    <s v="Low"/>
    <s v="Yes"/>
    <n v="88741"/>
    <n v="87215"/>
    <x v="0"/>
    <n v="50"/>
    <x v="0"/>
    <n v="7"/>
    <n v="-16.399999999999999"/>
    <n v="-1526"/>
    <n v="-1.7196110028059184"/>
    <s v="Intermediate"/>
    <s v="Low Impact"/>
  </r>
  <r>
    <s v="E0303"/>
    <n v="46"/>
    <s v="Male"/>
    <s v="High School"/>
    <x v="4"/>
    <s v="Store Manager"/>
    <n v="23"/>
    <x v="2"/>
    <s v="High"/>
    <s v="Yes"/>
    <n v="85677"/>
    <n v="119683"/>
    <x v="1"/>
    <n v="49"/>
    <x v="1"/>
    <n v="3"/>
    <n v="-16.53"/>
    <n v="34006"/>
    <n v="39.690932222183321"/>
    <s v="Expert"/>
    <s v="Medium Impact"/>
  </r>
  <r>
    <s v="E1183"/>
    <n v="49"/>
    <s v="Female"/>
    <s v="High School"/>
    <x v="2"/>
    <s v="Digital Marketer"/>
    <n v="23"/>
    <x v="1"/>
    <s v="High"/>
    <s v="Yes"/>
    <n v="111552"/>
    <n v="118027"/>
    <x v="0"/>
    <n v="45"/>
    <x v="1"/>
    <n v="6"/>
    <n v="-16.57"/>
    <n v="6475"/>
    <n v="5.8044678714859437"/>
    <s v="Expert"/>
    <s v="Low Impact"/>
  </r>
  <r>
    <s v="E0981"/>
    <n v="37"/>
    <s v="Other"/>
    <s v="Bachelor"/>
    <x v="4"/>
    <s v="Sales Associate"/>
    <n v="12"/>
    <x v="2"/>
    <s v="Medium"/>
    <s v="No"/>
    <n v="119452"/>
    <n v="108766"/>
    <x v="1"/>
    <n v="43"/>
    <x v="1"/>
    <n v="7"/>
    <n v="-16.579999999999998"/>
    <n v="-10686"/>
    <n v="-8.9458527274553798"/>
    <s v="Intermediate"/>
    <s v="Medium Impact"/>
  </r>
  <r>
    <s v="E1328"/>
    <n v="24"/>
    <s v="Female"/>
    <s v="Bachelor"/>
    <x v="1"/>
    <s v="Machine Operator"/>
    <n v="0"/>
    <x v="2"/>
    <s v="Medium"/>
    <s v="Yes"/>
    <n v="52257"/>
    <n v="61349"/>
    <x v="1"/>
    <n v="44"/>
    <x v="1"/>
    <n v="3"/>
    <n v="-16.62"/>
    <n v="9092"/>
    <n v="17.398626021394261"/>
    <s v="Beginner"/>
    <s v="Medium Impact"/>
  </r>
  <r>
    <s v="E0346"/>
    <n v="38"/>
    <s v="Female"/>
    <s v="Bachelor"/>
    <x v="6"/>
    <s v="Nurse"/>
    <n v="14"/>
    <x v="2"/>
    <s v="Low"/>
    <s v="Yes"/>
    <n v="113820"/>
    <n v="144500"/>
    <x v="0"/>
    <n v="37"/>
    <x v="0"/>
    <n v="8"/>
    <n v="-16.63"/>
    <n v="30680"/>
    <n v="26.954840976981199"/>
    <s v="Intermediate"/>
    <s v="Low Impact"/>
  </r>
  <r>
    <s v="E0817"/>
    <n v="53"/>
    <s v="Male"/>
    <s v="Bachelor"/>
    <x v="5"/>
    <s v="Administrator"/>
    <n v="28"/>
    <x v="2"/>
    <s v="High"/>
    <s v="No"/>
    <n v="59424"/>
    <n v="55437"/>
    <x v="1"/>
    <n v="49"/>
    <x v="0"/>
    <n v="6"/>
    <n v="-16.63"/>
    <n v="-3987"/>
    <n v="-6.7094103392568663"/>
    <s v="Expert"/>
    <s v="Medium Impact"/>
  </r>
  <r>
    <s v="E1074"/>
    <n v="25"/>
    <s v="Male"/>
    <s v="High School"/>
    <x v="5"/>
    <s v="Professor"/>
    <n v="0"/>
    <x v="0"/>
    <s v="Low"/>
    <s v="No"/>
    <n v="62376"/>
    <n v="68487"/>
    <x v="0"/>
    <n v="52"/>
    <x v="1"/>
    <n v="3"/>
    <n v="-16.64"/>
    <n v="6111"/>
    <n v="9.7970373220469398"/>
    <s v="Beginner"/>
    <s v="Low Impact"/>
  </r>
  <r>
    <s v="E1605"/>
    <n v="24"/>
    <s v="Female"/>
    <s v="PhD"/>
    <x v="4"/>
    <s v="Cashier"/>
    <n v="0"/>
    <x v="0"/>
    <s v="Medium"/>
    <s v="Yes"/>
    <n v="101835"/>
    <n v="100157"/>
    <x v="1"/>
    <n v="45"/>
    <x v="0"/>
    <n v="8"/>
    <n v="-16.66"/>
    <n v="-1678"/>
    <n v="-1.6477635390582805"/>
    <s v="Beginner"/>
    <s v="Medium Impact"/>
  </r>
  <r>
    <s v="E0972"/>
    <n v="39"/>
    <s v="Other"/>
    <s v="High School"/>
    <x v="6"/>
    <s v="Nurse"/>
    <n v="14"/>
    <x v="0"/>
    <s v="High"/>
    <s v="No"/>
    <n v="90924"/>
    <n v="92642"/>
    <x v="0"/>
    <n v="36"/>
    <x v="0"/>
    <n v="4"/>
    <n v="-16.690000000000001"/>
    <n v="1718"/>
    <n v="1.8894901236197266"/>
    <s v="Intermediate"/>
    <s v="Low Impact"/>
  </r>
  <r>
    <s v="E0182"/>
    <n v="44"/>
    <s v="Female"/>
    <s v="High School"/>
    <x v="3"/>
    <s v="Auditor"/>
    <n v="18"/>
    <x v="0"/>
    <s v="High"/>
    <s v="Yes"/>
    <n v="36737"/>
    <n v="39005"/>
    <x v="0"/>
    <n v="37"/>
    <x v="0"/>
    <n v="4"/>
    <n v="-16.71"/>
    <n v="2268"/>
    <n v="6.1736124343305114"/>
    <s v="Expert"/>
    <s v="Low Impact"/>
  </r>
  <r>
    <s v="E1962"/>
    <n v="41"/>
    <s v="Other"/>
    <s v="Master"/>
    <x v="0"/>
    <s v="Software Engineer"/>
    <n v="15"/>
    <x v="0"/>
    <s v="Medium"/>
    <s v="Yes"/>
    <n v="119447"/>
    <n v="117457"/>
    <x v="1"/>
    <n v="54"/>
    <x v="1"/>
    <n v="4"/>
    <n v="-16.8"/>
    <n v="-1990"/>
    <n v="-1.6660108667442466"/>
    <s v="Expert"/>
    <s v="Medium Impact"/>
  </r>
  <r>
    <s v="E1805"/>
    <n v="24"/>
    <s v="Other"/>
    <s v="Master"/>
    <x v="2"/>
    <s v="Digital Marketer"/>
    <n v="0"/>
    <x v="0"/>
    <s v="Low"/>
    <s v="No"/>
    <n v="32606"/>
    <n v="34071"/>
    <x v="0"/>
    <n v="38"/>
    <x v="0"/>
    <n v="4"/>
    <n v="-16.82"/>
    <n v="1465"/>
    <n v="4.4930380911488683"/>
    <s v="Beginner"/>
    <s v="Low Impact"/>
  </r>
  <r>
    <s v="E0875"/>
    <n v="33"/>
    <s v="Male"/>
    <s v="Bachelor"/>
    <x v="2"/>
    <s v="Content Creator"/>
    <n v="8"/>
    <x v="1"/>
    <s v="High"/>
    <s v="Yes"/>
    <n v="40358"/>
    <n v="39456"/>
    <x v="0"/>
    <n v="51"/>
    <x v="0"/>
    <n v="3"/>
    <n v="-16.829999999999998"/>
    <n v="-902"/>
    <n v="-2.2349967788294762"/>
    <s v="Intermediate"/>
    <s v="Low Impact"/>
  </r>
  <r>
    <s v="E1913"/>
    <n v="49"/>
    <s v="Female"/>
    <s v="PhD"/>
    <x v="4"/>
    <s v="Sales Associate"/>
    <n v="27"/>
    <x v="1"/>
    <s v="Low"/>
    <s v="Yes"/>
    <n v="92866"/>
    <n v="92349"/>
    <x v="0"/>
    <n v="49"/>
    <x v="1"/>
    <n v="4"/>
    <n v="-16.86"/>
    <n v="-517"/>
    <n v="-0.55671612861542441"/>
    <s v="Expert"/>
    <s v="Low Impact"/>
  </r>
  <r>
    <s v="E0362"/>
    <n v="33"/>
    <s v="Female"/>
    <s v="Bachelor"/>
    <x v="4"/>
    <s v="Sales Associate"/>
    <n v="8"/>
    <x v="1"/>
    <s v="High"/>
    <s v="Yes"/>
    <n v="100202"/>
    <n v="103986"/>
    <x v="0"/>
    <n v="51"/>
    <x v="0"/>
    <n v="9"/>
    <n v="-16.88"/>
    <n v="3784"/>
    <n v="3.7763717291072036"/>
    <s v="Intermediate"/>
    <s v="Low Impact"/>
  </r>
  <r>
    <s v="E0179"/>
    <n v="39"/>
    <s v="Male"/>
    <s v="PhD"/>
    <x v="1"/>
    <s v="Supervisor"/>
    <n v="17"/>
    <x v="1"/>
    <s v="Medium"/>
    <s v="No"/>
    <n v="107454"/>
    <n v="119053"/>
    <x v="1"/>
    <n v="49"/>
    <x v="0"/>
    <n v="4"/>
    <n v="-16.899999999999999"/>
    <n v="11599"/>
    <n v="10.794386435125729"/>
    <s v="Expert"/>
    <s v="Medium Impact"/>
  </r>
  <r>
    <s v="E1916"/>
    <n v="53"/>
    <s v="Female"/>
    <s v="PhD"/>
    <x v="2"/>
    <s v="Digital Marketer"/>
    <n v="30"/>
    <x v="2"/>
    <s v="Low"/>
    <s v="Yes"/>
    <n v="86878"/>
    <n v="116176"/>
    <x v="0"/>
    <n v="38"/>
    <x v="1"/>
    <n v="6"/>
    <n v="-16.97"/>
    <n v="29298"/>
    <n v="33.72315200626165"/>
    <s v="Expert"/>
    <s v="Low Impact"/>
  </r>
  <r>
    <s v="E0485"/>
    <n v="27"/>
    <s v="Other"/>
    <s v="Bachelor"/>
    <x v="5"/>
    <s v="Administrator"/>
    <n v="1"/>
    <x v="0"/>
    <s v="Low"/>
    <s v="Yes"/>
    <n v="73527"/>
    <n v="72157"/>
    <x v="0"/>
    <n v="35"/>
    <x v="0"/>
    <n v="3"/>
    <n v="-17"/>
    <n v="-1370"/>
    <n v="-1.863261114964571"/>
    <s v="Beginner"/>
    <s v="Low Impact"/>
  </r>
  <r>
    <s v="E1709"/>
    <n v="23"/>
    <s v="Other"/>
    <s v="Bachelor"/>
    <x v="0"/>
    <s v="Data Analyst"/>
    <n v="0"/>
    <x v="1"/>
    <s v="Medium"/>
    <s v="No"/>
    <n v="40857"/>
    <n v="48003"/>
    <x v="1"/>
    <n v="47"/>
    <x v="1"/>
    <n v="3"/>
    <n v="-17"/>
    <n v="7146"/>
    <n v="17.490270945003306"/>
    <s v="Beginner"/>
    <s v="Medium Impact"/>
  </r>
  <r>
    <s v="E1041"/>
    <n v="23"/>
    <s v="Other"/>
    <s v="High School"/>
    <x v="1"/>
    <s v="Supervisor"/>
    <n v="0"/>
    <x v="0"/>
    <s v="High"/>
    <s v="No"/>
    <n v="113028"/>
    <n v="123521"/>
    <x v="0"/>
    <n v="51"/>
    <x v="1"/>
    <n v="4"/>
    <n v="-17.010000000000002"/>
    <n v="10493"/>
    <n v="9.2835403616802914"/>
    <s v="Beginner"/>
    <s v="Low Impact"/>
  </r>
  <r>
    <s v="E0640"/>
    <n v="32"/>
    <s v="Female"/>
    <s v="High School"/>
    <x v="0"/>
    <s v="DevOps Engineer"/>
    <n v="9"/>
    <x v="0"/>
    <s v="Low"/>
    <s v="No"/>
    <n v="99327"/>
    <n v="97898"/>
    <x v="0"/>
    <n v="35"/>
    <x v="1"/>
    <n v="7"/>
    <n v="-17.02"/>
    <n v="-1429"/>
    <n v="-1.4386823320949993"/>
    <s v="Intermediate"/>
    <s v="Low Impact"/>
  </r>
  <r>
    <s v="E1787"/>
    <n v="48"/>
    <s v="Female"/>
    <s v="Bachelor"/>
    <x v="4"/>
    <s v="Sales Associate"/>
    <n v="23"/>
    <x v="0"/>
    <s v="Medium"/>
    <s v="Yes"/>
    <n v="81993"/>
    <n v="85079"/>
    <x v="1"/>
    <n v="35"/>
    <x v="1"/>
    <n v="8"/>
    <n v="-17.09"/>
    <n v="3086"/>
    <n v="3.7637359286768381"/>
    <s v="Expert"/>
    <s v="Medium Impact"/>
  </r>
  <r>
    <s v="E0768"/>
    <n v="44"/>
    <s v="Female"/>
    <s v="Master"/>
    <x v="4"/>
    <s v="Cashier"/>
    <n v="20"/>
    <x v="2"/>
    <s v="Low"/>
    <s v="Yes"/>
    <n v="109854"/>
    <n v="135919"/>
    <x v="0"/>
    <n v="47"/>
    <x v="0"/>
    <n v="5"/>
    <n v="-17.18"/>
    <n v="26065"/>
    <n v="23.726946674677301"/>
    <s v="Expert"/>
    <s v="Low Impact"/>
  </r>
  <r>
    <s v="E1260"/>
    <n v="57"/>
    <s v="Female"/>
    <s v="High School"/>
    <x v="4"/>
    <s v="Store Manager"/>
    <n v="34"/>
    <x v="0"/>
    <s v="Medium"/>
    <s v="No"/>
    <n v="58439"/>
    <n v="58011"/>
    <x v="1"/>
    <n v="41"/>
    <x v="0"/>
    <n v="9"/>
    <n v="-17.18"/>
    <n v="-428"/>
    <n v="-0.73238761785793738"/>
    <s v="Expert"/>
    <s v="Medium Impact"/>
  </r>
  <r>
    <s v="E0637"/>
    <n v="51"/>
    <s v="Female"/>
    <s v="Bachelor"/>
    <x v="4"/>
    <s v="Store Manager"/>
    <n v="28"/>
    <x v="2"/>
    <s v="High"/>
    <s v="No"/>
    <n v="60676"/>
    <n v="76314"/>
    <x v="2"/>
    <n v="51"/>
    <x v="0"/>
    <n v="5"/>
    <n v="-17.27"/>
    <n v="15638"/>
    <n v="25.772958006460545"/>
    <s v="Expert"/>
    <s v="High Impact"/>
  </r>
  <r>
    <s v="E1697"/>
    <n v="36"/>
    <s v="Other"/>
    <s v="Master"/>
    <x v="2"/>
    <s v="SEO Specialist"/>
    <n v="13"/>
    <x v="1"/>
    <s v="High"/>
    <s v="Yes"/>
    <n v="107066"/>
    <n v="122713"/>
    <x v="0"/>
    <n v="54"/>
    <x v="1"/>
    <n v="9"/>
    <n v="-17.32"/>
    <n v="15647"/>
    <n v="14.614350027086095"/>
    <s v="Intermediate"/>
    <s v="Low Impact"/>
  </r>
  <r>
    <s v="E1949"/>
    <n v="33"/>
    <s v="Male"/>
    <s v="Master"/>
    <x v="6"/>
    <s v="Nurse"/>
    <n v="8"/>
    <x v="1"/>
    <s v="Medium"/>
    <s v="Yes"/>
    <n v="80513"/>
    <n v="88430"/>
    <x v="1"/>
    <n v="47"/>
    <x v="1"/>
    <n v="5"/>
    <n v="-17.36"/>
    <n v="7917"/>
    <n v="9.8331946393750069"/>
    <s v="Intermediate"/>
    <s v="Medium Impact"/>
  </r>
  <r>
    <s v="E0467"/>
    <n v="49"/>
    <s v="Male"/>
    <s v="High School"/>
    <x v="1"/>
    <s v="Machine Operator"/>
    <n v="27"/>
    <x v="2"/>
    <s v="Low"/>
    <s v="No"/>
    <n v="104083"/>
    <n v="88595"/>
    <x v="0"/>
    <n v="47"/>
    <x v="1"/>
    <n v="3"/>
    <n v="-17.420000000000002"/>
    <n v="-15488"/>
    <n v="-14.880431962952645"/>
    <s v="Expert"/>
    <s v="Low Impact"/>
  </r>
  <r>
    <s v="E0229"/>
    <n v="47"/>
    <s v="Female"/>
    <s v="Master"/>
    <x v="3"/>
    <s v="Investment Analyst"/>
    <n v="24"/>
    <x v="2"/>
    <s v="Medium"/>
    <s v="No"/>
    <n v="111905"/>
    <n v="144677"/>
    <x v="1"/>
    <n v="46"/>
    <x v="1"/>
    <n v="3"/>
    <n v="-17.53"/>
    <n v="32772"/>
    <n v="29.285554711585721"/>
    <s v="Expert"/>
    <s v="Medium Impact"/>
  </r>
  <r>
    <s v="E0053"/>
    <n v="37"/>
    <s v="Female"/>
    <s v="Bachelor"/>
    <x v="6"/>
    <s v="Technician"/>
    <n v="11"/>
    <x v="0"/>
    <s v="Medium"/>
    <s v="Yes"/>
    <n v="47019"/>
    <n v="49707"/>
    <x v="1"/>
    <n v="53"/>
    <x v="1"/>
    <n v="6"/>
    <n v="-17.54"/>
    <n v="2688"/>
    <n v="5.7168378740509151"/>
    <s v="Intermediate"/>
    <s v="Medium Impact"/>
  </r>
  <r>
    <s v="E1123"/>
    <n v="44"/>
    <s v="Other"/>
    <s v="PhD"/>
    <x v="1"/>
    <s v="Supervisor"/>
    <n v="22"/>
    <x v="0"/>
    <s v="Low"/>
    <s v="No"/>
    <n v="40940"/>
    <n v="41384"/>
    <x v="0"/>
    <n v="36"/>
    <x v="0"/>
    <n v="3"/>
    <n v="-17.54"/>
    <n v="444"/>
    <n v="1.0845139228138738"/>
    <s v="Expert"/>
    <s v="Low Impact"/>
  </r>
  <r>
    <s v="E1573"/>
    <n v="55"/>
    <s v="Female"/>
    <s v="Master"/>
    <x v="6"/>
    <s v="Technician"/>
    <n v="32"/>
    <x v="0"/>
    <s v="Low"/>
    <s v="No"/>
    <n v="96351"/>
    <n v="99440"/>
    <x v="0"/>
    <n v="48"/>
    <x v="1"/>
    <n v="9"/>
    <n v="-17.55"/>
    <n v="3089"/>
    <n v="3.2059864453923677"/>
    <s v="Expert"/>
    <s v="Low Impact"/>
  </r>
  <r>
    <s v="E1531"/>
    <n v="29"/>
    <s v="Female"/>
    <s v="PhD"/>
    <x v="5"/>
    <s v="Teacher"/>
    <n v="4"/>
    <x v="0"/>
    <s v="Low"/>
    <s v="Yes"/>
    <n v="89405"/>
    <n v="95232"/>
    <x v="0"/>
    <n v="50"/>
    <x v="1"/>
    <n v="7"/>
    <n v="-17.57"/>
    <n v="5827"/>
    <n v="6.5175325764778265"/>
    <s v="Beginner"/>
    <s v="Low Impact"/>
  </r>
  <r>
    <s v="E0016"/>
    <n v="26"/>
    <s v="Other"/>
    <s v="Bachelor"/>
    <x v="5"/>
    <s v="Administrator"/>
    <n v="3"/>
    <x v="0"/>
    <s v="Medium"/>
    <s v="Yes"/>
    <n v="36910"/>
    <n v="36482"/>
    <x v="1"/>
    <n v="49"/>
    <x v="1"/>
    <n v="9"/>
    <n v="-17.57"/>
    <n v="-428"/>
    <n v="-1.1595773503115687"/>
    <s v="Beginner"/>
    <s v="Medium Impact"/>
  </r>
  <r>
    <s v="E0225"/>
    <n v="46"/>
    <s v="Male"/>
    <s v="High School"/>
    <x v="6"/>
    <s v="Doctor"/>
    <n v="24"/>
    <x v="0"/>
    <s v="Medium"/>
    <s v="No"/>
    <n v="81195"/>
    <n v="86633"/>
    <x v="1"/>
    <n v="53"/>
    <x v="1"/>
    <n v="3"/>
    <n v="-17.62"/>
    <n v="5438"/>
    <n v="6.6974567399470413"/>
    <s v="Expert"/>
    <s v="Medium Impact"/>
  </r>
  <r>
    <s v="E1679"/>
    <n v="24"/>
    <s v="Female"/>
    <s v="PhD"/>
    <x v="2"/>
    <s v="Content Creator"/>
    <n v="1"/>
    <x v="1"/>
    <s v="Low"/>
    <s v="Yes"/>
    <n v="47443"/>
    <n v="46435"/>
    <x v="0"/>
    <n v="51"/>
    <x v="0"/>
    <n v="8"/>
    <n v="-17.64"/>
    <n v="-1008"/>
    <n v="-2.1246548489766668"/>
    <s v="Beginner"/>
    <s v="Low Impact"/>
  </r>
  <r>
    <s v="E0422"/>
    <n v="45"/>
    <s v="Male"/>
    <s v="Master"/>
    <x v="6"/>
    <s v="Doctor"/>
    <n v="21"/>
    <x v="1"/>
    <s v="High"/>
    <s v="No"/>
    <n v="100188"/>
    <n v="101717"/>
    <x v="0"/>
    <n v="45"/>
    <x v="0"/>
    <n v="5"/>
    <n v="-17.66"/>
    <n v="1529"/>
    <n v="1.526130873956961"/>
    <s v="Expert"/>
    <s v="Low Impact"/>
  </r>
  <r>
    <s v="E0827"/>
    <n v="37"/>
    <s v="Male"/>
    <s v="Bachelor"/>
    <x v="6"/>
    <s v="Doctor"/>
    <n v="14"/>
    <x v="0"/>
    <s v="Medium"/>
    <s v="Yes"/>
    <n v="101537"/>
    <n v="99352"/>
    <x v="1"/>
    <n v="47"/>
    <x v="1"/>
    <n v="4"/>
    <n v="-17.66"/>
    <n v="-2185"/>
    <n v="-2.1519249140707331"/>
    <s v="Intermediate"/>
    <s v="Medium Impact"/>
  </r>
  <r>
    <s v="E0597"/>
    <n v="56"/>
    <s v="Other"/>
    <s v="PhD"/>
    <x v="3"/>
    <s v="Investment Analyst"/>
    <n v="33"/>
    <x v="0"/>
    <s v="Low"/>
    <s v="Yes"/>
    <n v="82656"/>
    <n v="87974"/>
    <x v="0"/>
    <n v="49"/>
    <x v="0"/>
    <n v="5"/>
    <n v="-17.66"/>
    <n v="5318"/>
    <n v="6.4338946960898173"/>
    <s v="Expert"/>
    <s v="Low Impact"/>
  </r>
  <r>
    <s v="E0499"/>
    <n v="44"/>
    <s v="Other"/>
    <s v="PhD"/>
    <x v="4"/>
    <s v="Cashier"/>
    <n v="21"/>
    <x v="0"/>
    <s v="Low"/>
    <s v="No"/>
    <n v="42602"/>
    <n v="41883"/>
    <x v="0"/>
    <n v="35"/>
    <x v="1"/>
    <n v="3"/>
    <n v="-17.66"/>
    <n v="-719"/>
    <n v="-1.68771419182198"/>
    <s v="Expert"/>
    <s v="Low Impact"/>
  </r>
  <r>
    <s v="E0050"/>
    <n v="43"/>
    <s v="Other"/>
    <s v="Bachelor"/>
    <x v="6"/>
    <s v="Nurse"/>
    <n v="20"/>
    <x v="2"/>
    <s v="Low"/>
    <s v="Yes"/>
    <n v="86661"/>
    <n v="82341"/>
    <x v="0"/>
    <n v="49"/>
    <x v="0"/>
    <n v="8"/>
    <n v="-17.670000000000002"/>
    <n v="-4320"/>
    <n v="-4.9849413230865096"/>
    <s v="Expert"/>
    <s v="Low Impact"/>
  </r>
  <r>
    <s v="E0900"/>
    <n v="46"/>
    <s v="Other"/>
    <s v="Bachelor"/>
    <x v="2"/>
    <s v="Digital Marketer"/>
    <n v="21"/>
    <x v="0"/>
    <s v="Low"/>
    <s v="No"/>
    <n v="50836"/>
    <n v="50595"/>
    <x v="0"/>
    <n v="43"/>
    <x v="0"/>
    <n v="6"/>
    <n v="-17.760000000000002"/>
    <n v="-241"/>
    <n v="-0.47407349122668974"/>
    <s v="Expert"/>
    <s v="Low Impact"/>
  </r>
  <r>
    <s v="E1151"/>
    <n v="44"/>
    <s v="Male"/>
    <s v="PhD"/>
    <x v="0"/>
    <s v="DevOps Engineer"/>
    <n v="20"/>
    <x v="2"/>
    <s v="Medium"/>
    <s v="No"/>
    <n v="56872"/>
    <n v="53953"/>
    <x v="1"/>
    <n v="40"/>
    <x v="0"/>
    <n v="4"/>
    <n v="-17.82"/>
    <n v="-2919"/>
    <n v="-5.1325784217189483"/>
    <s v="Expert"/>
    <s v="Medium Impact"/>
  </r>
  <r>
    <s v="E0826"/>
    <n v="53"/>
    <s v="Other"/>
    <s v="Master"/>
    <x v="5"/>
    <s v="Teacher"/>
    <n v="31"/>
    <x v="1"/>
    <s v="Medium"/>
    <s v="Yes"/>
    <n v="40345"/>
    <n v="37649"/>
    <x v="1"/>
    <n v="40"/>
    <x v="1"/>
    <n v="8"/>
    <n v="-17.86"/>
    <n v="-2696"/>
    <n v="-6.6823646052794645"/>
    <s v="Expert"/>
    <s v="Medium Impact"/>
  </r>
  <r>
    <s v="E0894"/>
    <n v="58"/>
    <s v="Male"/>
    <s v="Master"/>
    <x v="5"/>
    <s v="Teacher"/>
    <n v="35"/>
    <x v="0"/>
    <s v="High"/>
    <s v="Yes"/>
    <n v="82311"/>
    <n v="82465"/>
    <x v="0"/>
    <n v="43"/>
    <x v="0"/>
    <n v="9"/>
    <n v="-17.89"/>
    <n v="154"/>
    <n v="0.18709528495583821"/>
    <s v="Expert"/>
    <s v="Low Impact"/>
  </r>
  <r>
    <s v="E1699"/>
    <n v="52"/>
    <s v="Other"/>
    <s v="High School"/>
    <x v="0"/>
    <s v="Software Engineer"/>
    <n v="29"/>
    <x v="1"/>
    <s v="Medium"/>
    <s v="Yes"/>
    <n v="102999"/>
    <n v="100633"/>
    <x v="1"/>
    <n v="38"/>
    <x v="0"/>
    <n v="3"/>
    <n v="-17.91"/>
    <n v="-2366"/>
    <n v="-2.2971096806765114"/>
    <s v="Expert"/>
    <s v="Medium Impact"/>
  </r>
  <r>
    <s v="E1934"/>
    <n v="42"/>
    <s v="Male"/>
    <s v="PhD"/>
    <x v="0"/>
    <s v="DevOps Engineer"/>
    <n v="17"/>
    <x v="1"/>
    <s v="Medium"/>
    <s v="No"/>
    <n v="36450"/>
    <n v="39871"/>
    <x v="1"/>
    <n v="45"/>
    <x v="0"/>
    <n v="8"/>
    <n v="-17.91"/>
    <n v="3421"/>
    <n v="9.3854595336076816"/>
    <s v="Expert"/>
    <s v="Medium Impact"/>
  </r>
  <r>
    <s v="E0392"/>
    <n v="37"/>
    <s v="Other"/>
    <s v="Master"/>
    <x v="4"/>
    <s v="Store Manager"/>
    <n v="11"/>
    <x v="2"/>
    <s v="High"/>
    <s v="Yes"/>
    <n v="104813"/>
    <n v="133819"/>
    <x v="1"/>
    <n v="37"/>
    <x v="1"/>
    <n v="5"/>
    <n v="-17.920000000000002"/>
    <n v="29006"/>
    <n v="27.67404806655663"/>
    <s v="Intermediate"/>
    <s v="Medium Impact"/>
  </r>
  <r>
    <s v="E0007"/>
    <n v="49"/>
    <s v="Male"/>
    <s v="PhD"/>
    <x v="5"/>
    <s v="Administrator"/>
    <n v="24"/>
    <x v="2"/>
    <s v="Medium"/>
    <s v="No"/>
    <n v="78555"/>
    <n v="86183"/>
    <x v="1"/>
    <n v="48"/>
    <x v="1"/>
    <n v="3"/>
    <n v="-17.940000000000001"/>
    <n v="7628"/>
    <n v="9.7103939914709425"/>
    <s v="Expert"/>
    <s v="Medium Impact"/>
  </r>
  <r>
    <s v="E1741"/>
    <n v="29"/>
    <s v="Other"/>
    <s v="PhD"/>
    <x v="3"/>
    <s v="Investment Analyst"/>
    <n v="4"/>
    <x v="0"/>
    <s v="High"/>
    <s v="No"/>
    <n v="89719"/>
    <n v="85395"/>
    <x v="0"/>
    <n v="50"/>
    <x v="1"/>
    <n v="3"/>
    <n v="-17.940000000000001"/>
    <n v="-4324"/>
    <n v="-4.8194919693710361"/>
    <s v="Beginner"/>
    <s v="Low Impact"/>
  </r>
  <r>
    <s v="E0988"/>
    <n v="22"/>
    <s v="Other"/>
    <s v="High School"/>
    <x v="2"/>
    <s v="Digital Marketer"/>
    <n v="0"/>
    <x v="0"/>
    <s v="High"/>
    <s v="No"/>
    <n v="90624"/>
    <n v="91965"/>
    <x v="0"/>
    <n v="47"/>
    <x v="1"/>
    <n v="8"/>
    <n v="-18.02"/>
    <n v="1341"/>
    <n v="1.4797404661016951"/>
    <s v="Beginner"/>
    <s v="Low Impact"/>
  </r>
  <r>
    <s v="E1739"/>
    <n v="25"/>
    <s v="Female"/>
    <s v="PhD"/>
    <x v="0"/>
    <s v="DevOps Engineer"/>
    <n v="3"/>
    <x v="0"/>
    <s v="Low"/>
    <s v="No"/>
    <n v="92919"/>
    <n v="95101"/>
    <x v="0"/>
    <n v="45"/>
    <x v="1"/>
    <n v="8"/>
    <n v="-18.07"/>
    <n v="2182"/>
    <n v="2.3482818368686704"/>
    <s v="Beginner"/>
    <s v="Low Impact"/>
  </r>
  <r>
    <s v="E1370"/>
    <n v="39"/>
    <s v="Other"/>
    <s v="High School"/>
    <x v="6"/>
    <s v="Technician"/>
    <n v="14"/>
    <x v="1"/>
    <s v="High"/>
    <s v="No"/>
    <n v="44961"/>
    <n v="51784"/>
    <x v="0"/>
    <n v="43"/>
    <x v="0"/>
    <n v="5"/>
    <n v="-18.079999999999998"/>
    <n v="6823"/>
    <n v="15.175374213207002"/>
    <s v="Intermediate"/>
    <s v="Low Impact"/>
  </r>
  <r>
    <s v="E1037"/>
    <n v="50"/>
    <s v="Other"/>
    <s v="High School"/>
    <x v="0"/>
    <s v="Data Analyst"/>
    <n v="26"/>
    <x v="2"/>
    <s v="Medium"/>
    <s v="Yes"/>
    <n v="88701"/>
    <n v="110451"/>
    <x v="1"/>
    <n v="37"/>
    <x v="0"/>
    <n v="8"/>
    <n v="-18.11"/>
    <n v="21750"/>
    <n v="24.520580376771399"/>
    <s v="Expert"/>
    <s v="Medium Impact"/>
  </r>
  <r>
    <s v="E0017"/>
    <n v="47"/>
    <s v="Other"/>
    <s v="PhD"/>
    <x v="5"/>
    <s v="Teacher"/>
    <n v="24"/>
    <x v="2"/>
    <s v="Medium"/>
    <s v="Yes"/>
    <n v="53419"/>
    <n v="46193"/>
    <x v="1"/>
    <n v="41"/>
    <x v="1"/>
    <n v="3"/>
    <n v="-18.11"/>
    <n v="-7226"/>
    <n v="-13.52702222055823"/>
    <s v="Expert"/>
    <s v="Medium Impact"/>
  </r>
  <r>
    <s v="E0172"/>
    <n v="45"/>
    <s v="Other"/>
    <s v="PhD"/>
    <x v="6"/>
    <s v="Nurse"/>
    <n v="19"/>
    <x v="0"/>
    <s v="Low"/>
    <s v="Yes"/>
    <n v="119399"/>
    <n v="117278"/>
    <x v="0"/>
    <n v="54"/>
    <x v="0"/>
    <n v="5"/>
    <n v="-18.13"/>
    <n v="-2121"/>
    <n v="-1.7763967872427744"/>
    <s v="Expert"/>
    <s v="Low Impact"/>
  </r>
  <r>
    <s v="E1463"/>
    <n v="26"/>
    <s v="Other"/>
    <s v="Master"/>
    <x v="1"/>
    <s v="Supervisor"/>
    <n v="0"/>
    <x v="0"/>
    <s v="Low"/>
    <s v="No"/>
    <n v="65999"/>
    <n v="71326"/>
    <x v="0"/>
    <n v="45"/>
    <x v="1"/>
    <n v="7"/>
    <n v="-18.18"/>
    <n v="5327"/>
    <n v="8.071334414157791"/>
    <s v="Beginner"/>
    <s v="Low Impact"/>
  </r>
  <r>
    <s v="E0254"/>
    <n v="44"/>
    <s v="Male"/>
    <s v="PhD"/>
    <x v="5"/>
    <s v="Professor"/>
    <n v="19"/>
    <x v="1"/>
    <s v="Low"/>
    <s v="Yes"/>
    <n v="109141"/>
    <n v="102799"/>
    <x v="0"/>
    <n v="47"/>
    <x v="0"/>
    <n v="6"/>
    <n v="-18.2"/>
    <n v="-6342"/>
    <n v="-5.8108318597044191"/>
    <s v="Expert"/>
    <s v="Low Impact"/>
  </r>
  <r>
    <s v="E1148"/>
    <n v="51"/>
    <s v="Male"/>
    <s v="High School"/>
    <x v="0"/>
    <s v="Data Analyst"/>
    <n v="27"/>
    <x v="1"/>
    <s v="High"/>
    <s v="Yes"/>
    <n v="60255"/>
    <n v="70662"/>
    <x v="0"/>
    <n v="46"/>
    <x v="1"/>
    <n v="7"/>
    <n v="-18.25"/>
    <n v="10407"/>
    <n v="17.271595718197659"/>
    <s v="Expert"/>
    <s v="Low Impact"/>
  </r>
  <r>
    <s v="E0494"/>
    <n v="29"/>
    <s v="Other"/>
    <s v="PhD"/>
    <x v="4"/>
    <s v="Sales Associate"/>
    <n v="5"/>
    <x v="0"/>
    <s v="High"/>
    <s v="Yes"/>
    <n v="57413"/>
    <n v="58234"/>
    <x v="0"/>
    <n v="37"/>
    <x v="1"/>
    <n v="6"/>
    <n v="-18.25"/>
    <n v="821"/>
    <n v="1.4299897235817671"/>
    <s v="Intermediate"/>
    <s v="Low Impact"/>
  </r>
  <r>
    <s v="E0713"/>
    <n v="53"/>
    <s v="Other"/>
    <s v="High School"/>
    <x v="6"/>
    <s v="Nurse"/>
    <n v="30"/>
    <x v="0"/>
    <s v="Low"/>
    <s v="No"/>
    <n v="35543"/>
    <n v="34439"/>
    <x v="0"/>
    <n v="44"/>
    <x v="1"/>
    <n v="3"/>
    <n v="-18.329999999999998"/>
    <n v="-1104"/>
    <n v="-3.1060968404467828"/>
    <s v="Expert"/>
    <s v="Low Impact"/>
  </r>
  <r>
    <s v="E0386"/>
    <n v="41"/>
    <s v="Other"/>
    <s v="Master"/>
    <x v="5"/>
    <s v="Administrator"/>
    <n v="19"/>
    <x v="2"/>
    <s v="High"/>
    <s v="No"/>
    <n v="38472"/>
    <n v="40505"/>
    <x v="2"/>
    <n v="40"/>
    <x v="1"/>
    <n v="9"/>
    <n v="-18.37"/>
    <n v="2033"/>
    <n v="5.2843626533582864"/>
    <s v="Expert"/>
    <s v="High Impact"/>
  </r>
  <r>
    <s v="E0159"/>
    <n v="39"/>
    <s v="Male"/>
    <s v="Bachelor"/>
    <x v="6"/>
    <s v="Technician"/>
    <n v="16"/>
    <x v="2"/>
    <s v="Medium"/>
    <s v="No"/>
    <n v="46032"/>
    <n v="42567"/>
    <x v="1"/>
    <n v="53"/>
    <x v="1"/>
    <n v="6"/>
    <n v="-18.41"/>
    <n v="-3465"/>
    <n v="-7.5273722627737225"/>
    <s v="Expert"/>
    <s v="Medium Impact"/>
  </r>
  <r>
    <s v="E1617"/>
    <n v="27"/>
    <s v="Male"/>
    <s v="High School"/>
    <x v="5"/>
    <s v="Professor"/>
    <n v="3"/>
    <x v="2"/>
    <s v="Medium"/>
    <s v="Yes"/>
    <n v="63071"/>
    <n v="53805"/>
    <x v="1"/>
    <n v="35"/>
    <x v="0"/>
    <n v="9"/>
    <n v="-18.420000000000002"/>
    <n v="-9266"/>
    <n v="-14.691379556372977"/>
    <s v="Beginner"/>
    <s v="Medium Impact"/>
  </r>
  <r>
    <s v="E1130"/>
    <n v="42"/>
    <s v="Female"/>
    <s v="PhD"/>
    <x v="4"/>
    <s v="Sales Associate"/>
    <n v="16"/>
    <x v="2"/>
    <s v="High"/>
    <s v="No"/>
    <n v="105379"/>
    <n v="107813"/>
    <x v="1"/>
    <n v="44"/>
    <x v="1"/>
    <n v="3"/>
    <n v="-18.45"/>
    <n v="2434"/>
    <n v="2.3097581111986258"/>
    <s v="Expert"/>
    <s v="Medium Impact"/>
  </r>
  <r>
    <s v="E1745"/>
    <n v="47"/>
    <s v="Other"/>
    <s v="PhD"/>
    <x v="3"/>
    <s v="Accountant"/>
    <n v="23"/>
    <x v="2"/>
    <s v="Medium"/>
    <s v="No"/>
    <n v="103927"/>
    <n v="106075"/>
    <x v="1"/>
    <n v="53"/>
    <x v="0"/>
    <n v="6"/>
    <n v="-18.47"/>
    <n v="2148"/>
    <n v="2.06683537483041"/>
    <s v="Expert"/>
    <s v="Medium Impact"/>
  </r>
  <r>
    <s v="E0781"/>
    <n v="48"/>
    <s v="Female"/>
    <s v="High School"/>
    <x v="0"/>
    <s v="Software Engineer"/>
    <n v="22"/>
    <x v="0"/>
    <s v="Medium"/>
    <s v="Yes"/>
    <n v="33159"/>
    <n v="35192"/>
    <x v="1"/>
    <n v="44"/>
    <x v="0"/>
    <n v="9"/>
    <n v="-18.489999999999998"/>
    <n v="2033"/>
    <n v="6.1310654724207598"/>
    <s v="Expert"/>
    <s v="Medium Impact"/>
  </r>
  <r>
    <s v="E1135"/>
    <n v="37"/>
    <s v="Male"/>
    <s v="High School"/>
    <x v="6"/>
    <s v="Doctor"/>
    <n v="11"/>
    <x v="2"/>
    <s v="High"/>
    <s v="No"/>
    <n v="53332"/>
    <n v="74618"/>
    <x v="2"/>
    <n v="53"/>
    <x v="0"/>
    <n v="9"/>
    <n v="-18.510000000000002"/>
    <n v="21286"/>
    <n v="39.912247806195154"/>
    <s v="Intermediate"/>
    <s v="High Impact"/>
  </r>
  <r>
    <s v="E0345"/>
    <n v="31"/>
    <s v="Male"/>
    <s v="Master"/>
    <x v="6"/>
    <s v="Technician"/>
    <n v="8"/>
    <x v="1"/>
    <s v="Low"/>
    <s v="Yes"/>
    <n v="76850"/>
    <n v="69768"/>
    <x v="0"/>
    <n v="47"/>
    <x v="1"/>
    <n v="8"/>
    <n v="-18.55"/>
    <n v="-7082"/>
    <n v="-9.2153545868575151"/>
    <s v="Intermediate"/>
    <s v="Low Impact"/>
  </r>
  <r>
    <s v="E1613"/>
    <n v="25"/>
    <s v="Other"/>
    <s v="High School"/>
    <x v="0"/>
    <s v="Software Engineer"/>
    <n v="0"/>
    <x v="2"/>
    <s v="High"/>
    <s v="Yes"/>
    <n v="111455"/>
    <n v="125354"/>
    <x v="2"/>
    <n v="40"/>
    <x v="1"/>
    <n v="7"/>
    <n v="-18.579999999999998"/>
    <n v="13899"/>
    <n v="12.470503790767575"/>
    <s v="Beginner"/>
    <s v="High Impact"/>
  </r>
  <r>
    <s v="E1115"/>
    <n v="37"/>
    <s v="Male"/>
    <s v="High School"/>
    <x v="3"/>
    <s v="Accountant"/>
    <n v="15"/>
    <x v="1"/>
    <s v="Medium"/>
    <s v="No"/>
    <n v="111426"/>
    <n v="117756"/>
    <x v="1"/>
    <n v="40"/>
    <x v="0"/>
    <n v="7"/>
    <n v="-18.579999999999998"/>
    <n v="6330"/>
    <n v="5.680900328469118"/>
    <s v="Expert"/>
    <s v="Medium Impact"/>
  </r>
  <r>
    <s v="E1634"/>
    <n v="48"/>
    <s v="Male"/>
    <s v="Master"/>
    <x v="1"/>
    <s v="Quality Inspector"/>
    <n v="26"/>
    <x v="2"/>
    <s v="Medium"/>
    <s v="No"/>
    <n v="66355"/>
    <n v="72526"/>
    <x v="1"/>
    <n v="44"/>
    <x v="1"/>
    <n v="5"/>
    <n v="-18.649999999999999"/>
    <n v="6171"/>
    <n v="9.2999773943184394"/>
    <s v="Expert"/>
    <s v="Medium Impact"/>
  </r>
  <r>
    <s v="E1470"/>
    <n v="48"/>
    <s v="Other"/>
    <s v="PhD"/>
    <x v="1"/>
    <s v="Quality Inspector"/>
    <n v="24"/>
    <x v="1"/>
    <s v="Medium"/>
    <s v="No"/>
    <n v="55989"/>
    <n v="51995"/>
    <x v="1"/>
    <n v="50"/>
    <x v="1"/>
    <n v="6"/>
    <n v="-18.649999999999999"/>
    <n v="-3994"/>
    <n v="-7.1335440890174855"/>
    <s v="Expert"/>
    <s v="Medium Impact"/>
  </r>
  <r>
    <s v="E0213"/>
    <n v="56"/>
    <s v="Other"/>
    <s v="PhD"/>
    <x v="6"/>
    <s v="Technician"/>
    <n v="31"/>
    <x v="1"/>
    <s v="Low"/>
    <s v="Yes"/>
    <n v="57083"/>
    <n v="51795"/>
    <x v="0"/>
    <n v="40"/>
    <x v="0"/>
    <n v="9"/>
    <n v="-18.670000000000002"/>
    <n v="-5288"/>
    <n v="-9.2637037296568145"/>
    <s v="Expert"/>
    <s v="Low Impact"/>
  </r>
  <r>
    <s v="E1077"/>
    <n v="50"/>
    <s v="Other"/>
    <s v="PhD"/>
    <x v="4"/>
    <s v="Cashier"/>
    <n v="28"/>
    <x v="1"/>
    <s v="Medium"/>
    <s v="No"/>
    <n v="48653"/>
    <n v="57947"/>
    <x v="1"/>
    <n v="51"/>
    <x v="0"/>
    <n v="8"/>
    <n v="-18.68"/>
    <n v="9294"/>
    <n v="19.102624709678746"/>
    <s v="Expert"/>
    <s v="Medium Impact"/>
  </r>
  <r>
    <s v="E1570"/>
    <n v="47"/>
    <s v="Female"/>
    <s v="Bachelor"/>
    <x v="6"/>
    <s v="Nurse"/>
    <n v="24"/>
    <x v="0"/>
    <s v="Low"/>
    <s v="No"/>
    <n v="63525"/>
    <n v="65688"/>
    <x v="0"/>
    <n v="44"/>
    <x v="1"/>
    <n v="7"/>
    <n v="-18.7"/>
    <n v="2163"/>
    <n v="3.4049586776859506"/>
    <s v="Expert"/>
    <s v="Low Impact"/>
  </r>
  <r>
    <s v="E0739"/>
    <n v="33"/>
    <s v="Male"/>
    <s v="PhD"/>
    <x v="4"/>
    <s v="Store Manager"/>
    <n v="9"/>
    <x v="1"/>
    <s v="Medium"/>
    <s v="Yes"/>
    <n v="107362"/>
    <n v="125978"/>
    <x v="1"/>
    <n v="50"/>
    <x v="1"/>
    <n v="3"/>
    <n v="-18.739999999999998"/>
    <n v="18616"/>
    <n v="17.339468340753712"/>
    <s v="Intermediate"/>
    <s v="Medium Impact"/>
  </r>
  <r>
    <s v="E1498"/>
    <n v="49"/>
    <s v="Female"/>
    <s v="Bachelor"/>
    <x v="0"/>
    <s v="Data Analyst"/>
    <n v="27"/>
    <x v="2"/>
    <s v="Medium"/>
    <s v="Yes"/>
    <n v="90162"/>
    <n v="118026"/>
    <x v="1"/>
    <n v="36"/>
    <x v="1"/>
    <n v="7"/>
    <n v="-18.78"/>
    <n v="27864"/>
    <n v="30.904372130165704"/>
    <s v="Expert"/>
    <s v="Medium Impact"/>
  </r>
  <r>
    <s v="E1938"/>
    <n v="49"/>
    <s v="Male"/>
    <s v="Bachelor"/>
    <x v="2"/>
    <s v="Content Creator"/>
    <n v="27"/>
    <x v="0"/>
    <s v="High"/>
    <s v="Yes"/>
    <n v="107853"/>
    <n v="114941"/>
    <x v="0"/>
    <n v="51"/>
    <x v="1"/>
    <n v="4"/>
    <n v="-18.79"/>
    <n v="7088"/>
    <n v="6.5719080600446897"/>
    <s v="Expert"/>
    <s v="Low Impact"/>
  </r>
  <r>
    <s v="E1782"/>
    <n v="31"/>
    <s v="Other"/>
    <s v="Master"/>
    <x v="0"/>
    <s v="Data Analyst"/>
    <n v="5"/>
    <x v="0"/>
    <s v="Low"/>
    <s v="Yes"/>
    <n v="99786"/>
    <n v="109527"/>
    <x v="0"/>
    <n v="52"/>
    <x v="0"/>
    <n v="7"/>
    <n v="-18.809999999999999"/>
    <n v="9741"/>
    <n v="9.7618904455534832"/>
    <s v="Intermediate"/>
    <s v="Low Impact"/>
  </r>
  <r>
    <s v="E1035"/>
    <n v="36"/>
    <s v="Other"/>
    <s v="Master"/>
    <x v="0"/>
    <s v="Data Analyst"/>
    <n v="11"/>
    <x v="1"/>
    <s v="Medium"/>
    <s v="Yes"/>
    <n v="75406"/>
    <n v="73166"/>
    <x v="1"/>
    <n v="44"/>
    <x v="1"/>
    <n v="3"/>
    <n v="-18.82"/>
    <n v="-2240"/>
    <n v="-2.9705858950216166"/>
    <s v="Intermediate"/>
    <s v="Medium Impact"/>
  </r>
  <r>
    <s v="E1068"/>
    <n v="50"/>
    <s v="Other"/>
    <s v="High School"/>
    <x v="2"/>
    <s v="Digital Marketer"/>
    <n v="27"/>
    <x v="1"/>
    <s v="High"/>
    <s v="No"/>
    <n v="115610"/>
    <n v="106736"/>
    <x v="0"/>
    <n v="49"/>
    <x v="1"/>
    <n v="6"/>
    <n v="-18.920000000000002"/>
    <n v="-8874"/>
    <n v="-7.675806591125335"/>
    <s v="Expert"/>
    <s v="Low Impact"/>
  </r>
  <r>
    <s v="E1042"/>
    <n v="45"/>
    <s v="Male"/>
    <s v="Bachelor"/>
    <x v="2"/>
    <s v="SEO Specialist"/>
    <n v="23"/>
    <x v="2"/>
    <s v="High"/>
    <s v="No"/>
    <n v="85718"/>
    <n v="101754"/>
    <x v="2"/>
    <n v="45"/>
    <x v="1"/>
    <n v="9"/>
    <n v="-18.98"/>
    <n v="16036"/>
    <n v="18.707855992906975"/>
    <s v="Expert"/>
    <s v="High Impact"/>
  </r>
  <r>
    <s v="E1780"/>
    <n v="40"/>
    <s v="Male"/>
    <s v="Bachelor"/>
    <x v="1"/>
    <s v="Quality Inspector"/>
    <n v="14"/>
    <x v="1"/>
    <s v="Low"/>
    <s v="Yes"/>
    <n v="33729"/>
    <n v="34596"/>
    <x v="0"/>
    <n v="41"/>
    <x v="1"/>
    <n v="6"/>
    <n v="-18.98"/>
    <n v="867"/>
    <n v="2.5704883038334967"/>
    <s v="Intermediate"/>
    <s v="Low Impact"/>
  </r>
  <r>
    <s v="E0029"/>
    <n v="24"/>
    <s v="Other"/>
    <s v="PhD"/>
    <x v="0"/>
    <s v="DevOps Engineer"/>
    <n v="0"/>
    <x v="2"/>
    <s v="Medium"/>
    <s v="No"/>
    <n v="32811"/>
    <n v="39587"/>
    <x v="1"/>
    <n v="37"/>
    <x v="0"/>
    <n v="9"/>
    <n v="-19"/>
    <n v="6776"/>
    <n v="20.651610740300509"/>
    <s v="Beginner"/>
    <s v="Medium Impact"/>
  </r>
  <r>
    <s v="E0006"/>
    <n v="46"/>
    <s v="Male"/>
    <s v="High School"/>
    <x v="6"/>
    <s v="Technician"/>
    <n v="21"/>
    <x v="0"/>
    <s v="Medium"/>
    <s v="No"/>
    <n v="103969"/>
    <n v="104781"/>
    <x v="1"/>
    <n v="36"/>
    <x v="0"/>
    <n v="6"/>
    <n v="-19.04"/>
    <n v="812"/>
    <n v="0.78100202945108632"/>
    <s v="Expert"/>
    <s v="Medium Impact"/>
  </r>
  <r>
    <s v="E1073"/>
    <n v="40"/>
    <s v="Male"/>
    <s v="High School"/>
    <x v="2"/>
    <s v="Digital Marketer"/>
    <n v="14"/>
    <x v="2"/>
    <s v="Low"/>
    <s v="Yes"/>
    <n v="33771"/>
    <n v="45722"/>
    <x v="0"/>
    <n v="47"/>
    <x v="0"/>
    <n v="7"/>
    <n v="-19.05"/>
    <n v="11951"/>
    <n v="35.388350952000238"/>
    <s v="Intermediate"/>
    <s v="Low Impact"/>
  </r>
  <r>
    <s v="E0060"/>
    <n v="26"/>
    <s v="Female"/>
    <s v="High School"/>
    <x v="5"/>
    <s v="Administrator"/>
    <n v="1"/>
    <x v="0"/>
    <s v="Medium"/>
    <s v="No"/>
    <n v="98385"/>
    <n v="97315"/>
    <x v="1"/>
    <n v="53"/>
    <x v="0"/>
    <n v="4"/>
    <n v="-19.079999999999998"/>
    <n v="-1070"/>
    <n v="-1.0875641612034355"/>
    <s v="Beginner"/>
    <s v="Medium Impact"/>
  </r>
  <r>
    <s v="E0596"/>
    <n v="32"/>
    <s v="Male"/>
    <s v="High School"/>
    <x v="0"/>
    <s v="Software Engineer"/>
    <n v="8"/>
    <x v="0"/>
    <s v="Medium"/>
    <s v="No"/>
    <n v="100130"/>
    <n v="101221"/>
    <x v="1"/>
    <n v="50"/>
    <x v="0"/>
    <n v="7"/>
    <n v="-19.18"/>
    <n v="1091"/>
    <n v="1.089583541396185"/>
    <s v="Intermediate"/>
    <s v="Medium Impact"/>
  </r>
  <r>
    <s v="E0350"/>
    <n v="52"/>
    <s v="Male"/>
    <s v="High School"/>
    <x v="4"/>
    <s v="Sales Associate"/>
    <n v="27"/>
    <x v="0"/>
    <s v="Medium"/>
    <s v="Yes"/>
    <n v="43975"/>
    <n v="44890"/>
    <x v="1"/>
    <n v="46"/>
    <x v="0"/>
    <n v="4"/>
    <n v="-19.2"/>
    <n v="915"/>
    <n v="2.0807276861853325"/>
    <s v="Expert"/>
    <s v="Medium Impact"/>
  </r>
  <r>
    <s v="E1230"/>
    <n v="23"/>
    <s v="Female"/>
    <s v="Master"/>
    <x v="1"/>
    <s v="Quality Inspector"/>
    <n v="0"/>
    <x v="0"/>
    <s v="Low"/>
    <s v="Yes"/>
    <n v="32402"/>
    <n v="33317"/>
    <x v="0"/>
    <n v="38"/>
    <x v="0"/>
    <n v="8"/>
    <n v="-19.2"/>
    <n v="915"/>
    <n v="2.8238997592741186"/>
    <s v="Beginner"/>
    <s v="Low Impact"/>
  </r>
  <r>
    <s v="E1301"/>
    <n v="54"/>
    <s v="Female"/>
    <s v="Master"/>
    <x v="3"/>
    <s v="Accountant"/>
    <n v="28"/>
    <x v="1"/>
    <s v="Low"/>
    <s v="Yes"/>
    <n v="93027"/>
    <n v="102350"/>
    <x v="0"/>
    <n v="47"/>
    <x v="1"/>
    <n v="5"/>
    <n v="-19.23"/>
    <n v="9323"/>
    <n v="10.021821621679727"/>
    <s v="Expert"/>
    <s v="Low Impact"/>
  </r>
  <r>
    <s v="E1727"/>
    <n v="35"/>
    <s v="Male"/>
    <s v="Master"/>
    <x v="3"/>
    <s v="Accountant"/>
    <n v="13"/>
    <x v="0"/>
    <s v="High"/>
    <s v="No"/>
    <n v="46267"/>
    <n v="44327"/>
    <x v="0"/>
    <n v="54"/>
    <x v="0"/>
    <n v="7"/>
    <n v="-19.27"/>
    <n v="-1940"/>
    <n v="-4.1930533641688461"/>
    <s v="Intermediate"/>
    <s v="Low Impact"/>
  </r>
  <r>
    <s v="E0882"/>
    <n v="43"/>
    <s v="Other"/>
    <s v="High School"/>
    <x v="0"/>
    <s v="Data Analyst"/>
    <n v="18"/>
    <x v="2"/>
    <s v="Medium"/>
    <s v="No"/>
    <n v="68729"/>
    <n v="92943"/>
    <x v="1"/>
    <n v="51"/>
    <x v="0"/>
    <n v="5"/>
    <n v="-19.28"/>
    <n v="24214"/>
    <n v="35.231125143680252"/>
    <s v="Expert"/>
    <s v="Medium Impact"/>
  </r>
  <r>
    <s v="E0167"/>
    <n v="59"/>
    <s v="Other"/>
    <s v="High School"/>
    <x v="4"/>
    <s v="Sales Associate"/>
    <n v="36"/>
    <x v="2"/>
    <s v="Medium"/>
    <s v="Yes"/>
    <n v="108411"/>
    <n v="100155"/>
    <x v="1"/>
    <n v="40"/>
    <x v="1"/>
    <n v="5"/>
    <n v="-19.34"/>
    <n v="-8256"/>
    <n v="-7.6154633754877272"/>
    <s v="Expert"/>
    <s v="Medium Impact"/>
  </r>
  <r>
    <s v="E0335"/>
    <n v="47"/>
    <s v="Female"/>
    <s v="High School"/>
    <x v="2"/>
    <s v="Digital Marketer"/>
    <n v="24"/>
    <x v="0"/>
    <s v="Medium"/>
    <s v="No"/>
    <n v="40805"/>
    <n v="43861"/>
    <x v="1"/>
    <n v="36"/>
    <x v="1"/>
    <n v="7"/>
    <n v="-19.34"/>
    <n v="3056"/>
    <n v="7.4892782747212356"/>
    <s v="Expert"/>
    <s v="Medium Impact"/>
  </r>
  <r>
    <s v="E0658"/>
    <n v="24"/>
    <s v="Other"/>
    <s v="Bachelor"/>
    <x v="1"/>
    <s v="Supervisor"/>
    <n v="1"/>
    <x v="1"/>
    <s v="Low"/>
    <s v="No"/>
    <n v="40377"/>
    <n v="40297"/>
    <x v="0"/>
    <n v="45"/>
    <x v="1"/>
    <n v="7"/>
    <n v="-19.350000000000001"/>
    <n v="-80"/>
    <n v="-0.19813260024271243"/>
    <s v="Beginner"/>
    <s v="Low Impact"/>
  </r>
  <r>
    <s v="E1131"/>
    <n v="50"/>
    <s v="Other"/>
    <s v="Master"/>
    <x v="3"/>
    <s v="Accountant"/>
    <n v="28"/>
    <x v="0"/>
    <s v="Medium"/>
    <s v="Yes"/>
    <n v="112886"/>
    <n v="115275"/>
    <x v="1"/>
    <n v="46"/>
    <x v="1"/>
    <n v="5"/>
    <n v="-19.399999999999999"/>
    <n v="2389"/>
    <n v="2.1162943146182873"/>
    <s v="Expert"/>
    <s v="Medium Impact"/>
  </r>
  <r>
    <s v="E0917"/>
    <n v="41"/>
    <s v="Female"/>
    <s v="Bachelor"/>
    <x v="0"/>
    <s v="Data Analyst"/>
    <n v="16"/>
    <x v="1"/>
    <s v="Low"/>
    <s v="Yes"/>
    <n v="63132"/>
    <n v="60633"/>
    <x v="0"/>
    <n v="38"/>
    <x v="0"/>
    <n v="5"/>
    <n v="-19.43"/>
    <n v="-2499"/>
    <n v="-3.9583729329024901"/>
    <s v="Expert"/>
    <s v="Low Impact"/>
  </r>
  <r>
    <s v="E0035"/>
    <n v="29"/>
    <s v="Female"/>
    <s v="High School"/>
    <x v="0"/>
    <s v="DevOps Engineer"/>
    <n v="4"/>
    <x v="0"/>
    <s v="High"/>
    <s v="No"/>
    <n v="83351"/>
    <n v="86765"/>
    <x v="0"/>
    <n v="37"/>
    <x v="0"/>
    <n v="3"/>
    <n v="-19.45"/>
    <n v="3414"/>
    <n v="4.095931662487553"/>
    <s v="Beginner"/>
    <s v="Low Impact"/>
  </r>
  <r>
    <s v="E0492"/>
    <n v="43"/>
    <s v="Other"/>
    <s v="Master"/>
    <x v="6"/>
    <s v="Nurse"/>
    <n v="17"/>
    <x v="2"/>
    <s v="Medium"/>
    <s v="No"/>
    <n v="57691"/>
    <n v="46571"/>
    <x v="1"/>
    <n v="39"/>
    <x v="1"/>
    <n v="6"/>
    <n v="-19.46"/>
    <n v="-11120"/>
    <n v="-19.275103569014231"/>
    <s v="Expert"/>
    <s v="Medium Impact"/>
  </r>
  <r>
    <s v="E1140"/>
    <n v="22"/>
    <s v="Other"/>
    <s v="High School"/>
    <x v="5"/>
    <s v="Teacher"/>
    <n v="0"/>
    <x v="1"/>
    <s v="High"/>
    <s v="No"/>
    <n v="73876"/>
    <n v="79468"/>
    <x v="0"/>
    <n v="52"/>
    <x v="1"/>
    <n v="3"/>
    <n v="-19.489999999999998"/>
    <n v="5592"/>
    <n v="7.5694406843900595"/>
    <s v="Beginner"/>
    <s v="Low Impact"/>
  </r>
  <r>
    <s v="E1008"/>
    <n v="39"/>
    <s v="Female"/>
    <s v="PhD"/>
    <x v="3"/>
    <s v="Auditor"/>
    <n v="16"/>
    <x v="1"/>
    <s v="Medium"/>
    <s v="Yes"/>
    <n v="60974"/>
    <n v="58120"/>
    <x v="1"/>
    <n v="40"/>
    <x v="1"/>
    <n v="7"/>
    <n v="-19.579999999999998"/>
    <n v="-2854"/>
    <n v="-4.6806835700462495"/>
    <s v="Expert"/>
    <s v="Medium Impact"/>
  </r>
  <r>
    <s v="E0419"/>
    <n v="41"/>
    <s v="Male"/>
    <s v="High School"/>
    <x v="0"/>
    <s v="Data Analyst"/>
    <n v="17"/>
    <x v="0"/>
    <s v="Medium"/>
    <s v="Yes"/>
    <n v="70379"/>
    <n v="70860"/>
    <x v="1"/>
    <n v="49"/>
    <x v="1"/>
    <n v="9"/>
    <n v="-19.600000000000001"/>
    <n v="481"/>
    <n v="0.68344250415606933"/>
    <s v="Expert"/>
    <s v="Medium Impact"/>
  </r>
  <r>
    <s v="E0691"/>
    <n v="33"/>
    <s v="Male"/>
    <s v="Bachelor"/>
    <x v="1"/>
    <s v="Quality Inspector"/>
    <n v="8"/>
    <x v="2"/>
    <s v="Low"/>
    <s v="Yes"/>
    <n v="72316"/>
    <n v="82420"/>
    <x v="0"/>
    <n v="49"/>
    <x v="0"/>
    <n v="9"/>
    <n v="-19.62"/>
    <n v="10104"/>
    <n v="13.972011726312298"/>
    <s v="Intermediate"/>
    <s v="Low Impact"/>
  </r>
  <r>
    <s v="E1793"/>
    <n v="35"/>
    <s v="Female"/>
    <s v="Bachelor"/>
    <x v="2"/>
    <s v="Digital Marketer"/>
    <n v="13"/>
    <x v="2"/>
    <s v="High"/>
    <s v="No"/>
    <n v="93825"/>
    <n v="77680"/>
    <x v="1"/>
    <n v="47"/>
    <x v="1"/>
    <n v="4"/>
    <n v="-19.739999999999998"/>
    <n v="-16145"/>
    <n v="-17.207567279509725"/>
    <s v="Intermediate"/>
    <s v="Medium Impact"/>
  </r>
  <r>
    <s v="E1171"/>
    <n v="54"/>
    <s v="Other"/>
    <s v="PhD"/>
    <x v="4"/>
    <s v="Sales Associate"/>
    <n v="31"/>
    <x v="2"/>
    <s v="Medium"/>
    <s v="Yes"/>
    <n v="75853"/>
    <n v="82259"/>
    <x v="1"/>
    <n v="45"/>
    <x v="0"/>
    <n v="3"/>
    <n v="-19.75"/>
    <n v="6406"/>
    <n v="8.4452823223867206"/>
    <s v="Expert"/>
    <s v="Medium Impact"/>
  </r>
  <r>
    <s v="E1601"/>
    <n v="33"/>
    <s v="Other"/>
    <s v="Bachelor"/>
    <x v="2"/>
    <s v="Content Creator"/>
    <n v="7"/>
    <x v="2"/>
    <s v="High"/>
    <s v="Yes"/>
    <n v="53016"/>
    <n v="67739"/>
    <x v="2"/>
    <n v="53"/>
    <x v="0"/>
    <n v="5"/>
    <n v="-19.77"/>
    <n v="14723"/>
    <n v="27.770861626678737"/>
    <s v="Intermediate"/>
    <s v="High Impact"/>
  </r>
  <r>
    <s v="E1918"/>
    <n v="28"/>
    <s v="Male"/>
    <s v="Master"/>
    <x v="1"/>
    <s v="Supervisor"/>
    <n v="4"/>
    <x v="1"/>
    <s v="High"/>
    <s v="Yes"/>
    <n v="37851"/>
    <n v="37164"/>
    <x v="0"/>
    <n v="47"/>
    <x v="1"/>
    <n v="4"/>
    <n v="-19.850000000000001"/>
    <n v="-687"/>
    <n v="-1.8150114924308471"/>
    <s v="Beginner"/>
    <s v="Low Impact"/>
  </r>
  <r>
    <s v="E0175"/>
    <n v="46"/>
    <s v="Male"/>
    <s v="Master"/>
    <x v="0"/>
    <s v="Data Analyst"/>
    <n v="22"/>
    <x v="0"/>
    <s v="Low"/>
    <s v="No"/>
    <n v="75186"/>
    <n v="72303"/>
    <x v="0"/>
    <n v="53"/>
    <x v="0"/>
    <n v="8"/>
    <n v="-19.86"/>
    <n v="-2883"/>
    <n v="-3.8344904636501473"/>
    <s v="Expert"/>
    <s v="Low Impact"/>
  </r>
  <r>
    <s v="E0956"/>
    <n v="54"/>
    <s v="Other"/>
    <s v="PhD"/>
    <x v="6"/>
    <s v="Doctor"/>
    <n v="32"/>
    <x v="2"/>
    <s v="Medium"/>
    <s v="Yes"/>
    <n v="33407"/>
    <n v="38136"/>
    <x v="1"/>
    <n v="39"/>
    <x v="0"/>
    <n v="4"/>
    <n v="-19.88"/>
    <n v="4729"/>
    <n v="14.155715867931869"/>
    <s v="Expert"/>
    <s v="Medium Impact"/>
  </r>
  <r>
    <s v="E1175"/>
    <n v="43"/>
    <s v="Other"/>
    <s v="High School"/>
    <x v="0"/>
    <s v="Software Engineer"/>
    <n v="21"/>
    <x v="1"/>
    <s v="High"/>
    <s v="Yes"/>
    <n v="57862"/>
    <n v="53576"/>
    <x v="0"/>
    <n v="43"/>
    <x v="0"/>
    <n v="8"/>
    <n v="-19.91"/>
    <n v="-4286"/>
    <n v="-7.4072793888908102"/>
    <s v="Expert"/>
    <s v="Low Impact"/>
  </r>
  <r>
    <s v="E0709"/>
    <n v="23"/>
    <s v="Other"/>
    <s v="High School"/>
    <x v="4"/>
    <s v="Store Manager"/>
    <n v="1"/>
    <x v="0"/>
    <s v="High"/>
    <s v="Yes"/>
    <n v="59327"/>
    <n v="56408"/>
    <x v="0"/>
    <n v="54"/>
    <x v="1"/>
    <n v="8"/>
    <n v="-19.920000000000002"/>
    <n v="-2919"/>
    <n v="-4.9201881099667943"/>
    <s v="Beginner"/>
    <s v="Low Impact"/>
  </r>
  <r>
    <s v="E1701"/>
    <n v="57"/>
    <s v="Female"/>
    <s v="Bachelor"/>
    <x v="1"/>
    <s v="Supervisor"/>
    <n v="31"/>
    <x v="0"/>
    <s v="Medium"/>
    <s v="No"/>
    <n v="59722"/>
    <n v="57031"/>
    <x v="1"/>
    <n v="43"/>
    <x v="1"/>
    <n v="6"/>
    <n v="-19.93"/>
    <n v="-2691"/>
    <n v="-4.5058772311710928"/>
    <s v="Expert"/>
    <s v="Medium Impact"/>
  </r>
  <r>
    <s v="E0823"/>
    <n v="58"/>
    <s v="Female"/>
    <s v="Master"/>
    <x v="5"/>
    <s v="Professor"/>
    <n v="36"/>
    <x v="1"/>
    <s v="Medium"/>
    <s v="Yes"/>
    <n v="96985"/>
    <n v="93676"/>
    <x v="1"/>
    <n v="38"/>
    <x v="1"/>
    <n v="8"/>
    <n v="-19.989999999999998"/>
    <n v="-3309"/>
    <n v="-3.4118678146105066"/>
    <s v="Expert"/>
    <s v="Medium Impa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D6C97-D54B-44FC-9CB5-22C72270B60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1">
    <pivotField showAll="0"/>
    <pivotField showAll="0"/>
    <pivotField showAll="0"/>
    <pivotField showAll="0"/>
    <pivotField axis="axisRow" showAll="0">
      <items count="8">
        <item x="5"/>
        <item x="3"/>
        <item x="6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numFmtId="10" showAll="0"/>
    <pivotField numFmtId="164" showAll="0"/>
    <pivotField numFmtId="10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_After_AI" fld="11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DE724-C9C8-4DC5-81C2-D7DAA21F01A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21">
    <pivotField dataField="1" showAll="0"/>
    <pivotField showAll="0"/>
    <pivotField showAll="0"/>
    <pivotField showAll="0"/>
    <pivotField axis="axisRow" showAll="0">
      <items count="8">
        <item x="5"/>
        <item x="3"/>
        <item x="6"/>
        <item x="0"/>
        <item x="1"/>
        <item x="2"/>
        <item x="4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0" showAll="0"/>
    <pivotField numFmtId="164" showAll="0"/>
    <pivotField numFmtId="10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BD198-9FEB-426D-9726-C998F0DFB66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0" showAll="0"/>
    <pivotField numFmtId="164" showAll="0"/>
    <pivotField numFmtId="10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A86AF-8264-471C-8892-A67EF4D8C5B4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0" showAll="0"/>
    <pivotField numFmtId="164" showAll="0"/>
    <pivotField numFmtId="10"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Productivity_Change_%" fld="16" subtotal="average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CD24E0-5A3C-4964-AC9E-D936726FA4EE}" autoFormatId="16" applyNumberFormats="0" applyBorderFormats="0" applyFontFormats="0" applyPatternFormats="0" applyAlignmentFormats="0" applyWidthHeightFormats="0">
  <queryTableRefresh nextId="22" unboundColumnsRight="4">
    <queryTableFields count="21">
      <queryTableField id="1" name="Employee_ID" tableColumnId="1"/>
      <queryTableField id="2" name="Age" tableColumnId="2"/>
      <queryTableField id="3" name="Gender" tableColumnId="3"/>
      <queryTableField id="4" name="Education_Level" tableColumnId="4"/>
      <queryTableField id="5" name="Industry" tableColumnId="5"/>
      <queryTableField id="6" name="Job_Role" tableColumnId="6"/>
      <queryTableField id="7" name="Years_Experience" tableColumnId="7"/>
      <queryTableField id="8" name="AI_Adoption_Level" tableColumnId="8"/>
      <queryTableField id="9" name="Automation_Risk" tableColumnId="9"/>
      <queryTableField id="10" name="Upskilling_Required" tableColumnId="10"/>
      <queryTableField id="11" name="Salary_Before_AI" tableColumnId="11"/>
      <queryTableField id="12" name="Salary_After_AI" tableColumnId="12"/>
      <queryTableField id="13" name="Job_Status" tableColumnId="13"/>
      <queryTableField id="14" name="Work_Hours_Per_Week" tableColumnId="14"/>
      <queryTableField id="15" name="Remote_Work" tableColumnId="15"/>
      <queryTableField id="16" name="Job_Satisfaction" tableColumnId="16"/>
      <queryTableField id="17" name="Productivity_Change_%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FADA6-B4C1-45B4-AF87-68B5DB0F8392}" name="ai_job_impact" displayName="ai_job_impact" ref="A1:U2001" tableType="queryTable" totalsRowShown="0">
  <autoFilter ref="A1:U2001" xr:uid="{549FADA6-B4C1-45B4-AF87-68B5DB0F8392}"/>
  <sortState xmlns:xlrd2="http://schemas.microsoft.com/office/spreadsheetml/2017/richdata2" ref="A2:U2001">
    <sortCondition descending="1" ref="Q1:Q2001"/>
  </sortState>
  <tableColumns count="21">
    <tableColumn id="1" xr3:uid="{70B229B2-576C-44C0-B559-E49AD3541452}" uniqueName="1" name="Employee_ID" queryTableFieldId="1" dataDxfId="17"/>
    <tableColumn id="2" xr3:uid="{952A8B09-81AB-43B8-BF6F-E0420B2AECB3}" uniqueName="2" name="Age" queryTableFieldId="2"/>
    <tableColumn id="3" xr3:uid="{3C2ACE01-5930-4BA7-B51B-87D1E0ACB76E}" uniqueName="3" name="Gender" queryTableFieldId="3" dataDxfId="16"/>
    <tableColumn id="4" xr3:uid="{426C5191-89E9-4F4D-8146-08660016CEB3}" uniqueName="4" name="Education_Level" queryTableFieldId="4" dataDxfId="15"/>
    <tableColumn id="5" xr3:uid="{2B29A898-0349-434B-9270-FB11D24465F7}" uniqueName="5" name="Industry" queryTableFieldId="5" dataDxfId="14"/>
    <tableColumn id="6" xr3:uid="{0637EE97-D801-4ABB-8891-D0DC538699AA}" uniqueName="6" name="Job_Role" queryTableFieldId="6" dataDxfId="13"/>
    <tableColumn id="7" xr3:uid="{92EA97A8-CFD1-4B99-A70A-D96EB27D1E5B}" uniqueName="7" name="Years_Experience" queryTableFieldId="7"/>
    <tableColumn id="8" xr3:uid="{5E0D6C62-6282-4009-B381-7519319FF46A}" uniqueName="8" name="AI_Adoption_Level" queryTableFieldId="8" dataDxfId="12"/>
    <tableColumn id="9" xr3:uid="{3691F775-E0AA-4B09-BD0D-ECE601E31B8E}" uniqueName="9" name="Automation_Risk" queryTableFieldId="9" dataDxfId="11"/>
    <tableColumn id="10" xr3:uid="{12E42172-EE1B-48E1-9EB3-AC1A951A63AD}" uniqueName="10" name="Upskilling_Required" queryTableFieldId="10" dataDxfId="10"/>
    <tableColumn id="11" xr3:uid="{7518E40D-C5F6-4F51-932A-70DCD5FAB2D9}" uniqueName="11" name="Salary_Before_AI" queryTableFieldId="11" dataDxfId="9"/>
    <tableColumn id="12" xr3:uid="{61D77D7A-7BFF-409E-BA47-EA2857E1F7C5}" uniqueName="12" name="Salary_After_AI" queryTableFieldId="12" dataDxfId="8"/>
    <tableColumn id="13" xr3:uid="{A12A884B-891A-4F27-992C-87E93EE5AD35}" uniqueName="13" name="Job_Status" queryTableFieldId="13" dataDxfId="7"/>
    <tableColumn id="14" xr3:uid="{67D98687-9AE6-48DD-BC0C-A73CE5FCE9DA}" uniqueName="14" name="Work_Hours_Per_Week" queryTableFieldId="14"/>
    <tableColumn id="15" xr3:uid="{2460F3AD-1651-4473-AF5D-05DAF4EA8887}" uniqueName="15" name="Remote_Work" queryTableFieldId="15" dataDxfId="6"/>
    <tableColumn id="16" xr3:uid="{179AD0C8-3E05-44A2-8285-621DD0397D74}" uniqueName="16" name="Job_Satisfaction" queryTableFieldId="16"/>
    <tableColumn id="17" xr3:uid="{93CA07B7-2D1F-47EC-84C1-33D259AFA04B}" uniqueName="17" name="Productivity_Change_%" queryTableFieldId="17" dataDxfId="5"/>
    <tableColumn id="18" xr3:uid="{1BE05EBF-B68D-4F9F-9684-F54048EAB5A9}" uniqueName="18" name="Salary_change" queryTableFieldId="18" dataDxfId="4">
      <calculatedColumnFormula>L2-K2</calculatedColumnFormula>
    </tableColumn>
    <tableColumn id="19" xr3:uid="{34D35B58-C22D-46AD-8450-6B331CF2C88A}" uniqueName="19" name="Salary_Change%" queryTableFieldId="19" dataDxfId="3">
      <calculatedColumnFormula>(L2-K2)/K2*100</calculatedColumnFormula>
    </tableColumn>
    <tableColumn id="20" xr3:uid="{17B10F62-6C8E-4C81-97B7-1FCC0ACC1083}" uniqueName="20" name="Experience_Level" queryTableFieldId="20" dataDxfId="2">
      <calculatedColumnFormula>IF(G2&lt;5,"Beginner",IF(G2&lt;15,"Intermediate","Expert"))</calculatedColumnFormula>
    </tableColumn>
    <tableColumn id="21" xr3:uid="{7BA89D5E-3BAF-45A4-AC78-4CD9F179814A}" uniqueName="21" name="AI_Impact_Category" queryTableFieldId="21" dataDxfId="1">
      <calculatedColumnFormula>IF(M2="Replaced","High Impact",IF(M2="Modified","Medium Impact","Low Impact"))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8E09-DC9C-4722-9CF0-E529BA75EE77}">
  <dimension ref="A3:B11"/>
  <sheetViews>
    <sheetView tabSelected="1" workbookViewId="0">
      <selection activeCell="A3" sqref="A3"/>
    </sheetView>
  </sheetViews>
  <sheetFormatPr defaultRowHeight="14.4" x14ac:dyDescent="0.3"/>
  <cols>
    <col min="1" max="1" width="12.88671875" bestFit="1" customWidth="1"/>
    <col min="2" max="2" width="24" bestFit="1" customWidth="1"/>
  </cols>
  <sheetData>
    <row r="3" spans="1:2" x14ac:dyDescent="0.3">
      <c r="A3" s="3" t="s">
        <v>2064</v>
      </c>
      <c r="B3" t="s">
        <v>2066</v>
      </c>
    </row>
    <row r="4" spans="1:2" x14ac:dyDescent="0.3">
      <c r="A4" s="4" t="s">
        <v>41</v>
      </c>
      <c r="B4" s="2">
        <v>78322.737201365191</v>
      </c>
    </row>
    <row r="5" spans="1:2" x14ac:dyDescent="0.3">
      <c r="A5" s="4" t="s">
        <v>51</v>
      </c>
      <c r="B5" s="2">
        <v>76106.433333333334</v>
      </c>
    </row>
    <row r="6" spans="1:2" x14ac:dyDescent="0.3">
      <c r="A6" s="4" t="s">
        <v>44</v>
      </c>
      <c r="B6" s="2">
        <v>78702.029629629629</v>
      </c>
    </row>
    <row r="7" spans="1:2" x14ac:dyDescent="0.3">
      <c r="A7" s="4" t="s">
        <v>35</v>
      </c>
      <c r="B7" s="2">
        <v>79551.597315436244</v>
      </c>
    </row>
    <row r="8" spans="1:2" x14ac:dyDescent="0.3">
      <c r="A8" s="4" t="s">
        <v>29</v>
      </c>
      <c r="B8" s="2">
        <v>78489.938983050844</v>
      </c>
    </row>
    <row r="9" spans="1:2" x14ac:dyDescent="0.3">
      <c r="A9" s="4" t="s">
        <v>20</v>
      </c>
      <c r="B9" s="2">
        <v>77597.728937728942</v>
      </c>
    </row>
    <row r="10" spans="1:2" x14ac:dyDescent="0.3">
      <c r="A10" s="4" t="s">
        <v>59</v>
      </c>
      <c r="B10" s="2">
        <v>80376.963099631001</v>
      </c>
    </row>
    <row r="11" spans="1:2" x14ac:dyDescent="0.3">
      <c r="A11" s="4" t="s">
        <v>2065</v>
      </c>
      <c r="B11" s="2">
        <v>78428.642500000002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57F9-FBAA-41FE-BBBC-A1A9EBEAC7B3}">
  <dimension ref="A3:E12"/>
  <sheetViews>
    <sheetView workbookViewId="0">
      <selection activeCell="A3" sqref="A3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.44140625" bestFit="1" customWidth="1"/>
    <col min="4" max="4" width="8.109375" bestFit="1" customWidth="1"/>
    <col min="5" max="5" width="10.77734375" bestFit="1" customWidth="1"/>
  </cols>
  <sheetData>
    <row r="3" spans="1:5" x14ac:dyDescent="0.3">
      <c r="A3" s="3" t="s">
        <v>2067</v>
      </c>
      <c r="B3" s="3" t="s">
        <v>2068</v>
      </c>
    </row>
    <row r="4" spans="1:5" x14ac:dyDescent="0.3">
      <c r="A4" s="3" t="s">
        <v>2064</v>
      </c>
      <c r="B4" t="s">
        <v>22</v>
      </c>
      <c r="C4" t="s">
        <v>31</v>
      </c>
      <c r="D4" t="s">
        <v>37</v>
      </c>
      <c r="E4" t="s">
        <v>2065</v>
      </c>
    </row>
    <row r="5" spans="1:5" x14ac:dyDescent="0.3">
      <c r="A5" s="4" t="s">
        <v>41</v>
      </c>
      <c r="B5" s="5">
        <v>106</v>
      </c>
      <c r="C5" s="5">
        <v>80</v>
      </c>
      <c r="D5" s="5">
        <v>107</v>
      </c>
      <c r="E5" s="5">
        <v>293</v>
      </c>
    </row>
    <row r="6" spans="1:5" x14ac:dyDescent="0.3">
      <c r="A6" s="4" t="s">
        <v>51</v>
      </c>
      <c r="B6" s="5">
        <v>104</v>
      </c>
      <c r="C6" s="5">
        <v>100</v>
      </c>
      <c r="D6" s="5">
        <v>96</v>
      </c>
      <c r="E6" s="5">
        <v>300</v>
      </c>
    </row>
    <row r="7" spans="1:5" x14ac:dyDescent="0.3">
      <c r="A7" s="4" t="s">
        <v>44</v>
      </c>
      <c r="B7" s="5">
        <v>113</v>
      </c>
      <c r="C7" s="5">
        <v>71</v>
      </c>
      <c r="D7" s="5">
        <v>86</v>
      </c>
      <c r="E7" s="5">
        <v>270</v>
      </c>
    </row>
    <row r="8" spans="1:5" x14ac:dyDescent="0.3">
      <c r="A8" s="4" t="s">
        <v>35</v>
      </c>
      <c r="B8" s="5">
        <v>94</v>
      </c>
      <c r="C8" s="5">
        <v>106</v>
      </c>
      <c r="D8" s="5">
        <v>98</v>
      </c>
      <c r="E8" s="5">
        <v>298</v>
      </c>
    </row>
    <row r="9" spans="1:5" x14ac:dyDescent="0.3">
      <c r="A9" s="4" t="s">
        <v>29</v>
      </c>
      <c r="B9" s="5">
        <v>91</v>
      </c>
      <c r="C9" s="5">
        <v>94</v>
      </c>
      <c r="D9" s="5">
        <v>110</v>
      </c>
      <c r="E9" s="5">
        <v>295</v>
      </c>
    </row>
    <row r="10" spans="1:5" x14ac:dyDescent="0.3">
      <c r="A10" s="4" t="s">
        <v>20</v>
      </c>
      <c r="B10" s="5">
        <v>97</v>
      </c>
      <c r="C10" s="5">
        <v>81</v>
      </c>
      <c r="D10" s="5">
        <v>95</v>
      </c>
      <c r="E10" s="5">
        <v>273</v>
      </c>
    </row>
    <row r="11" spans="1:5" x14ac:dyDescent="0.3">
      <c r="A11" s="4" t="s">
        <v>59</v>
      </c>
      <c r="B11" s="5">
        <v>100</v>
      </c>
      <c r="C11" s="5">
        <v>86</v>
      </c>
      <c r="D11" s="5">
        <v>85</v>
      </c>
      <c r="E11" s="5">
        <v>271</v>
      </c>
    </row>
    <row r="12" spans="1:5" x14ac:dyDescent="0.3">
      <c r="A12" s="4" t="s">
        <v>2065</v>
      </c>
      <c r="B12" s="5">
        <v>705</v>
      </c>
      <c r="C12" s="5">
        <v>618</v>
      </c>
      <c r="D12" s="5">
        <v>677</v>
      </c>
      <c r="E12" s="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03D3-B658-468D-A4A8-38F2E9BC1CD0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3" t="s">
        <v>2064</v>
      </c>
      <c r="B3" t="s">
        <v>2067</v>
      </c>
    </row>
    <row r="4" spans="1:2" x14ac:dyDescent="0.3">
      <c r="A4" s="4" t="s">
        <v>38</v>
      </c>
      <c r="B4" s="5">
        <v>801</v>
      </c>
    </row>
    <row r="5" spans="1:2" x14ac:dyDescent="0.3">
      <c r="A5" s="4" t="s">
        <v>24</v>
      </c>
      <c r="B5" s="5">
        <v>106</v>
      </c>
    </row>
    <row r="6" spans="1:2" x14ac:dyDescent="0.3">
      <c r="A6" s="4" t="s">
        <v>32</v>
      </c>
      <c r="B6" s="5">
        <v>1093</v>
      </c>
    </row>
    <row r="7" spans="1:2" x14ac:dyDescent="0.3">
      <c r="A7" s="4" t="s">
        <v>2065</v>
      </c>
      <c r="B7" s="5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5D0E-72CE-45F0-B434-B35ABCCB61D2}">
  <dimension ref="A3:B6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31.109375" bestFit="1" customWidth="1"/>
  </cols>
  <sheetData>
    <row r="3" spans="1:2" x14ac:dyDescent="0.3">
      <c r="A3" s="3" t="s">
        <v>2064</v>
      </c>
      <c r="B3" t="s">
        <v>2069</v>
      </c>
    </row>
    <row r="4" spans="1:2" x14ac:dyDescent="0.3">
      <c r="A4" s="4" t="s">
        <v>25</v>
      </c>
      <c r="B4" s="1">
        <v>10.173164556962034</v>
      </c>
    </row>
    <row r="5" spans="1:2" x14ac:dyDescent="0.3">
      <c r="A5" s="4" t="s">
        <v>23</v>
      </c>
      <c r="B5" s="1">
        <v>9.3769784172661694</v>
      </c>
    </row>
    <row r="6" spans="1:2" x14ac:dyDescent="0.3">
      <c r="A6" s="4" t="s">
        <v>2065</v>
      </c>
      <c r="B6" s="1">
        <v>9.7858200000000011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99CF-2720-4251-8B7A-9003C1B26D8C}">
  <dimension ref="A1:U2001"/>
  <sheetViews>
    <sheetView topLeftCell="A2" workbookViewId="0">
      <selection sqref="A1:U2001"/>
    </sheetView>
  </sheetViews>
  <sheetFormatPr defaultRowHeight="14.4" x14ac:dyDescent="0.3"/>
  <cols>
    <col min="1" max="1" width="14.33203125" bestFit="1" customWidth="1"/>
    <col min="2" max="2" width="6.44140625" bestFit="1" customWidth="1"/>
    <col min="3" max="3" width="9.33203125" bestFit="1" customWidth="1"/>
    <col min="4" max="4" width="17.109375" bestFit="1" customWidth="1"/>
    <col min="5" max="5" width="12.88671875" bestFit="1" customWidth="1"/>
    <col min="6" max="6" width="16.5546875" bestFit="1" customWidth="1"/>
    <col min="7" max="7" width="17.88671875" bestFit="1" customWidth="1"/>
    <col min="8" max="8" width="19.44140625" bestFit="1" customWidth="1"/>
    <col min="9" max="9" width="17.77734375" bestFit="1" customWidth="1"/>
    <col min="10" max="10" width="20.109375" bestFit="1" customWidth="1"/>
    <col min="11" max="11" width="17.77734375" style="2" bestFit="1" customWidth="1"/>
    <col min="12" max="12" width="16.44140625" style="2" bestFit="1" customWidth="1"/>
    <col min="13" max="13" width="12.33203125" bestFit="1" customWidth="1"/>
    <col min="14" max="14" width="23.5546875" bestFit="1" customWidth="1"/>
    <col min="15" max="15" width="15.44140625" bestFit="1" customWidth="1"/>
    <col min="16" max="16" width="17" bestFit="1" customWidth="1"/>
    <col min="17" max="17" width="23.5546875" style="1" bestFit="1" customWidth="1"/>
    <col min="18" max="18" width="15.5546875" style="2" bestFit="1" customWidth="1"/>
    <col min="19" max="19" width="17.21875" style="1" bestFit="1" customWidth="1"/>
    <col min="20" max="20" width="17.77734375" bestFit="1" customWidth="1"/>
    <col min="21" max="21" width="20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2" t="s">
        <v>2060</v>
      </c>
      <c r="S1" s="1" t="s">
        <v>2061</v>
      </c>
      <c r="T1" t="s">
        <v>2062</v>
      </c>
      <c r="U1" t="s">
        <v>2063</v>
      </c>
    </row>
    <row r="2" spans="1:21" x14ac:dyDescent="0.3">
      <c r="A2" t="s">
        <v>1233</v>
      </c>
      <c r="B2">
        <v>42</v>
      </c>
      <c r="C2" t="s">
        <v>54</v>
      </c>
      <c r="D2" t="s">
        <v>28</v>
      </c>
      <c r="E2" t="s">
        <v>35</v>
      </c>
      <c r="F2" t="s">
        <v>132</v>
      </c>
      <c r="G2">
        <v>20</v>
      </c>
      <c r="H2" t="s">
        <v>31</v>
      </c>
      <c r="I2" t="s">
        <v>22</v>
      </c>
      <c r="J2" t="s">
        <v>23</v>
      </c>
      <c r="K2" s="2">
        <v>67563</v>
      </c>
      <c r="L2" s="2">
        <v>71761</v>
      </c>
      <c r="M2" t="s">
        <v>32</v>
      </c>
      <c r="N2">
        <v>39</v>
      </c>
      <c r="O2" t="s">
        <v>25</v>
      </c>
      <c r="P2">
        <v>3</v>
      </c>
      <c r="Q2" s="1">
        <v>39.99</v>
      </c>
      <c r="R2" s="2">
        <f t="shared" ref="R2:R65" si="0">L2-K2</f>
        <v>4198</v>
      </c>
      <c r="S2" s="1">
        <f t="shared" ref="S2:S65" si="1">(L2-K2)/K2*100</f>
        <v>6.2134600298980214</v>
      </c>
      <c r="T2" t="str">
        <f t="shared" ref="T2:T65" si="2">IF(G2&lt;5,"Beginner",IF(G2&lt;15,"Intermediate","Expert"))</f>
        <v>Expert</v>
      </c>
      <c r="U2" t="str">
        <f t="shared" ref="U2:U65" si="3">IF(M2="Replaced","High Impact",IF(M2="Modified","Medium Impact","Low Impact"))</f>
        <v>Low Impact</v>
      </c>
    </row>
    <row r="3" spans="1:21" x14ac:dyDescent="0.3">
      <c r="A3" t="s">
        <v>695</v>
      </c>
      <c r="B3">
        <v>23</v>
      </c>
      <c r="C3" t="s">
        <v>54</v>
      </c>
      <c r="D3" t="s">
        <v>34</v>
      </c>
      <c r="E3" t="s">
        <v>29</v>
      </c>
      <c r="F3" t="s">
        <v>104</v>
      </c>
      <c r="G3">
        <v>0</v>
      </c>
      <c r="H3" t="s">
        <v>37</v>
      </c>
      <c r="I3" t="s">
        <v>22</v>
      </c>
      <c r="J3" t="s">
        <v>25</v>
      </c>
      <c r="K3" s="2">
        <v>86830</v>
      </c>
      <c r="L3" s="2">
        <v>93695</v>
      </c>
      <c r="M3" t="s">
        <v>32</v>
      </c>
      <c r="N3">
        <v>52</v>
      </c>
      <c r="O3" t="s">
        <v>23</v>
      </c>
      <c r="P3">
        <v>7</v>
      </c>
      <c r="Q3" s="1">
        <v>39.97</v>
      </c>
      <c r="R3" s="2">
        <f t="shared" si="0"/>
        <v>6865</v>
      </c>
      <c r="S3" s="1">
        <f t="shared" si="1"/>
        <v>7.9062535989865248</v>
      </c>
      <c r="T3" t="str">
        <f t="shared" si="2"/>
        <v>Beginner</v>
      </c>
      <c r="U3" t="str">
        <f t="shared" si="3"/>
        <v>Low Impact</v>
      </c>
    </row>
    <row r="4" spans="1:21" x14ac:dyDescent="0.3">
      <c r="A4" t="s">
        <v>2052</v>
      </c>
      <c r="B4">
        <v>31</v>
      </c>
      <c r="C4" t="s">
        <v>27</v>
      </c>
      <c r="D4" t="s">
        <v>19</v>
      </c>
      <c r="E4" t="s">
        <v>20</v>
      </c>
      <c r="F4" t="s">
        <v>21</v>
      </c>
      <c r="G4">
        <v>7</v>
      </c>
      <c r="H4" t="s">
        <v>22</v>
      </c>
      <c r="I4" t="s">
        <v>31</v>
      </c>
      <c r="J4" t="s">
        <v>25</v>
      </c>
      <c r="K4" s="2">
        <v>36259</v>
      </c>
      <c r="L4" s="2">
        <v>33695</v>
      </c>
      <c r="M4" t="s">
        <v>32</v>
      </c>
      <c r="N4">
        <v>49</v>
      </c>
      <c r="O4" t="s">
        <v>23</v>
      </c>
      <c r="P4">
        <v>6</v>
      </c>
      <c r="Q4" s="1">
        <v>39.909999999999997</v>
      </c>
      <c r="R4" s="2">
        <f t="shared" si="0"/>
        <v>-2564</v>
      </c>
      <c r="S4" s="1">
        <f t="shared" si="1"/>
        <v>-7.0713478033040067</v>
      </c>
      <c r="T4" t="str">
        <f t="shared" si="2"/>
        <v>Intermediate</v>
      </c>
      <c r="U4" t="str">
        <f t="shared" si="3"/>
        <v>Low Impact</v>
      </c>
    </row>
    <row r="5" spans="1:21" x14ac:dyDescent="0.3">
      <c r="A5" t="s">
        <v>1041</v>
      </c>
      <c r="B5">
        <v>37</v>
      </c>
      <c r="C5" t="s">
        <v>27</v>
      </c>
      <c r="D5" t="s">
        <v>28</v>
      </c>
      <c r="E5" t="s">
        <v>51</v>
      </c>
      <c r="F5" t="s">
        <v>130</v>
      </c>
      <c r="G5">
        <v>12</v>
      </c>
      <c r="H5" t="s">
        <v>22</v>
      </c>
      <c r="I5" t="s">
        <v>22</v>
      </c>
      <c r="J5" t="s">
        <v>23</v>
      </c>
      <c r="K5" s="2">
        <v>100309</v>
      </c>
      <c r="L5" s="2">
        <v>92456</v>
      </c>
      <c r="M5" t="s">
        <v>38</v>
      </c>
      <c r="N5">
        <v>43</v>
      </c>
      <c r="O5" t="s">
        <v>23</v>
      </c>
      <c r="P5">
        <v>3</v>
      </c>
      <c r="Q5" s="1">
        <v>39.9</v>
      </c>
      <c r="R5" s="2">
        <f t="shared" si="0"/>
        <v>-7853</v>
      </c>
      <c r="S5" s="1">
        <f t="shared" si="1"/>
        <v>-7.8288089802510248</v>
      </c>
      <c r="T5" t="str">
        <f t="shared" si="2"/>
        <v>Intermediate</v>
      </c>
      <c r="U5" t="str">
        <f t="shared" si="3"/>
        <v>Medium Impact</v>
      </c>
    </row>
    <row r="6" spans="1:21" x14ac:dyDescent="0.3">
      <c r="A6" t="s">
        <v>1095</v>
      </c>
      <c r="B6">
        <v>53</v>
      </c>
      <c r="C6" t="s">
        <v>27</v>
      </c>
      <c r="D6" t="s">
        <v>40</v>
      </c>
      <c r="E6" t="s">
        <v>29</v>
      </c>
      <c r="F6" t="s">
        <v>30</v>
      </c>
      <c r="G6">
        <v>29</v>
      </c>
      <c r="H6" t="s">
        <v>31</v>
      </c>
      <c r="I6" t="s">
        <v>31</v>
      </c>
      <c r="J6" t="s">
        <v>23</v>
      </c>
      <c r="K6" s="2">
        <v>55345</v>
      </c>
      <c r="L6" s="2">
        <v>54809</v>
      </c>
      <c r="M6" t="s">
        <v>32</v>
      </c>
      <c r="N6">
        <v>53</v>
      </c>
      <c r="O6" t="s">
        <v>23</v>
      </c>
      <c r="P6">
        <v>4</v>
      </c>
      <c r="Q6" s="1">
        <v>39.880000000000003</v>
      </c>
      <c r="R6" s="2">
        <f t="shared" si="0"/>
        <v>-536</v>
      </c>
      <c r="S6" s="1">
        <f t="shared" si="1"/>
        <v>-0.968470503207155</v>
      </c>
      <c r="T6" t="str">
        <f t="shared" si="2"/>
        <v>Expert</v>
      </c>
      <c r="U6" t="str">
        <f t="shared" si="3"/>
        <v>Low Impact</v>
      </c>
    </row>
    <row r="7" spans="1:21" x14ac:dyDescent="0.3">
      <c r="A7" t="s">
        <v>73</v>
      </c>
      <c r="B7">
        <v>23</v>
      </c>
      <c r="C7" t="s">
        <v>18</v>
      </c>
      <c r="D7" t="s">
        <v>40</v>
      </c>
      <c r="E7" t="s">
        <v>59</v>
      </c>
      <c r="F7" t="s">
        <v>60</v>
      </c>
      <c r="G7">
        <v>0</v>
      </c>
      <c r="H7" t="s">
        <v>22</v>
      </c>
      <c r="I7" t="s">
        <v>22</v>
      </c>
      <c r="J7" t="s">
        <v>25</v>
      </c>
      <c r="K7" s="2">
        <v>53664</v>
      </c>
      <c r="L7" s="2">
        <v>47699</v>
      </c>
      <c r="M7" t="s">
        <v>38</v>
      </c>
      <c r="N7">
        <v>51</v>
      </c>
      <c r="O7" t="s">
        <v>23</v>
      </c>
      <c r="P7">
        <v>4</v>
      </c>
      <c r="Q7" s="1">
        <v>39.86</v>
      </c>
      <c r="R7" s="2">
        <f t="shared" si="0"/>
        <v>-5965</v>
      </c>
      <c r="S7" s="1">
        <f t="shared" si="1"/>
        <v>-11.115459153249851</v>
      </c>
      <c r="T7" t="str">
        <f t="shared" si="2"/>
        <v>Beginner</v>
      </c>
      <c r="U7" t="str">
        <f t="shared" si="3"/>
        <v>Medium Impact</v>
      </c>
    </row>
    <row r="8" spans="1:21" x14ac:dyDescent="0.3">
      <c r="A8" t="s">
        <v>1895</v>
      </c>
      <c r="B8">
        <v>56</v>
      </c>
      <c r="C8" t="s">
        <v>18</v>
      </c>
      <c r="D8" t="s">
        <v>19</v>
      </c>
      <c r="E8" t="s">
        <v>41</v>
      </c>
      <c r="F8" t="s">
        <v>42</v>
      </c>
      <c r="G8">
        <v>33</v>
      </c>
      <c r="H8" t="s">
        <v>37</v>
      </c>
      <c r="I8" t="s">
        <v>22</v>
      </c>
      <c r="J8" t="s">
        <v>25</v>
      </c>
      <c r="K8" s="2">
        <v>107605</v>
      </c>
      <c r="L8" s="2">
        <v>113667</v>
      </c>
      <c r="M8" t="s">
        <v>32</v>
      </c>
      <c r="N8">
        <v>54</v>
      </c>
      <c r="O8" t="s">
        <v>25</v>
      </c>
      <c r="P8">
        <v>3</v>
      </c>
      <c r="Q8" s="1">
        <v>39.83</v>
      </c>
      <c r="R8" s="2">
        <f t="shared" si="0"/>
        <v>6062</v>
      </c>
      <c r="S8" s="1">
        <f t="shared" si="1"/>
        <v>5.6335672134194503</v>
      </c>
      <c r="T8" t="str">
        <f t="shared" si="2"/>
        <v>Expert</v>
      </c>
      <c r="U8" t="str">
        <f t="shared" si="3"/>
        <v>Low Impact</v>
      </c>
    </row>
    <row r="9" spans="1:21" x14ac:dyDescent="0.3">
      <c r="A9" t="s">
        <v>853</v>
      </c>
      <c r="B9">
        <v>39</v>
      </c>
      <c r="C9" t="s">
        <v>27</v>
      </c>
      <c r="D9" t="s">
        <v>28</v>
      </c>
      <c r="E9" t="s">
        <v>29</v>
      </c>
      <c r="F9" t="s">
        <v>30</v>
      </c>
      <c r="G9">
        <v>16</v>
      </c>
      <c r="H9" t="s">
        <v>37</v>
      </c>
      <c r="I9" t="s">
        <v>22</v>
      </c>
      <c r="J9" t="s">
        <v>25</v>
      </c>
      <c r="K9" s="2">
        <v>66444</v>
      </c>
      <c r="L9" s="2">
        <v>78372</v>
      </c>
      <c r="M9" t="s">
        <v>32</v>
      </c>
      <c r="N9">
        <v>44</v>
      </c>
      <c r="O9" t="s">
        <v>23</v>
      </c>
      <c r="P9">
        <v>7</v>
      </c>
      <c r="Q9" s="1">
        <v>39.82</v>
      </c>
      <c r="R9" s="2">
        <f t="shared" si="0"/>
        <v>11928</v>
      </c>
      <c r="S9" s="1">
        <f t="shared" si="1"/>
        <v>17.951959544879902</v>
      </c>
      <c r="T9" t="str">
        <f t="shared" si="2"/>
        <v>Expert</v>
      </c>
      <c r="U9" t="str">
        <f t="shared" si="3"/>
        <v>Low Impact</v>
      </c>
    </row>
    <row r="10" spans="1:21" x14ac:dyDescent="0.3">
      <c r="A10" t="s">
        <v>1628</v>
      </c>
      <c r="B10">
        <v>55</v>
      </c>
      <c r="C10" t="s">
        <v>18</v>
      </c>
      <c r="D10" t="s">
        <v>34</v>
      </c>
      <c r="E10" t="s">
        <v>44</v>
      </c>
      <c r="F10" t="s">
        <v>45</v>
      </c>
      <c r="G10">
        <v>30</v>
      </c>
      <c r="H10" t="s">
        <v>22</v>
      </c>
      <c r="I10" t="s">
        <v>37</v>
      </c>
      <c r="J10" t="s">
        <v>23</v>
      </c>
      <c r="K10" s="2">
        <v>85031</v>
      </c>
      <c r="L10" s="2">
        <v>73868</v>
      </c>
      <c r="M10" t="s">
        <v>38</v>
      </c>
      <c r="N10">
        <v>41</v>
      </c>
      <c r="O10" t="s">
        <v>23</v>
      </c>
      <c r="P10">
        <v>4</v>
      </c>
      <c r="Q10" s="1">
        <v>39.82</v>
      </c>
      <c r="R10" s="2">
        <f t="shared" si="0"/>
        <v>-11163</v>
      </c>
      <c r="S10" s="1">
        <f t="shared" si="1"/>
        <v>-13.128153261751596</v>
      </c>
      <c r="T10" t="str">
        <f t="shared" si="2"/>
        <v>Expert</v>
      </c>
      <c r="U10" t="str">
        <f t="shared" si="3"/>
        <v>Medium Impact</v>
      </c>
    </row>
    <row r="11" spans="1:21" x14ac:dyDescent="0.3">
      <c r="A11" t="s">
        <v>972</v>
      </c>
      <c r="B11">
        <v>43</v>
      </c>
      <c r="C11" t="s">
        <v>27</v>
      </c>
      <c r="D11" t="s">
        <v>28</v>
      </c>
      <c r="E11" t="s">
        <v>41</v>
      </c>
      <c r="F11" t="s">
        <v>55</v>
      </c>
      <c r="G11">
        <v>21</v>
      </c>
      <c r="H11" t="s">
        <v>37</v>
      </c>
      <c r="I11" t="s">
        <v>22</v>
      </c>
      <c r="J11" t="s">
        <v>23</v>
      </c>
      <c r="K11" s="2">
        <v>36997</v>
      </c>
      <c r="L11" s="2">
        <v>42882</v>
      </c>
      <c r="M11" t="s">
        <v>32</v>
      </c>
      <c r="N11">
        <v>51</v>
      </c>
      <c r="O11" t="s">
        <v>25</v>
      </c>
      <c r="P11">
        <v>6</v>
      </c>
      <c r="Q11" s="1">
        <v>39.81</v>
      </c>
      <c r="R11" s="2">
        <f t="shared" si="0"/>
        <v>5885</v>
      </c>
      <c r="S11" s="1">
        <f t="shared" si="1"/>
        <v>15.906695137443577</v>
      </c>
      <c r="T11" t="str">
        <f t="shared" si="2"/>
        <v>Expert</v>
      </c>
      <c r="U11" t="str">
        <f t="shared" si="3"/>
        <v>Low Impact</v>
      </c>
    </row>
    <row r="12" spans="1:21" x14ac:dyDescent="0.3">
      <c r="A12" t="s">
        <v>364</v>
      </c>
      <c r="B12">
        <v>28</v>
      </c>
      <c r="C12" t="s">
        <v>54</v>
      </c>
      <c r="D12" t="s">
        <v>28</v>
      </c>
      <c r="E12" t="s">
        <v>44</v>
      </c>
      <c r="F12" t="s">
        <v>45</v>
      </c>
      <c r="G12">
        <v>3</v>
      </c>
      <c r="H12" t="s">
        <v>31</v>
      </c>
      <c r="I12" t="s">
        <v>31</v>
      </c>
      <c r="J12" t="s">
        <v>25</v>
      </c>
      <c r="K12" s="2">
        <v>71568</v>
      </c>
      <c r="L12" s="2">
        <v>73458</v>
      </c>
      <c r="M12" t="s">
        <v>32</v>
      </c>
      <c r="N12">
        <v>51</v>
      </c>
      <c r="O12" t="s">
        <v>25</v>
      </c>
      <c r="P12">
        <v>7</v>
      </c>
      <c r="Q12" s="1">
        <v>39.799999999999997</v>
      </c>
      <c r="R12" s="2">
        <f t="shared" si="0"/>
        <v>1890</v>
      </c>
      <c r="S12" s="1">
        <f t="shared" si="1"/>
        <v>2.640845070422535</v>
      </c>
      <c r="T12" t="str">
        <f t="shared" si="2"/>
        <v>Beginner</v>
      </c>
      <c r="U12" t="str">
        <f t="shared" si="3"/>
        <v>Low Impact</v>
      </c>
    </row>
    <row r="13" spans="1:21" x14ac:dyDescent="0.3">
      <c r="A13" t="s">
        <v>1399</v>
      </c>
      <c r="B13">
        <v>37</v>
      </c>
      <c r="C13" t="s">
        <v>27</v>
      </c>
      <c r="D13" t="s">
        <v>19</v>
      </c>
      <c r="E13" t="s">
        <v>29</v>
      </c>
      <c r="F13" t="s">
        <v>30</v>
      </c>
      <c r="G13">
        <v>12</v>
      </c>
      <c r="H13" t="s">
        <v>37</v>
      </c>
      <c r="I13" t="s">
        <v>31</v>
      </c>
      <c r="J13" t="s">
        <v>23</v>
      </c>
      <c r="K13" s="2">
        <v>34576</v>
      </c>
      <c r="L13" s="2">
        <v>33994</v>
      </c>
      <c r="M13" t="s">
        <v>32</v>
      </c>
      <c r="N13">
        <v>39</v>
      </c>
      <c r="O13" t="s">
        <v>23</v>
      </c>
      <c r="P13">
        <v>8</v>
      </c>
      <c r="Q13" s="1">
        <v>39.799999999999997</v>
      </c>
      <c r="R13" s="2">
        <f t="shared" si="0"/>
        <v>-582</v>
      </c>
      <c r="S13" s="1">
        <f t="shared" si="1"/>
        <v>-1.6832484960666356</v>
      </c>
      <c r="T13" t="str">
        <f t="shared" si="2"/>
        <v>Intermediate</v>
      </c>
      <c r="U13" t="str">
        <f t="shared" si="3"/>
        <v>Low Impact</v>
      </c>
    </row>
    <row r="14" spans="1:21" x14ac:dyDescent="0.3">
      <c r="A14" t="s">
        <v>698</v>
      </c>
      <c r="B14">
        <v>54</v>
      </c>
      <c r="C14" t="s">
        <v>18</v>
      </c>
      <c r="D14" t="s">
        <v>19</v>
      </c>
      <c r="E14" t="s">
        <v>41</v>
      </c>
      <c r="F14" t="s">
        <v>55</v>
      </c>
      <c r="G14">
        <v>32</v>
      </c>
      <c r="H14" t="s">
        <v>22</v>
      </c>
      <c r="I14" t="s">
        <v>31</v>
      </c>
      <c r="J14" t="s">
        <v>23</v>
      </c>
      <c r="K14" s="2">
        <v>61027</v>
      </c>
      <c r="L14" s="2">
        <v>82815</v>
      </c>
      <c r="M14" t="s">
        <v>32</v>
      </c>
      <c r="N14">
        <v>46</v>
      </c>
      <c r="O14" t="s">
        <v>23</v>
      </c>
      <c r="P14">
        <v>5</v>
      </c>
      <c r="Q14" s="1">
        <v>39.78</v>
      </c>
      <c r="R14" s="2">
        <f t="shared" si="0"/>
        <v>21788</v>
      </c>
      <c r="S14" s="1">
        <f t="shared" si="1"/>
        <v>35.702230160420797</v>
      </c>
      <c r="T14" t="str">
        <f t="shared" si="2"/>
        <v>Expert</v>
      </c>
      <c r="U14" t="str">
        <f t="shared" si="3"/>
        <v>Low Impact</v>
      </c>
    </row>
    <row r="15" spans="1:21" x14ac:dyDescent="0.3">
      <c r="A15" t="s">
        <v>294</v>
      </c>
      <c r="B15">
        <v>39</v>
      </c>
      <c r="C15" t="s">
        <v>27</v>
      </c>
      <c r="D15" t="s">
        <v>40</v>
      </c>
      <c r="E15" t="s">
        <v>20</v>
      </c>
      <c r="F15" t="s">
        <v>118</v>
      </c>
      <c r="G15">
        <v>16</v>
      </c>
      <c r="H15" t="s">
        <v>31</v>
      </c>
      <c r="I15" t="s">
        <v>31</v>
      </c>
      <c r="J15" t="s">
        <v>25</v>
      </c>
      <c r="K15" s="2">
        <v>46082</v>
      </c>
      <c r="L15" s="2">
        <v>45357</v>
      </c>
      <c r="M15" t="s">
        <v>32</v>
      </c>
      <c r="N15">
        <v>43</v>
      </c>
      <c r="O15" t="s">
        <v>23</v>
      </c>
      <c r="P15">
        <v>5</v>
      </c>
      <c r="Q15" s="1">
        <v>39.78</v>
      </c>
      <c r="R15" s="2">
        <f t="shared" si="0"/>
        <v>-725</v>
      </c>
      <c r="S15" s="1">
        <f t="shared" si="1"/>
        <v>-1.5732824096176383</v>
      </c>
      <c r="T15" t="str">
        <f t="shared" si="2"/>
        <v>Expert</v>
      </c>
      <c r="U15" t="str">
        <f t="shared" si="3"/>
        <v>Low Impact</v>
      </c>
    </row>
    <row r="16" spans="1:21" x14ac:dyDescent="0.3">
      <c r="A16" t="s">
        <v>1294</v>
      </c>
      <c r="B16">
        <v>27</v>
      </c>
      <c r="C16" t="s">
        <v>18</v>
      </c>
      <c r="D16" t="s">
        <v>28</v>
      </c>
      <c r="E16" t="s">
        <v>29</v>
      </c>
      <c r="F16" t="s">
        <v>30</v>
      </c>
      <c r="G16">
        <v>2</v>
      </c>
      <c r="H16" t="s">
        <v>22</v>
      </c>
      <c r="I16" t="s">
        <v>22</v>
      </c>
      <c r="J16" t="s">
        <v>23</v>
      </c>
      <c r="K16" s="2">
        <v>88420</v>
      </c>
      <c r="L16" s="2">
        <v>123694</v>
      </c>
      <c r="M16" t="s">
        <v>24</v>
      </c>
      <c r="N16">
        <v>54</v>
      </c>
      <c r="O16" t="s">
        <v>23</v>
      </c>
      <c r="P16">
        <v>9</v>
      </c>
      <c r="Q16" s="1">
        <v>39.770000000000003</v>
      </c>
      <c r="R16" s="2">
        <f t="shared" si="0"/>
        <v>35274</v>
      </c>
      <c r="S16" s="1">
        <f t="shared" si="1"/>
        <v>39.89368921058584</v>
      </c>
      <c r="T16" t="str">
        <f t="shared" si="2"/>
        <v>Beginner</v>
      </c>
      <c r="U16" t="str">
        <f t="shared" si="3"/>
        <v>High Impact</v>
      </c>
    </row>
    <row r="17" spans="1:21" x14ac:dyDescent="0.3">
      <c r="A17" t="s">
        <v>660</v>
      </c>
      <c r="B17">
        <v>49</v>
      </c>
      <c r="C17" t="s">
        <v>18</v>
      </c>
      <c r="D17" t="s">
        <v>28</v>
      </c>
      <c r="E17" t="s">
        <v>59</v>
      </c>
      <c r="F17" t="s">
        <v>60</v>
      </c>
      <c r="G17">
        <v>23</v>
      </c>
      <c r="H17" t="s">
        <v>22</v>
      </c>
      <c r="I17" t="s">
        <v>37</v>
      </c>
      <c r="J17" t="s">
        <v>23</v>
      </c>
      <c r="K17" s="2">
        <v>98798</v>
      </c>
      <c r="L17" s="2">
        <v>91583</v>
      </c>
      <c r="M17" t="s">
        <v>38</v>
      </c>
      <c r="N17">
        <v>46</v>
      </c>
      <c r="O17" t="s">
        <v>25</v>
      </c>
      <c r="P17">
        <v>4</v>
      </c>
      <c r="Q17" s="1">
        <v>39.74</v>
      </c>
      <c r="R17" s="2">
        <f t="shared" si="0"/>
        <v>-7215</v>
      </c>
      <c r="S17" s="1">
        <f t="shared" si="1"/>
        <v>-7.3027794084900508</v>
      </c>
      <c r="T17" t="str">
        <f t="shared" si="2"/>
        <v>Expert</v>
      </c>
      <c r="U17" t="str">
        <f t="shared" si="3"/>
        <v>Medium Impact</v>
      </c>
    </row>
    <row r="18" spans="1:21" x14ac:dyDescent="0.3">
      <c r="A18" t="s">
        <v>1366</v>
      </c>
      <c r="B18">
        <v>47</v>
      </c>
      <c r="C18" t="s">
        <v>18</v>
      </c>
      <c r="D18" t="s">
        <v>19</v>
      </c>
      <c r="E18" t="s">
        <v>35</v>
      </c>
      <c r="F18" t="s">
        <v>98</v>
      </c>
      <c r="G18">
        <v>25</v>
      </c>
      <c r="H18" t="s">
        <v>31</v>
      </c>
      <c r="I18" t="s">
        <v>31</v>
      </c>
      <c r="J18" t="s">
        <v>23</v>
      </c>
      <c r="K18" s="2">
        <v>118263</v>
      </c>
      <c r="L18" s="2">
        <v>127196</v>
      </c>
      <c r="M18" t="s">
        <v>32</v>
      </c>
      <c r="N18">
        <v>52</v>
      </c>
      <c r="O18" t="s">
        <v>25</v>
      </c>
      <c r="P18">
        <v>8</v>
      </c>
      <c r="Q18" s="1">
        <v>39.729999999999997</v>
      </c>
      <c r="R18" s="2">
        <f t="shared" si="0"/>
        <v>8933</v>
      </c>
      <c r="S18" s="1">
        <f t="shared" si="1"/>
        <v>7.5535036317360458</v>
      </c>
      <c r="T18" t="str">
        <f t="shared" si="2"/>
        <v>Expert</v>
      </c>
      <c r="U18" t="str">
        <f t="shared" si="3"/>
        <v>Low Impact</v>
      </c>
    </row>
    <row r="19" spans="1:21" x14ac:dyDescent="0.3">
      <c r="A19" t="s">
        <v>345</v>
      </c>
      <c r="B19">
        <v>24</v>
      </c>
      <c r="C19" t="s">
        <v>18</v>
      </c>
      <c r="D19" t="s">
        <v>28</v>
      </c>
      <c r="E19" t="s">
        <v>41</v>
      </c>
      <c r="F19" t="s">
        <v>49</v>
      </c>
      <c r="G19">
        <v>1</v>
      </c>
      <c r="H19" t="s">
        <v>37</v>
      </c>
      <c r="I19" t="s">
        <v>31</v>
      </c>
      <c r="J19" t="s">
        <v>25</v>
      </c>
      <c r="K19" s="2">
        <v>49201</v>
      </c>
      <c r="L19" s="2">
        <v>49638</v>
      </c>
      <c r="M19" t="s">
        <v>32</v>
      </c>
      <c r="N19">
        <v>54</v>
      </c>
      <c r="O19" t="s">
        <v>25</v>
      </c>
      <c r="P19">
        <v>8</v>
      </c>
      <c r="Q19" s="1">
        <v>39.729999999999997</v>
      </c>
      <c r="R19" s="2">
        <f t="shared" si="0"/>
        <v>437</v>
      </c>
      <c r="S19" s="1">
        <f t="shared" si="1"/>
        <v>0.88819332940387397</v>
      </c>
      <c r="T19" t="str">
        <f t="shared" si="2"/>
        <v>Beginner</v>
      </c>
      <c r="U19" t="str">
        <f t="shared" si="3"/>
        <v>Low Impact</v>
      </c>
    </row>
    <row r="20" spans="1:21" x14ac:dyDescent="0.3">
      <c r="A20" t="s">
        <v>254</v>
      </c>
      <c r="B20">
        <v>44</v>
      </c>
      <c r="C20" t="s">
        <v>54</v>
      </c>
      <c r="D20" t="s">
        <v>19</v>
      </c>
      <c r="E20" t="s">
        <v>20</v>
      </c>
      <c r="F20" t="s">
        <v>88</v>
      </c>
      <c r="G20">
        <v>22</v>
      </c>
      <c r="H20" t="s">
        <v>37</v>
      </c>
      <c r="I20" t="s">
        <v>22</v>
      </c>
      <c r="J20" t="s">
        <v>25</v>
      </c>
      <c r="K20" s="2">
        <v>76600</v>
      </c>
      <c r="L20" s="2">
        <v>90259</v>
      </c>
      <c r="M20" t="s">
        <v>32</v>
      </c>
      <c r="N20">
        <v>44</v>
      </c>
      <c r="O20" t="s">
        <v>25</v>
      </c>
      <c r="P20">
        <v>5</v>
      </c>
      <c r="Q20" s="1">
        <v>39.69</v>
      </c>
      <c r="R20" s="2">
        <f t="shared" si="0"/>
        <v>13659</v>
      </c>
      <c r="S20" s="1">
        <f t="shared" si="1"/>
        <v>17.831592689295039</v>
      </c>
      <c r="T20" t="str">
        <f t="shared" si="2"/>
        <v>Expert</v>
      </c>
      <c r="U20" t="str">
        <f t="shared" si="3"/>
        <v>Low Impact</v>
      </c>
    </row>
    <row r="21" spans="1:21" x14ac:dyDescent="0.3">
      <c r="A21" t="s">
        <v>483</v>
      </c>
      <c r="B21">
        <v>58</v>
      </c>
      <c r="C21" t="s">
        <v>27</v>
      </c>
      <c r="D21" t="s">
        <v>19</v>
      </c>
      <c r="E21" t="s">
        <v>29</v>
      </c>
      <c r="F21" t="s">
        <v>102</v>
      </c>
      <c r="G21">
        <v>34</v>
      </c>
      <c r="H21" t="s">
        <v>31</v>
      </c>
      <c r="I21" t="s">
        <v>31</v>
      </c>
      <c r="J21" t="s">
        <v>25</v>
      </c>
      <c r="K21" s="2">
        <v>57734</v>
      </c>
      <c r="L21" s="2">
        <v>58693</v>
      </c>
      <c r="M21" t="s">
        <v>32</v>
      </c>
      <c r="N21">
        <v>43</v>
      </c>
      <c r="O21" t="s">
        <v>25</v>
      </c>
      <c r="P21">
        <v>3</v>
      </c>
      <c r="Q21" s="1">
        <v>39.69</v>
      </c>
      <c r="R21" s="2">
        <f t="shared" si="0"/>
        <v>959</v>
      </c>
      <c r="S21" s="1">
        <f t="shared" si="1"/>
        <v>1.6610662694426162</v>
      </c>
      <c r="T21" t="str">
        <f t="shared" si="2"/>
        <v>Expert</v>
      </c>
      <c r="U21" t="str">
        <f t="shared" si="3"/>
        <v>Low Impact</v>
      </c>
    </row>
    <row r="22" spans="1:21" x14ac:dyDescent="0.3">
      <c r="A22" t="s">
        <v>1325</v>
      </c>
      <c r="B22">
        <v>38</v>
      </c>
      <c r="C22" t="s">
        <v>54</v>
      </c>
      <c r="D22" t="s">
        <v>40</v>
      </c>
      <c r="E22" t="s">
        <v>41</v>
      </c>
      <c r="F22" t="s">
        <v>55</v>
      </c>
      <c r="G22">
        <v>12</v>
      </c>
      <c r="H22" t="s">
        <v>22</v>
      </c>
      <c r="I22" t="s">
        <v>37</v>
      </c>
      <c r="J22" t="s">
        <v>23</v>
      </c>
      <c r="K22" s="2">
        <v>85355</v>
      </c>
      <c r="L22" s="2">
        <v>107390</v>
      </c>
      <c r="M22" t="s">
        <v>38</v>
      </c>
      <c r="N22">
        <v>35</v>
      </c>
      <c r="O22" t="s">
        <v>23</v>
      </c>
      <c r="P22">
        <v>8</v>
      </c>
      <c r="Q22" s="1">
        <v>39.56</v>
      </c>
      <c r="R22" s="2">
        <f t="shared" si="0"/>
        <v>22035</v>
      </c>
      <c r="S22" s="1">
        <f t="shared" si="1"/>
        <v>25.815710854665809</v>
      </c>
      <c r="T22" t="str">
        <f t="shared" si="2"/>
        <v>Intermediate</v>
      </c>
      <c r="U22" t="str">
        <f t="shared" si="3"/>
        <v>Medium Impact</v>
      </c>
    </row>
    <row r="23" spans="1:21" x14ac:dyDescent="0.3">
      <c r="A23" t="s">
        <v>556</v>
      </c>
      <c r="B23">
        <v>48</v>
      </c>
      <c r="C23" t="s">
        <v>27</v>
      </c>
      <c r="D23" t="s">
        <v>28</v>
      </c>
      <c r="E23" t="s">
        <v>44</v>
      </c>
      <c r="F23" t="s">
        <v>57</v>
      </c>
      <c r="G23">
        <v>25</v>
      </c>
      <c r="H23" t="s">
        <v>37</v>
      </c>
      <c r="I23" t="s">
        <v>37</v>
      </c>
      <c r="J23" t="s">
        <v>23</v>
      </c>
      <c r="K23" s="2">
        <v>49149</v>
      </c>
      <c r="L23" s="2">
        <v>53405</v>
      </c>
      <c r="M23" t="s">
        <v>38</v>
      </c>
      <c r="N23">
        <v>54</v>
      </c>
      <c r="O23" t="s">
        <v>25</v>
      </c>
      <c r="P23">
        <v>7</v>
      </c>
      <c r="Q23" s="1">
        <v>39.549999999999997</v>
      </c>
      <c r="R23" s="2">
        <f t="shared" si="0"/>
        <v>4256</v>
      </c>
      <c r="S23" s="1">
        <f t="shared" si="1"/>
        <v>8.6593826934423905</v>
      </c>
      <c r="T23" t="str">
        <f t="shared" si="2"/>
        <v>Expert</v>
      </c>
      <c r="U23" t="str">
        <f t="shared" si="3"/>
        <v>Medium Impact</v>
      </c>
    </row>
    <row r="24" spans="1:21" x14ac:dyDescent="0.3">
      <c r="A24" t="s">
        <v>1888</v>
      </c>
      <c r="B24">
        <v>47</v>
      </c>
      <c r="C24" t="s">
        <v>54</v>
      </c>
      <c r="D24" t="s">
        <v>28</v>
      </c>
      <c r="E24" t="s">
        <v>35</v>
      </c>
      <c r="F24" t="s">
        <v>36</v>
      </c>
      <c r="G24">
        <v>22</v>
      </c>
      <c r="H24" t="s">
        <v>31</v>
      </c>
      <c r="I24" t="s">
        <v>31</v>
      </c>
      <c r="J24" t="s">
        <v>23</v>
      </c>
      <c r="K24" s="2">
        <v>73815</v>
      </c>
      <c r="L24" s="2">
        <v>76757</v>
      </c>
      <c r="M24" t="s">
        <v>32</v>
      </c>
      <c r="N24">
        <v>38</v>
      </c>
      <c r="O24" t="s">
        <v>23</v>
      </c>
      <c r="P24">
        <v>5</v>
      </c>
      <c r="Q24" s="1">
        <v>39.53</v>
      </c>
      <c r="R24" s="2">
        <f t="shared" si="0"/>
        <v>2942</v>
      </c>
      <c r="S24" s="1">
        <f t="shared" si="1"/>
        <v>3.9856397751134596</v>
      </c>
      <c r="T24" t="str">
        <f t="shared" si="2"/>
        <v>Expert</v>
      </c>
      <c r="U24" t="str">
        <f t="shared" si="3"/>
        <v>Low Impact</v>
      </c>
    </row>
    <row r="25" spans="1:21" x14ac:dyDescent="0.3">
      <c r="A25" t="s">
        <v>1596</v>
      </c>
      <c r="B25">
        <v>39</v>
      </c>
      <c r="C25" t="s">
        <v>27</v>
      </c>
      <c r="D25" t="s">
        <v>40</v>
      </c>
      <c r="E25" t="s">
        <v>29</v>
      </c>
      <c r="F25" t="s">
        <v>102</v>
      </c>
      <c r="G25">
        <v>13</v>
      </c>
      <c r="H25" t="s">
        <v>37</v>
      </c>
      <c r="I25" t="s">
        <v>22</v>
      </c>
      <c r="J25" t="s">
        <v>23</v>
      </c>
      <c r="K25" s="2">
        <v>63298</v>
      </c>
      <c r="L25" s="2">
        <v>66691</v>
      </c>
      <c r="M25" t="s">
        <v>32</v>
      </c>
      <c r="N25">
        <v>44</v>
      </c>
      <c r="O25" t="s">
        <v>23</v>
      </c>
      <c r="P25">
        <v>7</v>
      </c>
      <c r="Q25" s="1">
        <v>39.53</v>
      </c>
      <c r="R25" s="2">
        <f t="shared" si="0"/>
        <v>3393</v>
      </c>
      <c r="S25" s="1">
        <f t="shared" si="1"/>
        <v>5.3603589370912186</v>
      </c>
      <c r="T25" t="str">
        <f t="shared" si="2"/>
        <v>Intermediate</v>
      </c>
      <c r="U25" t="str">
        <f t="shared" si="3"/>
        <v>Low Impact</v>
      </c>
    </row>
    <row r="26" spans="1:21" x14ac:dyDescent="0.3">
      <c r="A26" t="s">
        <v>1435</v>
      </c>
      <c r="B26">
        <v>40</v>
      </c>
      <c r="C26" t="s">
        <v>54</v>
      </c>
      <c r="D26" t="s">
        <v>40</v>
      </c>
      <c r="E26" t="s">
        <v>29</v>
      </c>
      <c r="F26" t="s">
        <v>30</v>
      </c>
      <c r="G26">
        <v>14</v>
      </c>
      <c r="H26" t="s">
        <v>22</v>
      </c>
      <c r="I26" t="s">
        <v>31</v>
      </c>
      <c r="J26" t="s">
        <v>25</v>
      </c>
      <c r="K26" s="2">
        <v>60846</v>
      </c>
      <c r="L26" s="2">
        <v>50288</v>
      </c>
      <c r="M26" t="s">
        <v>32</v>
      </c>
      <c r="N26">
        <v>50</v>
      </c>
      <c r="O26" t="s">
        <v>25</v>
      </c>
      <c r="P26">
        <v>3</v>
      </c>
      <c r="Q26" s="1">
        <v>39.53</v>
      </c>
      <c r="R26" s="2">
        <f t="shared" si="0"/>
        <v>-10558</v>
      </c>
      <c r="S26" s="1">
        <f t="shared" si="1"/>
        <v>-17.352003418466293</v>
      </c>
      <c r="T26" t="str">
        <f t="shared" si="2"/>
        <v>Intermediate</v>
      </c>
      <c r="U26" t="str">
        <f t="shared" si="3"/>
        <v>Low Impact</v>
      </c>
    </row>
    <row r="27" spans="1:21" x14ac:dyDescent="0.3">
      <c r="A27" t="s">
        <v>682</v>
      </c>
      <c r="B27">
        <v>34</v>
      </c>
      <c r="C27" t="s">
        <v>54</v>
      </c>
      <c r="D27" t="s">
        <v>19</v>
      </c>
      <c r="E27" t="s">
        <v>20</v>
      </c>
      <c r="F27" t="s">
        <v>88</v>
      </c>
      <c r="G27">
        <v>12</v>
      </c>
      <c r="H27" t="s">
        <v>22</v>
      </c>
      <c r="I27" t="s">
        <v>37</v>
      </c>
      <c r="J27" t="s">
        <v>25</v>
      </c>
      <c r="K27" s="2">
        <v>63455</v>
      </c>
      <c r="L27" s="2">
        <v>71598</v>
      </c>
      <c r="M27" t="s">
        <v>38</v>
      </c>
      <c r="N27">
        <v>51</v>
      </c>
      <c r="O27" t="s">
        <v>25</v>
      </c>
      <c r="P27">
        <v>9</v>
      </c>
      <c r="Q27" s="1">
        <v>39.51</v>
      </c>
      <c r="R27" s="2">
        <f t="shared" si="0"/>
        <v>8143</v>
      </c>
      <c r="S27" s="1">
        <f t="shared" si="1"/>
        <v>12.832716098022221</v>
      </c>
      <c r="T27" t="str">
        <f t="shared" si="2"/>
        <v>Intermediate</v>
      </c>
      <c r="U27" t="str">
        <f t="shared" si="3"/>
        <v>Medium Impact</v>
      </c>
    </row>
    <row r="28" spans="1:21" x14ac:dyDescent="0.3">
      <c r="A28" t="s">
        <v>1482</v>
      </c>
      <c r="B28">
        <v>40</v>
      </c>
      <c r="C28" t="s">
        <v>18</v>
      </c>
      <c r="D28" t="s">
        <v>28</v>
      </c>
      <c r="E28" t="s">
        <v>44</v>
      </c>
      <c r="F28" t="s">
        <v>47</v>
      </c>
      <c r="G28">
        <v>14</v>
      </c>
      <c r="H28" t="s">
        <v>37</v>
      </c>
      <c r="I28" t="s">
        <v>22</v>
      </c>
      <c r="J28" t="s">
        <v>25</v>
      </c>
      <c r="K28" s="2">
        <v>89252</v>
      </c>
      <c r="L28" s="2">
        <v>89442</v>
      </c>
      <c r="M28" t="s">
        <v>32</v>
      </c>
      <c r="N28">
        <v>41</v>
      </c>
      <c r="O28" t="s">
        <v>23</v>
      </c>
      <c r="P28">
        <v>3</v>
      </c>
      <c r="Q28" s="1">
        <v>39.46</v>
      </c>
      <c r="R28" s="2">
        <f t="shared" si="0"/>
        <v>190</v>
      </c>
      <c r="S28" s="1">
        <f t="shared" si="1"/>
        <v>0.21288038363285977</v>
      </c>
      <c r="T28" t="str">
        <f t="shared" si="2"/>
        <v>Intermediate</v>
      </c>
      <c r="U28" t="str">
        <f t="shared" si="3"/>
        <v>Low Impact</v>
      </c>
    </row>
    <row r="29" spans="1:21" x14ac:dyDescent="0.3">
      <c r="A29" t="s">
        <v>1898</v>
      </c>
      <c r="B29">
        <v>27</v>
      </c>
      <c r="C29" t="s">
        <v>27</v>
      </c>
      <c r="D29" t="s">
        <v>19</v>
      </c>
      <c r="E29" t="s">
        <v>44</v>
      </c>
      <c r="F29" t="s">
        <v>57</v>
      </c>
      <c r="G29">
        <v>2</v>
      </c>
      <c r="H29" t="s">
        <v>37</v>
      </c>
      <c r="I29" t="s">
        <v>31</v>
      </c>
      <c r="J29" t="s">
        <v>25</v>
      </c>
      <c r="K29" s="2">
        <v>83790</v>
      </c>
      <c r="L29" s="2">
        <v>85713</v>
      </c>
      <c r="M29" t="s">
        <v>32</v>
      </c>
      <c r="N29">
        <v>43</v>
      </c>
      <c r="O29" t="s">
        <v>25</v>
      </c>
      <c r="P29">
        <v>4</v>
      </c>
      <c r="Q29" s="1">
        <v>39.450000000000003</v>
      </c>
      <c r="R29" s="2">
        <f t="shared" si="0"/>
        <v>1923</v>
      </c>
      <c r="S29" s="1">
        <f t="shared" si="1"/>
        <v>2.2950232724668815</v>
      </c>
      <c r="T29" t="str">
        <f t="shared" si="2"/>
        <v>Beginner</v>
      </c>
      <c r="U29" t="str">
        <f t="shared" si="3"/>
        <v>Low Impact</v>
      </c>
    </row>
    <row r="30" spans="1:21" x14ac:dyDescent="0.3">
      <c r="A30" t="s">
        <v>993</v>
      </c>
      <c r="B30">
        <v>45</v>
      </c>
      <c r="C30" t="s">
        <v>54</v>
      </c>
      <c r="D30" t="s">
        <v>40</v>
      </c>
      <c r="E30" t="s">
        <v>51</v>
      </c>
      <c r="F30" t="s">
        <v>52</v>
      </c>
      <c r="G30">
        <v>19</v>
      </c>
      <c r="H30" t="s">
        <v>31</v>
      </c>
      <c r="I30" t="s">
        <v>37</v>
      </c>
      <c r="J30" t="s">
        <v>23</v>
      </c>
      <c r="K30" s="2">
        <v>81012</v>
      </c>
      <c r="L30" s="2">
        <v>83221</v>
      </c>
      <c r="M30" t="s">
        <v>38</v>
      </c>
      <c r="N30">
        <v>46</v>
      </c>
      <c r="O30" t="s">
        <v>25</v>
      </c>
      <c r="P30">
        <v>4</v>
      </c>
      <c r="Q30" s="1">
        <v>39.42</v>
      </c>
      <c r="R30" s="2">
        <f t="shared" si="0"/>
        <v>2209</v>
      </c>
      <c r="S30" s="1">
        <f t="shared" si="1"/>
        <v>2.7267565298968055</v>
      </c>
      <c r="T30" t="str">
        <f t="shared" si="2"/>
        <v>Expert</v>
      </c>
      <c r="U30" t="str">
        <f t="shared" si="3"/>
        <v>Medium Impact</v>
      </c>
    </row>
    <row r="31" spans="1:21" x14ac:dyDescent="0.3">
      <c r="A31" t="s">
        <v>1818</v>
      </c>
      <c r="B31">
        <v>53</v>
      </c>
      <c r="C31" t="s">
        <v>27</v>
      </c>
      <c r="D31" t="s">
        <v>28</v>
      </c>
      <c r="E31" t="s">
        <v>35</v>
      </c>
      <c r="F31" t="s">
        <v>132</v>
      </c>
      <c r="G31">
        <v>27</v>
      </c>
      <c r="H31" t="s">
        <v>22</v>
      </c>
      <c r="I31" t="s">
        <v>31</v>
      </c>
      <c r="J31" t="s">
        <v>23</v>
      </c>
      <c r="K31" s="2">
        <v>72407</v>
      </c>
      <c r="L31" s="2">
        <v>58382</v>
      </c>
      <c r="M31" t="s">
        <v>32</v>
      </c>
      <c r="N31">
        <v>50</v>
      </c>
      <c r="O31" t="s">
        <v>23</v>
      </c>
      <c r="P31">
        <v>9</v>
      </c>
      <c r="Q31" s="1">
        <v>39.42</v>
      </c>
      <c r="R31" s="2">
        <f t="shared" si="0"/>
        <v>-14025</v>
      </c>
      <c r="S31" s="1">
        <f t="shared" si="1"/>
        <v>-19.369674202770451</v>
      </c>
      <c r="T31" t="str">
        <f t="shared" si="2"/>
        <v>Expert</v>
      </c>
      <c r="U31" t="str">
        <f t="shared" si="3"/>
        <v>Low Impact</v>
      </c>
    </row>
    <row r="32" spans="1:21" x14ac:dyDescent="0.3">
      <c r="A32" t="s">
        <v>760</v>
      </c>
      <c r="B32">
        <v>32</v>
      </c>
      <c r="C32" t="s">
        <v>18</v>
      </c>
      <c r="D32" t="s">
        <v>34</v>
      </c>
      <c r="E32" t="s">
        <v>20</v>
      </c>
      <c r="F32" t="s">
        <v>21</v>
      </c>
      <c r="G32">
        <v>6</v>
      </c>
      <c r="H32" t="s">
        <v>37</v>
      </c>
      <c r="I32" t="s">
        <v>31</v>
      </c>
      <c r="J32" t="s">
        <v>25</v>
      </c>
      <c r="K32" s="2">
        <v>56553</v>
      </c>
      <c r="L32" s="2">
        <v>51490</v>
      </c>
      <c r="M32" t="s">
        <v>32</v>
      </c>
      <c r="N32">
        <v>47</v>
      </c>
      <c r="O32" t="s">
        <v>23</v>
      </c>
      <c r="P32">
        <v>4</v>
      </c>
      <c r="Q32" s="1">
        <v>39.39</v>
      </c>
      <c r="R32" s="2">
        <f t="shared" si="0"/>
        <v>-5063</v>
      </c>
      <c r="S32" s="1">
        <f t="shared" si="1"/>
        <v>-8.9526638728272605</v>
      </c>
      <c r="T32" t="str">
        <f t="shared" si="2"/>
        <v>Intermediate</v>
      </c>
      <c r="U32" t="str">
        <f t="shared" si="3"/>
        <v>Low Impact</v>
      </c>
    </row>
    <row r="33" spans="1:21" x14ac:dyDescent="0.3">
      <c r="A33" t="s">
        <v>1238</v>
      </c>
      <c r="B33">
        <v>59</v>
      </c>
      <c r="C33" t="s">
        <v>18</v>
      </c>
      <c r="D33" t="s">
        <v>34</v>
      </c>
      <c r="E33" t="s">
        <v>51</v>
      </c>
      <c r="F33" t="s">
        <v>130</v>
      </c>
      <c r="G33">
        <v>36</v>
      </c>
      <c r="H33" t="s">
        <v>37</v>
      </c>
      <c r="I33" t="s">
        <v>31</v>
      </c>
      <c r="J33" t="s">
        <v>25</v>
      </c>
      <c r="K33" s="2">
        <v>63892</v>
      </c>
      <c r="L33" s="2">
        <v>66193</v>
      </c>
      <c r="M33" t="s">
        <v>32</v>
      </c>
      <c r="N33">
        <v>44</v>
      </c>
      <c r="O33" t="s">
        <v>25</v>
      </c>
      <c r="P33">
        <v>9</v>
      </c>
      <c r="Q33" s="1">
        <v>39.36</v>
      </c>
      <c r="R33" s="2">
        <f t="shared" si="0"/>
        <v>2301</v>
      </c>
      <c r="S33" s="1">
        <f t="shared" si="1"/>
        <v>3.6013898453640518</v>
      </c>
      <c r="T33" t="str">
        <f t="shared" si="2"/>
        <v>Expert</v>
      </c>
      <c r="U33" t="str">
        <f t="shared" si="3"/>
        <v>Low Impact</v>
      </c>
    </row>
    <row r="34" spans="1:21" x14ac:dyDescent="0.3">
      <c r="A34" t="s">
        <v>2053</v>
      </c>
      <c r="B34">
        <v>34</v>
      </c>
      <c r="C34" t="s">
        <v>54</v>
      </c>
      <c r="D34" t="s">
        <v>19</v>
      </c>
      <c r="E34" t="s">
        <v>41</v>
      </c>
      <c r="F34" t="s">
        <v>55</v>
      </c>
      <c r="G34">
        <v>11</v>
      </c>
      <c r="H34" t="s">
        <v>37</v>
      </c>
      <c r="I34" t="s">
        <v>37</v>
      </c>
      <c r="J34" t="s">
        <v>25</v>
      </c>
      <c r="K34" s="2">
        <v>95907</v>
      </c>
      <c r="L34" s="2">
        <v>98030</v>
      </c>
      <c r="M34" t="s">
        <v>38</v>
      </c>
      <c r="N34">
        <v>40</v>
      </c>
      <c r="O34" t="s">
        <v>25</v>
      </c>
      <c r="P34">
        <v>7</v>
      </c>
      <c r="Q34" s="1">
        <v>39.28</v>
      </c>
      <c r="R34" s="2">
        <f t="shared" si="0"/>
        <v>2123</v>
      </c>
      <c r="S34" s="1">
        <f t="shared" si="1"/>
        <v>2.21360276100806</v>
      </c>
      <c r="T34" t="str">
        <f t="shared" si="2"/>
        <v>Intermediate</v>
      </c>
      <c r="U34" t="str">
        <f t="shared" si="3"/>
        <v>Medium Impact</v>
      </c>
    </row>
    <row r="35" spans="1:21" x14ac:dyDescent="0.3">
      <c r="A35" t="s">
        <v>1071</v>
      </c>
      <c r="B35">
        <v>24</v>
      </c>
      <c r="C35" t="s">
        <v>54</v>
      </c>
      <c r="D35" t="s">
        <v>28</v>
      </c>
      <c r="E35" t="s">
        <v>59</v>
      </c>
      <c r="F35" t="s">
        <v>93</v>
      </c>
      <c r="G35">
        <v>0</v>
      </c>
      <c r="H35" t="s">
        <v>31</v>
      </c>
      <c r="I35" t="s">
        <v>37</v>
      </c>
      <c r="J35" t="s">
        <v>25</v>
      </c>
      <c r="K35" s="2">
        <v>74722</v>
      </c>
      <c r="L35" s="2">
        <v>72852</v>
      </c>
      <c r="M35" t="s">
        <v>38</v>
      </c>
      <c r="N35">
        <v>43</v>
      </c>
      <c r="O35" t="s">
        <v>25</v>
      </c>
      <c r="P35">
        <v>4</v>
      </c>
      <c r="Q35" s="1">
        <v>39.17</v>
      </c>
      <c r="R35" s="2">
        <f t="shared" si="0"/>
        <v>-1870</v>
      </c>
      <c r="S35" s="1">
        <f t="shared" si="1"/>
        <v>-2.5026096731886192</v>
      </c>
      <c r="T35" t="str">
        <f t="shared" si="2"/>
        <v>Beginner</v>
      </c>
      <c r="U35" t="str">
        <f t="shared" si="3"/>
        <v>Medium Impact</v>
      </c>
    </row>
    <row r="36" spans="1:21" x14ac:dyDescent="0.3">
      <c r="A36" t="s">
        <v>958</v>
      </c>
      <c r="B36">
        <v>44</v>
      </c>
      <c r="C36" t="s">
        <v>18</v>
      </c>
      <c r="D36" t="s">
        <v>40</v>
      </c>
      <c r="E36" t="s">
        <v>35</v>
      </c>
      <c r="F36" t="s">
        <v>36</v>
      </c>
      <c r="G36">
        <v>20</v>
      </c>
      <c r="H36" t="s">
        <v>22</v>
      </c>
      <c r="I36" t="s">
        <v>22</v>
      </c>
      <c r="J36" t="s">
        <v>23</v>
      </c>
      <c r="K36" s="2">
        <v>86463</v>
      </c>
      <c r="L36" s="2">
        <v>86905</v>
      </c>
      <c r="M36" t="s">
        <v>24</v>
      </c>
      <c r="N36">
        <v>42</v>
      </c>
      <c r="O36" t="s">
        <v>23</v>
      </c>
      <c r="P36">
        <v>9</v>
      </c>
      <c r="Q36" s="1">
        <v>39.15</v>
      </c>
      <c r="R36" s="2">
        <f t="shared" si="0"/>
        <v>442</v>
      </c>
      <c r="S36" s="1">
        <f t="shared" si="1"/>
        <v>0.51120132310930688</v>
      </c>
      <c r="T36" t="str">
        <f t="shared" si="2"/>
        <v>Expert</v>
      </c>
      <c r="U36" t="str">
        <f t="shared" si="3"/>
        <v>High Impact</v>
      </c>
    </row>
    <row r="37" spans="1:21" x14ac:dyDescent="0.3">
      <c r="A37" t="s">
        <v>1754</v>
      </c>
      <c r="B37">
        <v>56</v>
      </c>
      <c r="C37" t="s">
        <v>54</v>
      </c>
      <c r="D37" t="s">
        <v>19</v>
      </c>
      <c r="E37" t="s">
        <v>35</v>
      </c>
      <c r="F37" t="s">
        <v>36</v>
      </c>
      <c r="G37">
        <v>33</v>
      </c>
      <c r="H37" t="s">
        <v>22</v>
      </c>
      <c r="I37" t="s">
        <v>37</v>
      </c>
      <c r="J37" t="s">
        <v>23</v>
      </c>
      <c r="K37" s="2">
        <v>50011</v>
      </c>
      <c r="L37" s="2">
        <v>57268</v>
      </c>
      <c r="M37" t="s">
        <v>38</v>
      </c>
      <c r="N37">
        <v>53</v>
      </c>
      <c r="O37" t="s">
        <v>23</v>
      </c>
      <c r="P37">
        <v>4</v>
      </c>
      <c r="Q37" s="1">
        <v>39.119999999999997</v>
      </c>
      <c r="R37" s="2">
        <f t="shared" si="0"/>
        <v>7257</v>
      </c>
      <c r="S37" s="1">
        <f t="shared" si="1"/>
        <v>14.510807622323089</v>
      </c>
      <c r="T37" t="str">
        <f t="shared" si="2"/>
        <v>Expert</v>
      </c>
      <c r="U37" t="str">
        <f t="shared" si="3"/>
        <v>Medium Impact</v>
      </c>
    </row>
    <row r="38" spans="1:21" x14ac:dyDescent="0.3">
      <c r="A38" t="s">
        <v>1630</v>
      </c>
      <c r="B38">
        <v>37</v>
      </c>
      <c r="C38" t="s">
        <v>54</v>
      </c>
      <c r="D38" t="s">
        <v>34</v>
      </c>
      <c r="E38" t="s">
        <v>35</v>
      </c>
      <c r="F38" t="s">
        <v>132</v>
      </c>
      <c r="G38">
        <v>15</v>
      </c>
      <c r="H38" t="s">
        <v>37</v>
      </c>
      <c r="I38" t="s">
        <v>37</v>
      </c>
      <c r="J38" t="s">
        <v>25</v>
      </c>
      <c r="K38" s="2">
        <v>30908</v>
      </c>
      <c r="L38" s="2">
        <v>33696</v>
      </c>
      <c r="M38" t="s">
        <v>38</v>
      </c>
      <c r="N38">
        <v>42</v>
      </c>
      <c r="O38" t="s">
        <v>25</v>
      </c>
      <c r="P38">
        <v>7</v>
      </c>
      <c r="Q38" s="1">
        <v>39.08</v>
      </c>
      <c r="R38" s="2">
        <f t="shared" si="0"/>
        <v>2788</v>
      </c>
      <c r="S38" s="1">
        <f t="shared" si="1"/>
        <v>9.0203183641775588</v>
      </c>
      <c r="T38" t="str">
        <f t="shared" si="2"/>
        <v>Expert</v>
      </c>
      <c r="U38" t="str">
        <f t="shared" si="3"/>
        <v>Medium Impact</v>
      </c>
    </row>
    <row r="39" spans="1:21" x14ac:dyDescent="0.3">
      <c r="A39" t="s">
        <v>1051</v>
      </c>
      <c r="B39">
        <v>25</v>
      </c>
      <c r="C39" t="s">
        <v>54</v>
      </c>
      <c r="D39" t="s">
        <v>28</v>
      </c>
      <c r="E39" t="s">
        <v>59</v>
      </c>
      <c r="F39" t="s">
        <v>93</v>
      </c>
      <c r="G39">
        <v>1</v>
      </c>
      <c r="H39" t="s">
        <v>22</v>
      </c>
      <c r="I39" t="s">
        <v>22</v>
      </c>
      <c r="J39" t="s">
        <v>25</v>
      </c>
      <c r="K39" s="2">
        <v>52340</v>
      </c>
      <c r="L39" s="2">
        <v>54605</v>
      </c>
      <c r="M39" t="s">
        <v>24</v>
      </c>
      <c r="N39">
        <v>52</v>
      </c>
      <c r="O39" t="s">
        <v>23</v>
      </c>
      <c r="P39">
        <v>4</v>
      </c>
      <c r="Q39" s="1">
        <v>39.049999999999997</v>
      </c>
      <c r="R39" s="2">
        <f t="shared" si="0"/>
        <v>2265</v>
      </c>
      <c r="S39" s="1">
        <f t="shared" si="1"/>
        <v>4.3274742071073753</v>
      </c>
      <c r="T39" t="str">
        <f t="shared" si="2"/>
        <v>Beginner</v>
      </c>
      <c r="U39" t="str">
        <f t="shared" si="3"/>
        <v>High Impact</v>
      </c>
    </row>
    <row r="40" spans="1:21" x14ac:dyDescent="0.3">
      <c r="A40" t="s">
        <v>978</v>
      </c>
      <c r="B40">
        <v>26</v>
      </c>
      <c r="C40" t="s">
        <v>18</v>
      </c>
      <c r="D40" t="s">
        <v>40</v>
      </c>
      <c r="E40" t="s">
        <v>29</v>
      </c>
      <c r="F40" t="s">
        <v>102</v>
      </c>
      <c r="G40">
        <v>3</v>
      </c>
      <c r="H40" t="s">
        <v>22</v>
      </c>
      <c r="I40" t="s">
        <v>31</v>
      </c>
      <c r="J40" t="s">
        <v>23</v>
      </c>
      <c r="K40" s="2">
        <v>109369</v>
      </c>
      <c r="L40" s="2">
        <v>134064</v>
      </c>
      <c r="M40" t="s">
        <v>32</v>
      </c>
      <c r="N40">
        <v>53</v>
      </c>
      <c r="O40" t="s">
        <v>25</v>
      </c>
      <c r="P40">
        <v>7</v>
      </c>
      <c r="Q40" s="1">
        <v>39.020000000000003</v>
      </c>
      <c r="R40" s="2">
        <f t="shared" si="0"/>
        <v>24695</v>
      </c>
      <c r="S40" s="1">
        <f t="shared" si="1"/>
        <v>22.579524362479315</v>
      </c>
      <c r="T40" t="str">
        <f t="shared" si="2"/>
        <v>Beginner</v>
      </c>
      <c r="U40" t="str">
        <f t="shared" si="3"/>
        <v>Low Impact</v>
      </c>
    </row>
    <row r="41" spans="1:21" x14ac:dyDescent="0.3">
      <c r="A41" t="s">
        <v>1356</v>
      </c>
      <c r="B41">
        <v>56</v>
      </c>
      <c r="C41" t="s">
        <v>27</v>
      </c>
      <c r="D41" t="s">
        <v>28</v>
      </c>
      <c r="E41" t="s">
        <v>41</v>
      </c>
      <c r="F41" t="s">
        <v>49</v>
      </c>
      <c r="G41">
        <v>32</v>
      </c>
      <c r="H41" t="s">
        <v>31</v>
      </c>
      <c r="I41" t="s">
        <v>31</v>
      </c>
      <c r="J41" t="s">
        <v>25</v>
      </c>
      <c r="K41" s="2">
        <v>44318</v>
      </c>
      <c r="L41" s="2">
        <v>44034</v>
      </c>
      <c r="M41" t="s">
        <v>32</v>
      </c>
      <c r="N41">
        <v>54</v>
      </c>
      <c r="O41" t="s">
        <v>23</v>
      </c>
      <c r="P41">
        <v>7</v>
      </c>
      <c r="Q41" s="1">
        <v>39.020000000000003</v>
      </c>
      <c r="R41" s="2">
        <f t="shared" si="0"/>
        <v>-284</v>
      </c>
      <c r="S41" s="1">
        <f t="shared" si="1"/>
        <v>-0.64082314183853062</v>
      </c>
      <c r="T41" t="str">
        <f t="shared" si="2"/>
        <v>Expert</v>
      </c>
      <c r="U41" t="str">
        <f t="shared" si="3"/>
        <v>Low Impact</v>
      </c>
    </row>
    <row r="42" spans="1:21" x14ac:dyDescent="0.3">
      <c r="A42" t="s">
        <v>1730</v>
      </c>
      <c r="B42">
        <v>45</v>
      </c>
      <c r="C42" t="s">
        <v>54</v>
      </c>
      <c r="D42" t="s">
        <v>40</v>
      </c>
      <c r="E42" t="s">
        <v>35</v>
      </c>
      <c r="F42" t="s">
        <v>98</v>
      </c>
      <c r="G42">
        <v>19</v>
      </c>
      <c r="H42" t="s">
        <v>22</v>
      </c>
      <c r="I42" t="s">
        <v>22</v>
      </c>
      <c r="J42" t="s">
        <v>23</v>
      </c>
      <c r="K42" s="2">
        <v>115366</v>
      </c>
      <c r="L42" s="2">
        <v>99517</v>
      </c>
      <c r="M42" t="s">
        <v>24</v>
      </c>
      <c r="N42">
        <v>51</v>
      </c>
      <c r="O42" t="s">
        <v>23</v>
      </c>
      <c r="P42">
        <v>7</v>
      </c>
      <c r="Q42" s="1">
        <v>38.96</v>
      </c>
      <c r="R42" s="2">
        <f t="shared" si="0"/>
        <v>-15849</v>
      </c>
      <c r="S42" s="1">
        <f t="shared" si="1"/>
        <v>-13.738016399979196</v>
      </c>
      <c r="T42" t="str">
        <f t="shared" si="2"/>
        <v>Expert</v>
      </c>
      <c r="U42" t="str">
        <f t="shared" si="3"/>
        <v>High Impact</v>
      </c>
    </row>
    <row r="43" spans="1:21" x14ac:dyDescent="0.3">
      <c r="A43" t="s">
        <v>1080</v>
      </c>
      <c r="B43">
        <v>40</v>
      </c>
      <c r="C43" t="s">
        <v>18</v>
      </c>
      <c r="D43" t="s">
        <v>19</v>
      </c>
      <c r="E43" t="s">
        <v>35</v>
      </c>
      <c r="F43" t="s">
        <v>98</v>
      </c>
      <c r="G43">
        <v>14</v>
      </c>
      <c r="H43" t="s">
        <v>37</v>
      </c>
      <c r="I43" t="s">
        <v>37</v>
      </c>
      <c r="J43" t="s">
        <v>25</v>
      </c>
      <c r="K43" s="2">
        <v>77058</v>
      </c>
      <c r="L43" s="2">
        <v>75575</v>
      </c>
      <c r="M43" t="s">
        <v>38</v>
      </c>
      <c r="N43">
        <v>41</v>
      </c>
      <c r="O43" t="s">
        <v>23</v>
      </c>
      <c r="P43">
        <v>4</v>
      </c>
      <c r="Q43" s="1">
        <v>38.94</v>
      </c>
      <c r="R43" s="2">
        <f t="shared" si="0"/>
        <v>-1483</v>
      </c>
      <c r="S43" s="1">
        <f t="shared" si="1"/>
        <v>-1.9245243842300606</v>
      </c>
      <c r="T43" t="str">
        <f t="shared" si="2"/>
        <v>Intermediate</v>
      </c>
      <c r="U43" t="str">
        <f t="shared" si="3"/>
        <v>Medium Impact</v>
      </c>
    </row>
    <row r="44" spans="1:21" x14ac:dyDescent="0.3">
      <c r="A44" t="s">
        <v>1458</v>
      </c>
      <c r="B44">
        <v>39</v>
      </c>
      <c r="C44" t="s">
        <v>18</v>
      </c>
      <c r="D44" t="s">
        <v>34</v>
      </c>
      <c r="E44" t="s">
        <v>29</v>
      </c>
      <c r="F44" t="s">
        <v>104</v>
      </c>
      <c r="G44">
        <v>16</v>
      </c>
      <c r="H44" t="s">
        <v>31</v>
      </c>
      <c r="I44" t="s">
        <v>31</v>
      </c>
      <c r="J44" t="s">
        <v>25</v>
      </c>
      <c r="K44" s="2">
        <v>32970</v>
      </c>
      <c r="L44" s="2">
        <v>36133</v>
      </c>
      <c r="M44" t="s">
        <v>32</v>
      </c>
      <c r="N44">
        <v>52</v>
      </c>
      <c r="O44" t="s">
        <v>23</v>
      </c>
      <c r="P44">
        <v>4</v>
      </c>
      <c r="Q44" s="1">
        <v>38.78</v>
      </c>
      <c r="R44" s="2">
        <f t="shared" si="0"/>
        <v>3163</v>
      </c>
      <c r="S44" s="1">
        <f t="shared" si="1"/>
        <v>9.5935699120412501</v>
      </c>
      <c r="T44" t="str">
        <f t="shared" si="2"/>
        <v>Expert</v>
      </c>
      <c r="U44" t="str">
        <f t="shared" si="3"/>
        <v>Low Impact</v>
      </c>
    </row>
    <row r="45" spans="1:21" x14ac:dyDescent="0.3">
      <c r="A45" t="s">
        <v>2045</v>
      </c>
      <c r="B45">
        <v>58</v>
      </c>
      <c r="C45" t="s">
        <v>18</v>
      </c>
      <c r="D45" t="s">
        <v>40</v>
      </c>
      <c r="E45" t="s">
        <v>44</v>
      </c>
      <c r="F45" t="s">
        <v>45</v>
      </c>
      <c r="G45">
        <v>33</v>
      </c>
      <c r="H45" t="s">
        <v>37</v>
      </c>
      <c r="I45" t="s">
        <v>31</v>
      </c>
      <c r="J45" t="s">
        <v>25</v>
      </c>
      <c r="K45" s="2">
        <v>86955</v>
      </c>
      <c r="L45" s="2">
        <v>94625</v>
      </c>
      <c r="M45" t="s">
        <v>32</v>
      </c>
      <c r="N45">
        <v>52</v>
      </c>
      <c r="O45" t="s">
        <v>23</v>
      </c>
      <c r="P45">
        <v>3</v>
      </c>
      <c r="Q45" s="1">
        <v>38.770000000000003</v>
      </c>
      <c r="R45" s="2">
        <f t="shared" si="0"/>
        <v>7670</v>
      </c>
      <c r="S45" s="1">
        <f t="shared" si="1"/>
        <v>8.8206543614513251</v>
      </c>
      <c r="T45" t="str">
        <f t="shared" si="2"/>
        <v>Expert</v>
      </c>
      <c r="U45" t="str">
        <f t="shared" si="3"/>
        <v>Low Impact</v>
      </c>
    </row>
    <row r="46" spans="1:21" x14ac:dyDescent="0.3">
      <c r="A46" t="s">
        <v>1845</v>
      </c>
      <c r="B46">
        <v>51</v>
      </c>
      <c r="C46" t="s">
        <v>54</v>
      </c>
      <c r="D46" t="s">
        <v>28</v>
      </c>
      <c r="E46" t="s">
        <v>59</v>
      </c>
      <c r="F46" t="s">
        <v>60</v>
      </c>
      <c r="G46">
        <v>26</v>
      </c>
      <c r="H46" t="s">
        <v>22</v>
      </c>
      <c r="I46" t="s">
        <v>22</v>
      </c>
      <c r="J46" t="s">
        <v>23</v>
      </c>
      <c r="K46" s="2">
        <v>48394</v>
      </c>
      <c r="L46" s="2">
        <v>51268</v>
      </c>
      <c r="M46" t="s">
        <v>38</v>
      </c>
      <c r="N46">
        <v>39</v>
      </c>
      <c r="O46" t="s">
        <v>25</v>
      </c>
      <c r="P46">
        <v>3</v>
      </c>
      <c r="Q46" s="1">
        <v>38.76</v>
      </c>
      <c r="R46" s="2">
        <f t="shared" si="0"/>
        <v>2874</v>
      </c>
      <c r="S46" s="1">
        <f t="shared" si="1"/>
        <v>5.9387527379427203</v>
      </c>
      <c r="T46" t="str">
        <f t="shared" si="2"/>
        <v>Expert</v>
      </c>
      <c r="U46" t="str">
        <f t="shared" si="3"/>
        <v>Medium Impact</v>
      </c>
    </row>
    <row r="47" spans="1:21" x14ac:dyDescent="0.3">
      <c r="A47" t="s">
        <v>1328</v>
      </c>
      <c r="B47">
        <v>22</v>
      </c>
      <c r="C47" t="s">
        <v>18</v>
      </c>
      <c r="D47" t="s">
        <v>40</v>
      </c>
      <c r="E47" t="s">
        <v>51</v>
      </c>
      <c r="F47" t="s">
        <v>130</v>
      </c>
      <c r="G47">
        <v>0</v>
      </c>
      <c r="H47" t="s">
        <v>37</v>
      </c>
      <c r="I47" t="s">
        <v>22</v>
      </c>
      <c r="J47" t="s">
        <v>23</v>
      </c>
      <c r="K47" s="2">
        <v>95792</v>
      </c>
      <c r="L47" s="2">
        <v>90831</v>
      </c>
      <c r="M47" t="s">
        <v>32</v>
      </c>
      <c r="N47">
        <v>51</v>
      </c>
      <c r="O47" t="s">
        <v>23</v>
      </c>
      <c r="P47">
        <v>5</v>
      </c>
      <c r="Q47" s="1">
        <v>38.700000000000003</v>
      </c>
      <c r="R47" s="2">
        <f t="shared" si="0"/>
        <v>-4961</v>
      </c>
      <c r="S47" s="1">
        <f t="shared" si="1"/>
        <v>-5.1789293469183226</v>
      </c>
      <c r="T47" t="str">
        <f t="shared" si="2"/>
        <v>Beginner</v>
      </c>
      <c r="U47" t="str">
        <f t="shared" si="3"/>
        <v>Low Impact</v>
      </c>
    </row>
    <row r="48" spans="1:21" x14ac:dyDescent="0.3">
      <c r="A48" t="s">
        <v>833</v>
      </c>
      <c r="B48">
        <v>45</v>
      </c>
      <c r="C48" t="s">
        <v>54</v>
      </c>
      <c r="D48" t="s">
        <v>28</v>
      </c>
      <c r="E48" t="s">
        <v>41</v>
      </c>
      <c r="F48" t="s">
        <v>42</v>
      </c>
      <c r="G48">
        <v>23</v>
      </c>
      <c r="H48" t="s">
        <v>22</v>
      </c>
      <c r="I48" t="s">
        <v>37</v>
      </c>
      <c r="J48" t="s">
        <v>25</v>
      </c>
      <c r="K48" s="2">
        <v>75760</v>
      </c>
      <c r="L48" s="2">
        <v>79230</v>
      </c>
      <c r="M48" t="s">
        <v>38</v>
      </c>
      <c r="N48">
        <v>53</v>
      </c>
      <c r="O48" t="s">
        <v>25</v>
      </c>
      <c r="P48">
        <v>4</v>
      </c>
      <c r="Q48" s="1">
        <v>38.69</v>
      </c>
      <c r="R48" s="2">
        <f t="shared" si="0"/>
        <v>3470</v>
      </c>
      <c r="S48" s="1">
        <f t="shared" si="1"/>
        <v>4.5802534318901795</v>
      </c>
      <c r="T48" t="str">
        <f t="shared" si="2"/>
        <v>Expert</v>
      </c>
      <c r="U48" t="str">
        <f t="shared" si="3"/>
        <v>Medium Impact</v>
      </c>
    </row>
    <row r="49" spans="1:21" x14ac:dyDescent="0.3">
      <c r="A49" t="s">
        <v>1622</v>
      </c>
      <c r="B49">
        <v>49</v>
      </c>
      <c r="C49" t="s">
        <v>18</v>
      </c>
      <c r="D49" t="s">
        <v>34</v>
      </c>
      <c r="E49" t="s">
        <v>41</v>
      </c>
      <c r="F49" t="s">
        <v>42</v>
      </c>
      <c r="G49">
        <v>24</v>
      </c>
      <c r="H49" t="s">
        <v>37</v>
      </c>
      <c r="I49" t="s">
        <v>22</v>
      </c>
      <c r="J49" t="s">
        <v>25</v>
      </c>
      <c r="K49" s="2">
        <v>89316</v>
      </c>
      <c r="L49" s="2">
        <v>84815</v>
      </c>
      <c r="M49" t="s">
        <v>32</v>
      </c>
      <c r="N49">
        <v>47</v>
      </c>
      <c r="O49" t="s">
        <v>25</v>
      </c>
      <c r="P49">
        <v>6</v>
      </c>
      <c r="Q49" s="1">
        <v>38.659999999999997</v>
      </c>
      <c r="R49" s="2">
        <f t="shared" si="0"/>
        <v>-4501</v>
      </c>
      <c r="S49" s="1">
        <f t="shared" si="1"/>
        <v>-5.0394106319136549</v>
      </c>
      <c r="T49" t="str">
        <f t="shared" si="2"/>
        <v>Expert</v>
      </c>
      <c r="U49" t="str">
        <f t="shared" si="3"/>
        <v>Low Impact</v>
      </c>
    </row>
    <row r="50" spans="1:21" x14ac:dyDescent="0.3">
      <c r="A50" t="s">
        <v>761</v>
      </c>
      <c r="B50">
        <v>30</v>
      </c>
      <c r="C50" t="s">
        <v>18</v>
      </c>
      <c r="D50" t="s">
        <v>34</v>
      </c>
      <c r="E50" t="s">
        <v>35</v>
      </c>
      <c r="F50" t="s">
        <v>98</v>
      </c>
      <c r="G50">
        <v>7</v>
      </c>
      <c r="H50" t="s">
        <v>37</v>
      </c>
      <c r="I50" t="s">
        <v>31</v>
      </c>
      <c r="J50" t="s">
        <v>23</v>
      </c>
      <c r="K50" s="2">
        <v>76686</v>
      </c>
      <c r="L50" s="2">
        <v>91756</v>
      </c>
      <c r="M50" t="s">
        <v>32</v>
      </c>
      <c r="N50">
        <v>37</v>
      </c>
      <c r="O50" t="s">
        <v>25</v>
      </c>
      <c r="P50">
        <v>3</v>
      </c>
      <c r="Q50" s="1">
        <v>38.64</v>
      </c>
      <c r="R50" s="2">
        <f t="shared" si="0"/>
        <v>15070</v>
      </c>
      <c r="S50" s="1">
        <f t="shared" si="1"/>
        <v>19.651566126802805</v>
      </c>
      <c r="T50" t="str">
        <f t="shared" si="2"/>
        <v>Intermediate</v>
      </c>
      <c r="U50" t="str">
        <f t="shared" si="3"/>
        <v>Low Impact</v>
      </c>
    </row>
    <row r="51" spans="1:21" x14ac:dyDescent="0.3">
      <c r="A51" t="s">
        <v>1928</v>
      </c>
      <c r="B51">
        <v>42</v>
      </c>
      <c r="C51" t="s">
        <v>54</v>
      </c>
      <c r="D51" t="s">
        <v>34</v>
      </c>
      <c r="E51" t="s">
        <v>44</v>
      </c>
      <c r="F51" t="s">
        <v>45</v>
      </c>
      <c r="G51">
        <v>20</v>
      </c>
      <c r="H51" t="s">
        <v>37</v>
      </c>
      <c r="I51" t="s">
        <v>22</v>
      </c>
      <c r="J51" t="s">
        <v>25</v>
      </c>
      <c r="K51" s="2">
        <v>90263</v>
      </c>
      <c r="L51" s="2">
        <v>106542</v>
      </c>
      <c r="M51" t="s">
        <v>32</v>
      </c>
      <c r="N51">
        <v>47</v>
      </c>
      <c r="O51" t="s">
        <v>25</v>
      </c>
      <c r="P51">
        <v>3</v>
      </c>
      <c r="Q51" s="1">
        <v>38.61</v>
      </c>
      <c r="R51" s="2">
        <f t="shared" si="0"/>
        <v>16279</v>
      </c>
      <c r="S51" s="1">
        <f t="shared" si="1"/>
        <v>18.035075280015068</v>
      </c>
      <c r="T51" t="str">
        <f t="shared" si="2"/>
        <v>Expert</v>
      </c>
      <c r="U51" t="str">
        <f t="shared" si="3"/>
        <v>Low Impact</v>
      </c>
    </row>
    <row r="52" spans="1:21" x14ac:dyDescent="0.3">
      <c r="A52" t="s">
        <v>1009</v>
      </c>
      <c r="B52">
        <v>34</v>
      </c>
      <c r="C52" t="s">
        <v>27</v>
      </c>
      <c r="D52" t="s">
        <v>19</v>
      </c>
      <c r="E52" t="s">
        <v>44</v>
      </c>
      <c r="F52" t="s">
        <v>47</v>
      </c>
      <c r="G52">
        <v>10</v>
      </c>
      <c r="H52" t="s">
        <v>31</v>
      </c>
      <c r="I52" t="s">
        <v>37</v>
      </c>
      <c r="J52" t="s">
        <v>25</v>
      </c>
      <c r="K52" s="2">
        <v>58948</v>
      </c>
      <c r="L52" s="2">
        <v>59457</v>
      </c>
      <c r="M52" t="s">
        <v>38</v>
      </c>
      <c r="N52">
        <v>37</v>
      </c>
      <c r="O52" t="s">
        <v>23</v>
      </c>
      <c r="P52">
        <v>5</v>
      </c>
      <c r="Q52" s="1">
        <v>38.590000000000003</v>
      </c>
      <c r="R52" s="2">
        <f t="shared" si="0"/>
        <v>509</v>
      </c>
      <c r="S52" s="1">
        <f t="shared" si="1"/>
        <v>0.86347289136187821</v>
      </c>
      <c r="T52" t="str">
        <f t="shared" si="2"/>
        <v>Intermediate</v>
      </c>
      <c r="U52" t="str">
        <f t="shared" si="3"/>
        <v>Medium Impact</v>
      </c>
    </row>
    <row r="53" spans="1:21" x14ac:dyDescent="0.3">
      <c r="A53" t="s">
        <v>670</v>
      </c>
      <c r="B53">
        <v>37</v>
      </c>
      <c r="C53" t="s">
        <v>27</v>
      </c>
      <c r="D53" t="s">
        <v>28</v>
      </c>
      <c r="E53" t="s">
        <v>35</v>
      </c>
      <c r="F53" t="s">
        <v>36</v>
      </c>
      <c r="G53">
        <v>13</v>
      </c>
      <c r="H53" t="s">
        <v>37</v>
      </c>
      <c r="I53" t="s">
        <v>37</v>
      </c>
      <c r="J53" t="s">
        <v>23</v>
      </c>
      <c r="K53" s="2">
        <v>114486</v>
      </c>
      <c r="L53" s="2">
        <v>120264</v>
      </c>
      <c r="M53" t="s">
        <v>38</v>
      </c>
      <c r="N53">
        <v>50</v>
      </c>
      <c r="O53" t="s">
        <v>23</v>
      </c>
      <c r="P53">
        <v>5</v>
      </c>
      <c r="Q53" s="1">
        <v>38.57</v>
      </c>
      <c r="R53" s="2">
        <f t="shared" si="0"/>
        <v>5778</v>
      </c>
      <c r="S53" s="1">
        <f t="shared" si="1"/>
        <v>5.0469052984644405</v>
      </c>
      <c r="T53" t="str">
        <f t="shared" si="2"/>
        <v>Intermediate</v>
      </c>
      <c r="U53" t="str">
        <f t="shared" si="3"/>
        <v>Medium Impact</v>
      </c>
    </row>
    <row r="54" spans="1:21" x14ac:dyDescent="0.3">
      <c r="A54" t="s">
        <v>757</v>
      </c>
      <c r="B54">
        <v>40</v>
      </c>
      <c r="C54" t="s">
        <v>18</v>
      </c>
      <c r="D54" t="s">
        <v>28</v>
      </c>
      <c r="E54" t="s">
        <v>29</v>
      </c>
      <c r="F54" t="s">
        <v>30</v>
      </c>
      <c r="G54">
        <v>17</v>
      </c>
      <c r="H54" t="s">
        <v>37</v>
      </c>
      <c r="I54" t="s">
        <v>22</v>
      </c>
      <c r="J54" t="s">
        <v>23</v>
      </c>
      <c r="K54" s="2">
        <v>94140</v>
      </c>
      <c r="L54" s="2">
        <v>91688</v>
      </c>
      <c r="M54" t="s">
        <v>32</v>
      </c>
      <c r="N54">
        <v>38</v>
      </c>
      <c r="O54" t="s">
        <v>25</v>
      </c>
      <c r="P54">
        <v>8</v>
      </c>
      <c r="Q54" s="1">
        <v>38.56</v>
      </c>
      <c r="R54" s="2">
        <f t="shared" si="0"/>
        <v>-2452</v>
      </c>
      <c r="S54" s="1">
        <f t="shared" si="1"/>
        <v>-2.6046314000424902</v>
      </c>
      <c r="T54" t="str">
        <f t="shared" si="2"/>
        <v>Expert</v>
      </c>
      <c r="U54" t="str">
        <f t="shared" si="3"/>
        <v>Low Impact</v>
      </c>
    </row>
    <row r="55" spans="1:21" x14ac:dyDescent="0.3">
      <c r="A55" t="s">
        <v>1791</v>
      </c>
      <c r="B55">
        <v>23</v>
      </c>
      <c r="C55" t="s">
        <v>27</v>
      </c>
      <c r="D55" t="s">
        <v>34</v>
      </c>
      <c r="E55" t="s">
        <v>41</v>
      </c>
      <c r="F55" t="s">
        <v>55</v>
      </c>
      <c r="G55">
        <v>0</v>
      </c>
      <c r="H55" t="s">
        <v>22</v>
      </c>
      <c r="I55" t="s">
        <v>31</v>
      </c>
      <c r="J55" t="s">
        <v>23</v>
      </c>
      <c r="K55" s="2">
        <v>32673</v>
      </c>
      <c r="L55" s="2">
        <v>27444</v>
      </c>
      <c r="M55" t="s">
        <v>32</v>
      </c>
      <c r="N55">
        <v>36</v>
      </c>
      <c r="O55" t="s">
        <v>25</v>
      </c>
      <c r="P55">
        <v>9</v>
      </c>
      <c r="Q55" s="1">
        <v>38.56</v>
      </c>
      <c r="R55" s="2">
        <f t="shared" si="0"/>
        <v>-5229</v>
      </c>
      <c r="S55" s="1">
        <f t="shared" si="1"/>
        <v>-16.004040033054817</v>
      </c>
      <c r="T55" t="str">
        <f t="shared" si="2"/>
        <v>Beginner</v>
      </c>
      <c r="U55" t="str">
        <f t="shared" si="3"/>
        <v>Low Impact</v>
      </c>
    </row>
    <row r="56" spans="1:21" x14ac:dyDescent="0.3">
      <c r="A56" t="s">
        <v>1866</v>
      </c>
      <c r="B56">
        <v>42</v>
      </c>
      <c r="C56" t="s">
        <v>27</v>
      </c>
      <c r="D56" t="s">
        <v>40</v>
      </c>
      <c r="E56" t="s">
        <v>29</v>
      </c>
      <c r="F56" t="s">
        <v>102</v>
      </c>
      <c r="G56">
        <v>18</v>
      </c>
      <c r="H56" t="s">
        <v>31</v>
      </c>
      <c r="I56" t="s">
        <v>31</v>
      </c>
      <c r="J56" t="s">
        <v>25</v>
      </c>
      <c r="K56" s="2">
        <v>114335</v>
      </c>
      <c r="L56" s="2">
        <v>110855</v>
      </c>
      <c r="M56" t="s">
        <v>32</v>
      </c>
      <c r="N56">
        <v>46</v>
      </c>
      <c r="O56" t="s">
        <v>23</v>
      </c>
      <c r="P56">
        <v>9</v>
      </c>
      <c r="Q56" s="1">
        <v>38.54</v>
      </c>
      <c r="R56" s="2">
        <f t="shared" si="0"/>
        <v>-3480</v>
      </c>
      <c r="S56" s="1">
        <f t="shared" si="1"/>
        <v>-3.0436874098045217</v>
      </c>
      <c r="T56" t="str">
        <f t="shared" si="2"/>
        <v>Expert</v>
      </c>
      <c r="U56" t="str">
        <f t="shared" si="3"/>
        <v>Low Impact</v>
      </c>
    </row>
    <row r="57" spans="1:21" x14ac:dyDescent="0.3">
      <c r="A57" t="s">
        <v>356</v>
      </c>
      <c r="B57">
        <v>48</v>
      </c>
      <c r="C57" t="s">
        <v>54</v>
      </c>
      <c r="D57" t="s">
        <v>19</v>
      </c>
      <c r="E57" t="s">
        <v>51</v>
      </c>
      <c r="F57" t="s">
        <v>75</v>
      </c>
      <c r="G57">
        <v>25</v>
      </c>
      <c r="H57" t="s">
        <v>22</v>
      </c>
      <c r="I57" t="s">
        <v>22</v>
      </c>
      <c r="J57" t="s">
        <v>25</v>
      </c>
      <c r="K57" s="2">
        <v>82130</v>
      </c>
      <c r="L57" s="2">
        <v>82759</v>
      </c>
      <c r="M57" t="s">
        <v>38</v>
      </c>
      <c r="N57">
        <v>44</v>
      </c>
      <c r="O57" t="s">
        <v>23</v>
      </c>
      <c r="P57">
        <v>3</v>
      </c>
      <c r="Q57" s="1">
        <v>38.54</v>
      </c>
      <c r="R57" s="2">
        <f t="shared" si="0"/>
        <v>629</v>
      </c>
      <c r="S57" s="1">
        <f t="shared" si="1"/>
        <v>0.76585900401802021</v>
      </c>
      <c r="T57" t="str">
        <f t="shared" si="2"/>
        <v>Expert</v>
      </c>
      <c r="U57" t="str">
        <f t="shared" si="3"/>
        <v>Medium Impact</v>
      </c>
    </row>
    <row r="58" spans="1:21" x14ac:dyDescent="0.3">
      <c r="A58" t="s">
        <v>525</v>
      </c>
      <c r="B58">
        <v>45</v>
      </c>
      <c r="C58" t="s">
        <v>27</v>
      </c>
      <c r="D58" t="s">
        <v>19</v>
      </c>
      <c r="E58" t="s">
        <v>29</v>
      </c>
      <c r="F58" t="s">
        <v>102</v>
      </c>
      <c r="G58">
        <v>20</v>
      </c>
      <c r="H58" t="s">
        <v>22</v>
      </c>
      <c r="I58" t="s">
        <v>22</v>
      </c>
      <c r="J58" t="s">
        <v>23</v>
      </c>
      <c r="K58" s="2">
        <v>77377</v>
      </c>
      <c r="L58" s="2">
        <v>96122</v>
      </c>
      <c r="M58" t="s">
        <v>38</v>
      </c>
      <c r="N58">
        <v>46</v>
      </c>
      <c r="O58" t="s">
        <v>25</v>
      </c>
      <c r="P58">
        <v>7</v>
      </c>
      <c r="Q58" s="1">
        <v>38.479999999999997</v>
      </c>
      <c r="R58" s="2">
        <f t="shared" si="0"/>
        <v>18745</v>
      </c>
      <c r="S58" s="1">
        <f t="shared" si="1"/>
        <v>24.225545058609146</v>
      </c>
      <c r="T58" t="str">
        <f t="shared" si="2"/>
        <v>Expert</v>
      </c>
      <c r="U58" t="str">
        <f t="shared" si="3"/>
        <v>Medium Impact</v>
      </c>
    </row>
    <row r="59" spans="1:21" x14ac:dyDescent="0.3">
      <c r="A59" t="s">
        <v>1028</v>
      </c>
      <c r="B59">
        <v>32</v>
      </c>
      <c r="C59" t="s">
        <v>27</v>
      </c>
      <c r="D59" t="s">
        <v>19</v>
      </c>
      <c r="E59" t="s">
        <v>29</v>
      </c>
      <c r="F59" t="s">
        <v>102</v>
      </c>
      <c r="G59">
        <v>8</v>
      </c>
      <c r="H59" t="s">
        <v>31</v>
      </c>
      <c r="I59" t="s">
        <v>31</v>
      </c>
      <c r="J59" t="s">
        <v>25</v>
      </c>
      <c r="K59" s="2">
        <v>106768</v>
      </c>
      <c r="L59" s="2">
        <v>114824</v>
      </c>
      <c r="M59" t="s">
        <v>32</v>
      </c>
      <c r="N59">
        <v>48</v>
      </c>
      <c r="O59" t="s">
        <v>25</v>
      </c>
      <c r="P59">
        <v>4</v>
      </c>
      <c r="Q59" s="1">
        <v>38.47</v>
      </c>
      <c r="R59" s="2">
        <f t="shared" si="0"/>
        <v>8056</v>
      </c>
      <c r="S59" s="1">
        <f t="shared" si="1"/>
        <v>7.5453319346620713</v>
      </c>
      <c r="T59" t="str">
        <f t="shared" si="2"/>
        <v>Intermediate</v>
      </c>
      <c r="U59" t="str">
        <f t="shared" si="3"/>
        <v>Low Impact</v>
      </c>
    </row>
    <row r="60" spans="1:21" x14ac:dyDescent="0.3">
      <c r="A60" t="s">
        <v>533</v>
      </c>
      <c r="B60">
        <v>33</v>
      </c>
      <c r="C60" t="s">
        <v>18</v>
      </c>
      <c r="D60" t="s">
        <v>34</v>
      </c>
      <c r="E60" t="s">
        <v>29</v>
      </c>
      <c r="F60" t="s">
        <v>104</v>
      </c>
      <c r="G60">
        <v>9</v>
      </c>
      <c r="H60" t="s">
        <v>37</v>
      </c>
      <c r="I60" t="s">
        <v>31</v>
      </c>
      <c r="J60" t="s">
        <v>25</v>
      </c>
      <c r="K60" s="2">
        <v>85668</v>
      </c>
      <c r="L60" s="2">
        <v>93715</v>
      </c>
      <c r="M60" t="s">
        <v>32</v>
      </c>
      <c r="N60">
        <v>49</v>
      </c>
      <c r="O60" t="s">
        <v>23</v>
      </c>
      <c r="P60">
        <v>5</v>
      </c>
      <c r="Q60" s="1">
        <v>38.450000000000003</v>
      </c>
      <c r="R60" s="2">
        <f t="shared" si="0"/>
        <v>8047</v>
      </c>
      <c r="S60" s="1">
        <f t="shared" si="1"/>
        <v>9.3932390157351637</v>
      </c>
      <c r="T60" t="str">
        <f t="shared" si="2"/>
        <v>Intermediate</v>
      </c>
      <c r="U60" t="str">
        <f t="shared" si="3"/>
        <v>Low Impact</v>
      </c>
    </row>
    <row r="61" spans="1:21" x14ac:dyDescent="0.3">
      <c r="A61" t="s">
        <v>1814</v>
      </c>
      <c r="B61">
        <v>38</v>
      </c>
      <c r="C61" t="s">
        <v>54</v>
      </c>
      <c r="D61" t="s">
        <v>28</v>
      </c>
      <c r="E61" t="s">
        <v>20</v>
      </c>
      <c r="F61" t="s">
        <v>88</v>
      </c>
      <c r="G61">
        <v>16</v>
      </c>
      <c r="H61" t="s">
        <v>22</v>
      </c>
      <c r="I61" t="s">
        <v>22</v>
      </c>
      <c r="J61" t="s">
        <v>23</v>
      </c>
      <c r="K61" s="2">
        <v>85779</v>
      </c>
      <c r="L61" s="2">
        <v>77276</v>
      </c>
      <c r="M61" t="s">
        <v>38</v>
      </c>
      <c r="N61">
        <v>36</v>
      </c>
      <c r="O61" t="s">
        <v>25</v>
      </c>
      <c r="P61">
        <v>7</v>
      </c>
      <c r="Q61" s="1">
        <v>38.33</v>
      </c>
      <c r="R61" s="2">
        <f t="shared" si="0"/>
        <v>-8503</v>
      </c>
      <c r="S61" s="1">
        <f t="shared" si="1"/>
        <v>-9.9126825913102277</v>
      </c>
      <c r="T61" t="str">
        <f t="shared" si="2"/>
        <v>Expert</v>
      </c>
      <c r="U61" t="str">
        <f t="shared" si="3"/>
        <v>Medium Impact</v>
      </c>
    </row>
    <row r="62" spans="1:21" x14ac:dyDescent="0.3">
      <c r="A62" t="s">
        <v>64</v>
      </c>
      <c r="B62">
        <v>43</v>
      </c>
      <c r="C62" t="s">
        <v>54</v>
      </c>
      <c r="D62" t="s">
        <v>34</v>
      </c>
      <c r="E62" t="s">
        <v>41</v>
      </c>
      <c r="F62" t="s">
        <v>55</v>
      </c>
      <c r="G62">
        <v>19</v>
      </c>
      <c r="H62" t="s">
        <v>37</v>
      </c>
      <c r="I62" t="s">
        <v>22</v>
      </c>
      <c r="J62" t="s">
        <v>23</v>
      </c>
      <c r="K62" s="2">
        <v>100592</v>
      </c>
      <c r="L62" s="2">
        <v>102088</v>
      </c>
      <c r="M62" t="s">
        <v>32</v>
      </c>
      <c r="N62">
        <v>37</v>
      </c>
      <c r="O62" t="s">
        <v>25</v>
      </c>
      <c r="P62">
        <v>3</v>
      </c>
      <c r="Q62" s="1">
        <v>38.299999999999997</v>
      </c>
      <c r="R62" s="2">
        <f t="shared" si="0"/>
        <v>1496</v>
      </c>
      <c r="S62" s="1">
        <f t="shared" si="1"/>
        <v>1.4871958008589152</v>
      </c>
      <c r="T62" t="str">
        <f t="shared" si="2"/>
        <v>Expert</v>
      </c>
      <c r="U62" t="str">
        <f t="shared" si="3"/>
        <v>Low Impact</v>
      </c>
    </row>
    <row r="63" spans="1:21" x14ac:dyDescent="0.3">
      <c r="A63" t="s">
        <v>141</v>
      </c>
      <c r="B63">
        <v>54</v>
      </c>
      <c r="C63" t="s">
        <v>54</v>
      </c>
      <c r="D63" t="s">
        <v>40</v>
      </c>
      <c r="E63" t="s">
        <v>20</v>
      </c>
      <c r="F63" t="s">
        <v>21</v>
      </c>
      <c r="G63">
        <v>28</v>
      </c>
      <c r="H63" t="s">
        <v>22</v>
      </c>
      <c r="I63" t="s">
        <v>31</v>
      </c>
      <c r="J63" t="s">
        <v>23</v>
      </c>
      <c r="K63" s="2">
        <v>97641</v>
      </c>
      <c r="L63" s="2">
        <v>78824</v>
      </c>
      <c r="M63" t="s">
        <v>32</v>
      </c>
      <c r="N63">
        <v>49</v>
      </c>
      <c r="O63" t="s">
        <v>25</v>
      </c>
      <c r="P63">
        <v>7</v>
      </c>
      <c r="Q63" s="1">
        <v>38.19</v>
      </c>
      <c r="R63" s="2">
        <f t="shared" si="0"/>
        <v>-18817</v>
      </c>
      <c r="S63" s="1">
        <f t="shared" si="1"/>
        <v>-19.271617455781893</v>
      </c>
      <c r="T63" t="str">
        <f t="shared" si="2"/>
        <v>Expert</v>
      </c>
      <c r="U63" t="str">
        <f t="shared" si="3"/>
        <v>Low Impact</v>
      </c>
    </row>
    <row r="64" spans="1:21" x14ac:dyDescent="0.3">
      <c r="A64" t="s">
        <v>1249</v>
      </c>
      <c r="B64">
        <v>59</v>
      </c>
      <c r="C64" t="s">
        <v>27</v>
      </c>
      <c r="D64" t="s">
        <v>28</v>
      </c>
      <c r="E64" t="s">
        <v>29</v>
      </c>
      <c r="F64" t="s">
        <v>30</v>
      </c>
      <c r="G64">
        <v>35</v>
      </c>
      <c r="H64" t="s">
        <v>37</v>
      </c>
      <c r="I64" t="s">
        <v>31</v>
      </c>
      <c r="J64" t="s">
        <v>23</v>
      </c>
      <c r="K64" s="2">
        <v>55738</v>
      </c>
      <c r="L64" s="2">
        <v>52829</v>
      </c>
      <c r="M64" t="s">
        <v>32</v>
      </c>
      <c r="N64">
        <v>52</v>
      </c>
      <c r="O64" t="s">
        <v>25</v>
      </c>
      <c r="P64">
        <v>3</v>
      </c>
      <c r="Q64" s="1">
        <v>38.08</v>
      </c>
      <c r="R64" s="2">
        <f t="shared" si="0"/>
        <v>-2909</v>
      </c>
      <c r="S64" s="1">
        <f t="shared" si="1"/>
        <v>-5.2190606049732677</v>
      </c>
      <c r="T64" t="str">
        <f t="shared" si="2"/>
        <v>Expert</v>
      </c>
      <c r="U64" t="str">
        <f t="shared" si="3"/>
        <v>Low Impact</v>
      </c>
    </row>
    <row r="65" spans="1:21" x14ac:dyDescent="0.3">
      <c r="A65" t="s">
        <v>1197</v>
      </c>
      <c r="B65">
        <v>40</v>
      </c>
      <c r="C65" t="s">
        <v>54</v>
      </c>
      <c r="D65" t="s">
        <v>34</v>
      </c>
      <c r="E65" t="s">
        <v>44</v>
      </c>
      <c r="F65" t="s">
        <v>45</v>
      </c>
      <c r="G65">
        <v>15</v>
      </c>
      <c r="H65" t="s">
        <v>22</v>
      </c>
      <c r="I65" t="s">
        <v>37</v>
      </c>
      <c r="J65" t="s">
        <v>23</v>
      </c>
      <c r="K65" s="2">
        <v>47733</v>
      </c>
      <c r="L65" s="2">
        <v>61240</v>
      </c>
      <c r="M65" t="s">
        <v>38</v>
      </c>
      <c r="N65">
        <v>41</v>
      </c>
      <c r="O65" t="s">
        <v>23</v>
      </c>
      <c r="P65">
        <v>3</v>
      </c>
      <c r="Q65" s="1">
        <v>38.04</v>
      </c>
      <c r="R65" s="2">
        <f t="shared" si="0"/>
        <v>13507</v>
      </c>
      <c r="S65" s="1">
        <f t="shared" si="1"/>
        <v>28.296985314143253</v>
      </c>
      <c r="T65" t="str">
        <f t="shared" si="2"/>
        <v>Expert</v>
      </c>
      <c r="U65" t="str">
        <f t="shared" si="3"/>
        <v>Medium Impact</v>
      </c>
    </row>
    <row r="66" spans="1:21" x14ac:dyDescent="0.3">
      <c r="A66" t="s">
        <v>997</v>
      </c>
      <c r="B66">
        <v>53</v>
      </c>
      <c r="C66" t="s">
        <v>27</v>
      </c>
      <c r="D66" t="s">
        <v>28</v>
      </c>
      <c r="E66" t="s">
        <v>20</v>
      </c>
      <c r="F66" t="s">
        <v>118</v>
      </c>
      <c r="G66">
        <v>28</v>
      </c>
      <c r="H66" t="s">
        <v>31</v>
      </c>
      <c r="I66" t="s">
        <v>31</v>
      </c>
      <c r="J66" t="s">
        <v>23</v>
      </c>
      <c r="K66" s="2">
        <v>94341</v>
      </c>
      <c r="L66" s="2">
        <v>95928</v>
      </c>
      <c r="M66" t="s">
        <v>32</v>
      </c>
      <c r="N66">
        <v>52</v>
      </c>
      <c r="O66" t="s">
        <v>23</v>
      </c>
      <c r="P66">
        <v>5</v>
      </c>
      <c r="Q66" s="1">
        <v>38.020000000000003</v>
      </c>
      <c r="R66" s="2">
        <f t="shared" ref="R66:R129" si="4">L66-K66</f>
        <v>1587</v>
      </c>
      <c r="S66" s="1">
        <f t="shared" ref="S66:S129" si="5">(L66-K66)/K66*100</f>
        <v>1.6821954399465766</v>
      </c>
      <c r="T66" t="str">
        <f t="shared" ref="T66:T129" si="6">IF(G66&lt;5,"Beginner",IF(G66&lt;15,"Intermediate","Expert"))</f>
        <v>Expert</v>
      </c>
      <c r="U66" t="str">
        <f t="shared" ref="U66:U129" si="7">IF(M66="Replaced","High Impact",IF(M66="Modified","Medium Impact","Low Impact"))</f>
        <v>Low Impact</v>
      </c>
    </row>
    <row r="67" spans="1:21" x14ac:dyDescent="0.3">
      <c r="A67" t="s">
        <v>1942</v>
      </c>
      <c r="B67">
        <v>42</v>
      </c>
      <c r="C67" t="s">
        <v>18</v>
      </c>
      <c r="D67" t="s">
        <v>40</v>
      </c>
      <c r="E67" t="s">
        <v>41</v>
      </c>
      <c r="F67" t="s">
        <v>55</v>
      </c>
      <c r="G67">
        <v>18</v>
      </c>
      <c r="H67" t="s">
        <v>31</v>
      </c>
      <c r="I67" t="s">
        <v>37</v>
      </c>
      <c r="J67" t="s">
        <v>23</v>
      </c>
      <c r="K67" s="2">
        <v>36641</v>
      </c>
      <c r="L67" s="2">
        <v>37593</v>
      </c>
      <c r="M67" t="s">
        <v>38</v>
      </c>
      <c r="N67">
        <v>49</v>
      </c>
      <c r="O67" t="s">
        <v>23</v>
      </c>
      <c r="P67">
        <v>9</v>
      </c>
      <c r="Q67" s="1">
        <v>37.979999999999997</v>
      </c>
      <c r="R67" s="2">
        <f t="shared" si="4"/>
        <v>952</v>
      </c>
      <c r="S67" s="1">
        <f t="shared" si="5"/>
        <v>2.5981823640184492</v>
      </c>
      <c r="T67" t="str">
        <f t="shared" si="6"/>
        <v>Expert</v>
      </c>
      <c r="U67" t="str">
        <f t="shared" si="7"/>
        <v>Medium Impact</v>
      </c>
    </row>
    <row r="68" spans="1:21" x14ac:dyDescent="0.3">
      <c r="A68" t="s">
        <v>1714</v>
      </c>
      <c r="B68">
        <v>38</v>
      </c>
      <c r="C68" t="s">
        <v>18</v>
      </c>
      <c r="D68" t="s">
        <v>34</v>
      </c>
      <c r="E68" t="s">
        <v>41</v>
      </c>
      <c r="F68" t="s">
        <v>49</v>
      </c>
      <c r="G68">
        <v>13</v>
      </c>
      <c r="H68" t="s">
        <v>37</v>
      </c>
      <c r="I68" t="s">
        <v>22</v>
      </c>
      <c r="J68" t="s">
        <v>25</v>
      </c>
      <c r="K68" s="2">
        <v>80665</v>
      </c>
      <c r="L68" s="2">
        <v>84471</v>
      </c>
      <c r="M68" t="s">
        <v>32</v>
      </c>
      <c r="N68">
        <v>47</v>
      </c>
      <c r="O68" t="s">
        <v>23</v>
      </c>
      <c r="P68">
        <v>6</v>
      </c>
      <c r="Q68" s="1">
        <v>37.97</v>
      </c>
      <c r="R68" s="2">
        <f t="shared" si="4"/>
        <v>3806</v>
      </c>
      <c r="S68" s="1">
        <f t="shared" si="5"/>
        <v>4.7182793032913901</v>
      </c>
      <c r="T68" t="str">
        <f t="shared" si="6"/>
        <v>Intermediate</v>
      </c>
      <c r="U68" t="str">
        <f t="shared" si="7"/>
        <v>Low Impact</v>
      </c>
    </row>
    <row r="69" spans="1:21" x14ac:dyDescent="0.3">
      <c r="A69" t="s">
        <v>1745</v>
      </c>
      <c r="B69">
        <v>32</v>
      </c>
      <c r="C69" t="s">
        <v>27</v>
      </c>
      <c r="D69" t="s">
        <v>40</v>
      </c>
      <c r="E69" t="s">
        <v>51</v>
      </c>
      <c r="F69" t="s">
        <v>75</v>
      </c>
      <c r="G69">
        <v>8</v>
      </c>
      <c r="H69" t="s">
        <v>22</v>
      </c>
      <c r="I69" t="s">
        <v>37</v>
      </c>
      <c r="J69" t="s">
        <v>25</v>
      </c>
      <c r="K69" s="2">
        <v>61740</v>
      </c>
      <c r="L69" s="2">
        <v>67994</v>
      </c>
      <c r="M69" t="s">
        <v>38</v>
      </c>
      <c r="N69">
        <v>46</v>
      </c>
      <c r="O69" t="s">
        <v>25</v>
      </c>
      <c r="P69">
        <v>3</v>
      </c>
      <c r="Q69" s="1">
        <v>37.950000000000003</v>
      </c>
      <c r="R69" s="2">
        <f t="shared" si="4"/>
        <v>6254</v>
      </c>
      <c r="S69" s="1">
        <f t="shared" si="5"/>
        <v>10.129575639779722</v>
      </c>
      <c r="T69" t="str">
        <f t="shared" si="6"/>
        <v>Intermediate</v>
      </c>
      <c r="U69" t="str">
        <f t="shared" si="7"/>
        <v>Medium Impact</v>
      </c>
    </row>
    <row r="70" spans="1:21" x14ac:dyDescent="0.3">
      <c r="A70" t="s">
        <v>1246</v>
      </c>
      <c r="B70">
        <v>43</v>
      </c>
      <c r="C70" t="s">
        <v>27</v>
      </c>
      <c r="D70" t="s">
        <v>40</v>
      </c>
      <c r="E70" t="s">
        <v>41</v>
      </c>
      <c r="F70" t="s">
        <v>55</v>
      </c>
      <c r="G70">
        <v>18</v>
      </c>
      <c r="H70" t="s">
        <v>31</v>
      </c>
      <c r="I70" t="s">
        <v>31</v>
      </c>
      <c r="J70" t="s">
        <v>23</v>
      </c>
      <c r="K70" s="2">
        <v>30801</v>
      </c>
      <c r="L70" s="2">
        <v>33766</v>
      </c>
      <c r="M70" t="s">
        <v>32</v>
      </c>
      <c r="N70">
        <v>40</v>
      </c>
      <c r="O70" t="s">
        <v>23</v>
      </c>
      <c r="P70">
        <v>4</v>
      </c>
      <c r="Q70" s="1">
        <v>37.950000000000003</v>
      </c>
      <c r="R70" s="2">
        <f t="shared" si="4"/>
        <v>2965</v>
      </c>
      <c r="S70" s="1">
        <f t="shared" si="5"/>
        <v>9.6263108340638297</v>
      </c>
      <c r="T70" t="str">
        <f t="shared" si="6"/>
        <v>Expert</v>
      </c>
      <c r="U70" t="str">
        <f t="shared" si="7"/>
        <v>Low Impact</v>
      </c>
    </row>
    <row r="71" spans="1:21" x14ac:dyDescent="0.3">
      <c r="A71" t="s">
        <v>311</v>
      </c>
      <c r="B71">
        <v>33</v>
      </c>
      <c r="C71" t="s">
        <v>27</v>
      </c>
      <c r="D71" t="s">
        <v>19</v>
      </c>
      <c r="E71" t="s">
        <v>41</v>
      </c>
      <c r="F71" t="s">
        <v>55</v>
      </c>
      <c r="G71">
        <v>10</v>
      </c>
      <c r="H71" t="s">
        <v>22</v>
      </c>
      <c r="I71" t="s">
        <v>31</v>
      </c>
      <c r="J71" t="s">
        <v>25</v>
      </c>
      <c r="K71" s="2">
        <v>71235</v>
      </c>
      <c r="L71" s="2">
        <v>99157</v>
      </c>
      <c r="M71" t="s">
        <v>32</v>
      </c>
      <c r="N71">
        <v>45</v>
      </c>
      <c r="O71" t="s">
        <v>23</v>
      </c>
      <c r="P71">
        <v>8</v>
      </c>
      <c r="Q71" s="1">
        <v>37.909999999999997</v>
      </c>
      <c r="R71" s="2">
        <f t="shared" si="4"/>
        <v>27922</v>
      </c>
      <c r="S71" s="1">
        <f t="shared" si="5"/>
        <v>39.197023934863481</v>
      </c>
      <c r="T71" t="str">
        <f t="shared" si="6"/>
        <v>Intermediate</v>
      </c>
      <c r="U71" t="str">
        <f t="shared" si="7"/>
        <v>Low Impact</v>
      </c>
    </row>
    <row r="72" spans="1:21" x14ac:dyDescent="0.3">
      <c r="A72" t="s">
        <v>276</v>
      </c>
      <c r="B72">
        <v>43</v>
      </c>
      <c r="C72" t="s">
        <v>54</v>
      </c>
      <c r="D72" t="s">
        <v>28</v>
      </c>
      <c r="E72" t="s">
        <v>35</v>
      </c>
      <c r="F72" t="s">
        <v>36</v>
      </c>
      <c r="G72">
        <v>19</v>
      </c>
      <c r="H72" t="s">
        <v>22</v>
      </c>
      <c r="I72" t="s">
        <v>22</v>
      </c>
      <c r="J72" t="s">
        <v>23</v>
      </c>
      <c r="K72" s="2">
        <v>52042</v>
      </c>
      <c r="L72" s="2">
        <v>68738</v>
      </c>
      <c r="M72" t="s">
        <v>24</v>
      </c>
      <c r="N72">
        <v>49</v>
      </c>
      <c r="O72" t="s">
        <v>23</v>
      </c>
      <c r="P72">
        <v>7</v>
      </c>
      <c r="Q72" s="1">
        <v>37.79</v>
      </c>
      <c r="R72" s="2">
        <f t="shared" si="4"/>
        <v>16696</v>
      </c>
      <c r="S72" s="1">
        <f t="shared" si="5"/>
        <v>32.081780100687908</v>
      </c>
      <c r="T72" t="str">
        <f t="shared" si="6"/>
        <v>Expert</v>
      </c>
      <c r="U72" t="str">
        <f t="shared" si="7"/>
        <v>High Impact</v>
      </c>
    </row>
    <row r="73" spans="1:21" x14ac:dyDescent="0.3">
      <c r="A73" t="s">
        <v>359</v>
      </c>
      <c r="B73">
        <v>55</v>
      </c>
      <c r="C73" t="s">
        <v>18</v>
      </c>
      <c r="D73" t="s">
        <v>34</v>
      </c>
      <c r="E73" t="s">
        <v>35</v>
      </c>
      <c r="F73" t="s">
        <v>98</v>
      </c>
      <c r="G73">
        <v>29</v>
      </c>
      <c r="H73" t="s">
        <v>37</v>
      </c>
      <c r="I73" t="s">
        <v>22</v>
      </c>
      <c r="J73" t="s">
        <v>25</v>
      </c>
      <c r="K73" s="2">
        <v>47347</v>
      </c>
      <c r="L73" s="2">
        <v>44532</v>
      </c>
      <c r="M73" t="s">
        <v>32</v>
      </c>
      <c r="N73">
        <v>46</v>
      </c>
      <c r="O73" t="s">
        <v>25</v>
      </c>
      <c r="P73">
        <v>6</v>
      </c>
      <c r="Q73" s="1">
        <v>37.79</v>
      </c>
      <c r="R73" s="2">
        <f t="shared" si="4"/>
        <v>-2815</v>
      </c>
      <c r="S73" s="1">
        <f t="shared" si="5"/>
        <v>-5.9454664498278662</v>
      </c>
      <c r="T73" t="str">
        <f t="shared" si="6"/>
        <v>Expert</v>
      </c>
      <c r="U73" t="str">
        <f t="shared" si="7"/>
        <v>Low Impact</v>
      </c>
    </row>
    <row r="74" spans="1:21" x14ac:dyDescent="0.3">
      <c r="A74" t="s">
        <v>2014</v>
      </c>
      <c r="B74">
        <v>48</v>
      </c>
      <c r="C74" t="s">
        <v>54</v>
      </c>
      <c r="D74" t="s">
        <v>19</v>
      </c>
      <c r="E74" t="s">
        <v>29</v>
      </c>
      <c r="F74" t="s">
        <v>102</v>
      </c>
      <c r="G74">
        <v>22</v>
      </c>
      <c r="H74" t="s">
        <v>37</v>
      </c>
      <c r="I74" t="s">
        <v>31</v>
      </c>
      <c r="J74" t="s">
        <v>25</v>
      </c>
      <c r="K74" s="2">
        <v>112172</v>
      </c>
      <c r="L74" s="2">
        <v>111634</v>
      </c>
      <c r="M74" t="s">
        <v>32</v>
      </c>
      <c r="N74">
        <v>48</v>
      </c>
      <c r="O74" t="s">
        <v>23</v>
      </c>
      <c r="P74">
        <v>8</v>
      </c>
      <c r="Q74" s="1">
        <v>37.770000000000003</v>
      </c>
      <c r="R74" s="2">
        <f t="shared" si="4"/>
        <v>-538</v>
      </c>
      <c r="S74" s="1">
        <f t="shared" si="5"/>
        <v>-0.47962058267660379</v>
      </c>
      <c r="T74" t="str">
        <f t="shared" si="6"/>
        <v>Expert</v>
      </c>
      <c r="U74" t="str">
        <f t="shared" si="7"/>
        <v>Low Impact</v>
      </c>
    </row>
    <row r="75" spans="1:21" x14ac:dyDescent="0.3">
      <c r="A75" t="s">
        <v>1478</v>
      </c>
      <c r="B75">
        <v>57</v>
      </c>
      <c r="C75" t="s">
        <v>54</v>
      </c>
      <c r="D75" t="s">
        <v>34</v>
      </c>
      <c r="E75" t="s">
        <v>51</v>
      </c>
      <c r="F75" t="s">
        <v>75</v>
      </c>
      <c r="G75">
        <v>33</v>
      </c>
      <c r="H75" t="s">
        <v>22</v>
      </c>
      <c r="I75" t="s">
        <v>31</v>
      </c>
      <c r="J75" t="s">
        <v>23</v>
      </c>
      <c r="K75" s="2">
        <v>64157</v>
      </c>
      <c r="L75" s="2">
        <v>81477</v>
      </c>
      <c r="M75" t="s">
        <v>32</v>
      </c>
      <c r="N75">
        <v>36</v>
      </c>
      <c r="O75" t="s">
        <v>25</v>
      </c>
      <c r="P75">
        <v>3</v>
      </c>
      <c r="Q75" s="1">
        <v>37.770000000000003</v>
      </c>
      <c r="R75" s="2">
        <f t="shared" si="4"/>
        <v>17320</v>
      </c>
      <c r="S75" s="1">
        <f t="shared" si="5"/>
        <v>26.996274763470861</v>
      </c>
      <c r="T75" t="str">
        <f t="shared" si="6"/>
        <v>Expert</v>
      </c>
      <c r="U75" t="str">
        <f t="shared" si="7"/>
        <v>Low Impact</v>
      </c>
    </row>
    <row r="76" spans="1:21" x14ac:dyDescent="0.3">
      <c r="A76" t="s">
        <v>1570</v>
      </c>
      <c r="B76">
        <v>49</v>
      </c>
      <c r="C76" t="s">
        <v>18</v>
      </c>
      <c r="D76" t="s">
        <v>19</v>
      </c>
      <c r="E76" t="s">
        <v>59</v>
      </c>
      <c r="F76" t="s">
        <v>77</v>
      </c>
      <c r="G76">
        <v>26</v>
      </c>
      <c r="H76" t="s">
        <v>31</v>
      </c>
      <c r="I76" t="s">
        <v>31</v>
      </c>
      <c r="J76" t="s">
        <v>25</v>
      </c>
      <c r="K76" s="2">
        <v>45701</v>
      </c>
      <c r="L76" s="2">
        <v>47568</v>
      </c>
      <c r="M76" t="s">
        <v>32</v>
      </c>
      <c r="N76">
        <v>46</v>
      </c>
      <c r="O76" t="s">
        <v>25</v>
      </c>
      <c r="P76">
        <v>6</v>
      </c>
      <c r="Q76" s="1">
        <v>37.770000000000003</v>
      </c>
      <c r="R76" s="2">
        <f t="shared" si="4"/>
        <v>1867</v>
      </c>
      <c r="S76" s="1">
        <f t="shared" si="5"/>
        <v>4.0852497757160675</v>
      </c>
      <c r="T76" t="str">
        <f t="shared" si="6"/>
        <v>Expert</v>
      </c>
      <c r="U76" t="str">
        <f t="shared" si="7"/>
        <v>Low Impact</v>
      </c>
    </row>
    <row r="77" spans="1:21" x14ac:dyDescent="0.3">
      <c r="A77" t="s">
        <v>1302</v>
      </c>
      <c r="B77">
        <v>54</v>
      </c>
      <c r="C77" t="s">
        <v>18</v>
      </c>
      <c r="D77" t="s">
        <v>40</v>
      </c>
      <c r="E77" t="s">
        <v>44</v>
      </c>
      <c r="F77" t="s">
        <v>47</v>
      </c>
      <c r="G77">
        <v>29</v>
      </c>
      <c r="H77" t="s">
        <v>22</v>
      </c>
      <c r="I77" t="s">
        <v>37</v>
      </c>
      <c r="J77" t="s">
        <v>23</v>
      </c>
      <c r="K77" s="2">
        <v>117122</v>
      </c>
      <c r="L77" s="2">
        <v>101003</v>
      </c>
      <c r="M77" t="s">
        <v>38</v>
      </c>
      <c r="N77">
        <v>36</v>
      </c>
      <c r="O77" t="s">
        <v>25</v>
      </c>
      <c r="P77">
        <v>9</v>
      </c>
      <c r="Q77" s="1">
        <v>37.74</v>
      </c>
      <c r="R77" s="2">
        <f t="shared" si="4"/>
        <v>-16119</v>
      </c>
      <c r="S77" s="1">
        <f t="shared" si="5"/>
        <v>-13.762572360444663</v>
      </c>
      <c r="T77" t="str">
        <f t="shared" si="6"/>
        <v>Expert</v>
      </c>
      <c r="U77" t="str">
        <f t="shared" si="7"/>
        <v>Medium Impact</v>
      </c>
    </row>
    <row r="78" spans="1:21" x14ac:dyDescent="0.3">
      <c r="A78" t="s">
        <v>1090</v>
      </c>
      <c r="B78">
        <v>24</v>
      </c>
      <c r="C78" t="s">
        <v>18</v>
      </c>
      <c r="D78" t="s">
        <v>34</v>
      </c>
      <c r="E78" t="s">
        <v>20</v>
      </c>
      <c r="F78" t="s">
        <v>21</v>
      </c>
      <c r="G78">
        <v>1</v>
      </c>
      <c r="H78" t="s">
        <v>31</v>
      </c>
      <c r="I78" t="s">
        <v>22</v>
      </c>
      <c r="J78" t="s">
        <v>25</v>
      </c>
      <c r="K78" s="2">
        <v>100246</v>
      </c>
      <c r="L78" s="2">
        <v>99841</v>
      </c>
      <c r="M78" t="s">
        <v>32</v>
      </c>
      <c r="N78">
        <v>37</v>
      </c>
      <c r="O78" t="s">
        <v>25</v>
      </c>
      <c r="P78">
        <v>5</v>
      </c>
      <c r="Q78" s="1">
        <v>37.729999999999997</v>
      </c>
      <c r="R78" s="2">
        <f t="shared" si="4"/>
        <v>-405</v>
      </c>
      <c r="S78" s="1">
        <f t="shared" si="5"/>
        <v>-0.40400614488358638</v>
      </c>
      <c r="T78" t="str">
        <f t="shared" si="6"/>
        <v>Beginner</v>
      </c>
      <c r="U78" t="str">
        <f t="shared" si="7"/>
        <v>Low Impact</v>
      </c>
    </row>
    <row r="79" spans="1:21" x14ac:dyDescent="0.3">
      <c r="A79" t="s">
        <v>1247</v>
      </c>
      <c r="B79">
        <v>23</v>
      </c>
      <c r="C79" t="s">
        <v>54</v>
      </c>
      <c r="D79" t="s">
        <v>34</v>
      </c>
      <c r="E79" t="s">
        <v>41</v>
      </c>
      <c r="F79" t="s">
        <v>55</v>
      </c>
      <c r="G79">
        <v>0</v>
      </c>
      <c r="H79" t="s">
        <v>37</v>
      </c>
      <c r="I79" t="s">
        <v>31</v>
      </c>
      <c r="J79" t="s">
        <v>25</v>
      </c>
      <c r="K79" s="2">
        <v>55705</v>
      </c>
      <c r="L79" s="2">
        <v>52213</v>
      </c>
      <c r="M79" t="s">
        <v>32</v>
      </c>
      <c r="N79">
        <v>42</v>
      </c>
      <c r="O79" t="s">
        <v>23</v>
      </c>
      <c r="P79">
        <v>4</v>
      </c>
      <c r="Q79" s="1">
        <v>37.729999999999997</v>
      </c>
      <c r="R79" s="2">
        <f t="shared" si="4"/>
        <v>-3492</v>
      </c>
      <c r="S79" s="1">
        <f t="shared" si="5"/>
        <v>-6.2687370972085086</v>
      </c>
      <c r="T79" t="str">
        <f t="shared" si="6"/>
        <v>Beginner</v>
      </c>
      <c r="U79" t="str">
        <f t="shared" si="7"/>
        <v>Low Impact</v>
      </c>
    </row>
    <row r="80" spans="1:21" x14ac:dyDescent="0.3">
      <c r="A80" t="s">
        <v>917</v>
      </c>
      <c r="B80">
        <v>47</v>
      </c>
      <c r="C80" t="s">
        <v>54</v>
      </c>
      <c r="D80" t="s">
        <v>34</v>
      </c>
      <c r="E80" t="s">
        <v>51</v>
      </c>
      <c r="F80" t="s">
        <v>52</v>
      </c>
      <c r="G80">
        <v>25</v>
      </c>
      <c r="H80" t="s">
        <v>22</v>
      </c>
      <c r="I80" t="s">
        <v>22</v>
      </c>
      <c r="J80" t="s">
        <v>23</v>
      </c>
      <c r="K80" s="2">
        <v>72137</v>
      </c>
      <c r="L80" s="2">
        <v>72517</v>
      </c>
      <c r="M80" t="s">
        <v>38</v>
      </c>
      <c r="N80">
        <v>52</v>
      </c>
      <c r="O80" t="s">
        <v>25</v>
      </c>
      <c r="P80">
        <v>7</v>
      </c>
      <c r="Q80" s="1">
        <v>37.69</v>
      </c>
      <c r="R80" s="2">
        <f t="shared" si="4"/>
        <v>380</v>
      </c>
      <c r="S80" s="1">
        <f t="shared" si="5"/>
        <v>0.52677544117443198</v>
      </c>
      <c r="T80" t="str">
        <f t="shared" si="6"/>
        <v>Expert</v>
      </c>
      <c r="U80" t="str">
        <f t="shared" si="7"/>
        <v>Medium Impact</v>
      </c>
    </row>
    <row r="81" spans="1:21" x14ac:dyDescent="0.3">
      <c r="A81" t="s">
        <v>703</v>
      </c>
      <c r="B81">
        <v>56</v>
      </c>
      <c r="C81" t="s">
        <v>27</v>
      </c>
      <c r="D81" t="s">
        <v>19</v>
      </c>
      <c r="E81" t="s">
        <v>44</v>
      </c>
      <c r="F81" t="s">
        <v>45</v>
      </c>
      <c r="G81">
        <v>32</v>
      </c>
      <c r="H81" t="s">
        <v>37</v>
      </c>
      <c r="I81" t="s">
        <v>31</v>
      </c>
      <c r="J81" t="s">
        <v>25</v>
      </c>
      <c r="K81" s="2">
        <v>53383</v>
      </c>
      <c r="L81" s="2">
        <v>48526</v>
      </c>
      <c r="M81" t="s">
        <v>32</v>
      </c>
      <c r="N81">
        <v>42</v>
      </c>
      <c r="O81" t="s">
        <v>23</v>
      </c>
      <c r="P81">
        <v>5</v>
      </c>
      <c r="Q81" s="1">
        <v>37.69</v>
      </c>
      <c r="R81" s="2">
        <f t="shared" si="4"/>
        <v>-4857</v>
      </c>
      <c r="S81" s="1">
        <f t="shared" si="5"/>
        <v>-9.0984021130322397</v>
      </c>
      <c r="T81" t="str">
        <f t="shared" si="6"/>
        <v>Expert</v>
      </c>
      <c r="U81" t="str">
        <f t="shared" si="7"/>
        <v>Low Impact</v>
      </c>
    </row>
    <row r="82" spans="1:21" x14ac:dyDescent="0.3">
      <c r="A82" t="s">
        <v>1652</v>
      </c>
      <c r="B82">
        <v>35</v>
      </c>
      <c r="C82" t="s">
        <v>18</v>
      </c>
      <c r="D82" t="s">
        <v>40</v>
      </c>
      <c r="E82" t="s">
        <v>35</v>
      </c>
      <c r="F82" t="s">
        <v>36</v>
      </c>
      <c r="G82">
        <v>11</v>
      </c>
      <c r="H82" t="s">
        <v>37</v>
      </c>
      <c r="I82" t="s">
        <v>31</v>
      </c>
      <c r="J82" t="s">
        <v>23</v>
      </c>
      <c r="K82" s="2">
        <v>99837</v>
      </c>
      <c r="L82" s="2">
        <v>100892</v>
      </c>
      <c r="M82" t="s">
        <v>32</v>
      </c>
      <c r="N82">
        <v>44</v>
      </c>
      <c r="O82" t="s">
        <v>25</v>
      </c>
      <c r="P82">
        <v>3</v>
      </c>
      <c r="Q82" s="1">
        <v>37.6</v>
      </c>
      <c r="R82" s="2">
        <f t="shared" si="4"/>
        <v>1055</v>
      </c>
      <c r="S82" s="1">
        <f t="shared" si="5"/>
        <v>1.0567224576058976</v>
      </c>
      <c r="T82" t="str">
        <f t="shared" si="6"/>
        <v>Intermediate</v>
      </c>
      <c r="U82" t="str">
        <f t="shared" si="7"/>
        <v>Low Impact</v>
      </c>
    </row>
    <row r="83" spans="1:21" x14ac:dyDescent="0.3">
      <c r="A83" t="s">
        <v>869</v>
      </c>
      <c r="B83">
        <v>24</v>
      </c>
      <c r="C83" t="s">
        <v>54</v>
      </c>
      <c r="D83" t="s">
        <v>28</v>
      </c>
      <c r="E83" t="s">
        <v>35</v>
      </c>
      <c r="F83" t="s">
        <v>36</v>
      </c>
      <c r="G83">
        <v>0</v>
      </c>
      <c r="H83" t="s">
        <v>22</v>
      </c>
      <c r="I83" t="s">
        <v>22</v>
      </c>
      <c r="J83" t="s">
        <v>25</v>
      </c>
      <c r="K83" s="2">
        <v>96151</v>
      </c>
      <c r="L83" s="2">
        <v>126516</v>
      </c>
      <c r="M83" t="s">
        <v>38</v>
      </c>
      <c r="N83">
        <v>50</v>
      </c>
      <c r="O83" t="s">
        <v>23</v>
      </c>
      <c r="P83">
        <v>8</v>
      </c>
      <c r="Q83" s="1">
        <v>37.57</v>
      </c>
      <c r="R83" s="2">
        <f t="shared" si="4"/>
        <v>30365</v>
      </c>
      <c r="S83" s="1">
        <f t="shared" si="5"/>
        <v>31.580534783829599</v>
      </c>
      <c r="T83" t="str">
        <f t="shared" si="6"/>
        <v>Beginner</v>
      </c>
      <c r="U83" t="str">
        <f t="shared" si="7"/>
        <v>Medium Impact</v>
      </c>
    </row>
    <row r="84" spans="1:21" x14ac:dyDescent="0.3">
      <c r="A84" t="s">
        <v>521</v>
      </c>
      <c r="B84">
        <v>33</v>
      </c>
      <c r="C84" t="s">
        <v>18</v>
      </c>
      <c r="D84" t="s">
        <v>19</v>
      </c>
      <c r="E84" t="s">
        <v>29</v>
      </c>
      <c r="F84" t="s">
        <v>102</v>
      </c>
      <c r="G84">
        <v>7</v>
      </c>
      <c r="H84" t="s">
        <v>22</v>
      </c>
      <c r="I84" t="s">
        <v>37</v>
      </c>
      <c r="J84" t="s">
        <v>25</v>
      </c>
      <c r="K84" s="2">
        <v>75968</v>
      </c>
      <c r="L84" s="2">
        <v>77185</v>
      </c>
      <c r="M84" t="s">
        <v>38</v>
      </c>
      <c r="N84">
        <v>43</v>
      </c>
      <c r="O84" t="s">
        <v>23</v>
      </c>
      <c r="P84">
        <v>5</v>
      </c>
      <c r="Q84" s="1">
        <v>37.409999999999997</v>
      </c>
      <c r="R84" s="2">
        <f t="shared" si="4"/>
        <v>1217</v>
      </c>
      <c r="S84" s="1">
        <f t="shared" si="5"/>
        <v>1.6019903117101937</v>
      </c>
      <c r="T84" t="str">
        <f t="shared" si="6"/>
        <v>Intermediate</v>
      </c>
      <c r="U84" t="str">
        <f t="shared" si="7"/>
        <v>Medium Impact</v>
      </c>
    </row>
    <row r="85" spans="1:21" x14ac:dyDescent="0.3">
      <c r="A85" t="s">
        <v>1527</v>
      </c>
      <c r="B85">
        <v>36</v>
      </c>
      <c r="C85" t="s">
        <v>18</v>
      </c>
      <c r="D85" t="s">
        <v>28</v>
      </c>
      <c r="E85" t="s">
        <v>41</v>
      </c>
      <c r="F85" t="s">
        <v>49</v>
      </c>
      <c r="G85">
        <v>14</v>
      </c>
      <c r="H85" t="s">
        <v>37</v>
      </c>
      <c r="I85" t="s">
        <v>31</v>
      </c>
      <c r="J85" t="s">
        <v>25</v>
      </c>
      <c r="K85" s="2">
        <v>70761</v>
      </c>
      <c r="L85" s="2">
        <v>71793</v>
      </c>
      <c r="M85" t="s">
        <v>32</v>
      </c>
      <c r="N85">
        <v>42</v>
      </c>
      <c r="O85" t="s">
        <v>25</v>
      </c>
      <c r="P85">
        <v>7</v>
      </c>
      <c r="Q85" s="1">
        <v>37.409999999999997</v>
      </c>
      <c r="R85" s="2">
        <f t="shared" si="4"/>
        <v>1032</v>
      </c>
      <c r="S85" s="1">
        <f t="shared" si="5"/>
        <v>1.4584304913723662</v>
      </c>
      <c r="T85" t="str">
        <f t="shared" si="6"/>
        <v>Intermediate</v>
      </c>
      <c r="U85" t="str">
        <f t="shared" si="7"/>
        <v>Low Impact</v>
      </c>
    </row>
    <row r="86" spans="1:21" x14ac:dyDescent="0.3">
      <c r="A86" t="s">
        <v>1517</v>
      </c>
      <c r="B86">
        <v>57</v>
      </c>
      <c r="C86" t="s">
        <v>27</v>
      </c>
      <c r="D86" t="s">
        <v>19</v>
      </c>
      <c r="E86" t="s">
        <v>44</v>
      </c>
      <c r="F86" t="s">
        <v>47</v>
      </c>
      <c r="G86">
        <v>33</v>
      </c>
      <c r="H86" t="s">
        <v>31</v>
      </c>
      <c r="I86" t="s">
        <v>31</v>
      </c>
      <c r="J86" t="s">
        <v>23</v>
      </c>
      <c r="K86" s="2">
        <v>56844</v>
      </c>
      <c r="L86" s="2">
        <v>61320</v>
      </c>
      <c r="M86" t="s">
        <v>32</v>
      </c>
      <c r="N86">
        <v>44</v>
      </c>
      <c r="O86" t="s">
        <v>25</v>
      </c>
      <c r="P86">
        <v>9</v>
      </c>
      <c r="Q86" s="1">
        <v>37.409999999999997</v>
      </c>
      <c r="R86" s="2">
        <f t="shared" si="4"/>
        <v>4476</v>
      </c>
      <c r="S86" s="1">
        <f t="shared" si="5"/>
        <v>7.8741819717120531</v>
      </c>
      <c r="T86" t="str">
        <f t="shared" si="6"/>
        <v>Expert</v>
      </c>
      <c r="U86" t="str">
        <f t="shared" si="7"/>
        <v>Low Impact</v>
      </c>
    </row>
    <row r="87" spans="1:21" x14ac:dyDescent="0.3">
      <c r="A87" t="s">
        <v>1848</v>
      </c>
      <c r="B87">
        <v>34</v>
      </c>
      <c r="C87" t="s">
        <v>18</v>
      </c>
      <c r="D87" t="s">
        <v>34</v>
      </c>
      <c r="E87" t="s">
        <v>20</v>
      </c>
      <c r="F87" t="s">
        <v>118</v>
      </c>
      <c r="G87">
        <v>12</v>
      </c>
      <c r="H87" t="s">
        <v>22</v>
      </c>
      <c r="I87" t="s">
        <v>22</v>
      </c>
      <c r="J87" t="s">
        <v>23</v>
      </c>
      <c r="K87" s="2">
        <v>86132</v>
      </c>
      <c r="L87" s="2">
        <v>77382</v>
      </c>
      <c r="M87" t="s">
        <v>24</v>
      </c>
      <c r="N87">
        <v>48</v>
      </c>
      <c r="O87" t="s">
        <v>25</v>
      </c>
      <c r="P87">
        <v>8</v>
      </c>
      <c r="Q87" s="1">
        <v>37.33</v>
      </c>
      <c r="R87" s="2">
        <f t="shared" si="4"/>
        <v>-8750</v>
      </c>
      <c r="S87" s="1">
        <f t="shared" si="5"/>
        <v>-10.158825988018389</v>
      </c>
      <c r="T87" t="str">
        <f t="shared" si="6"/>
        <v>Intermediate</v>
      </c>
      <c r="U87" t="str">
        <f t="shared" si="7"/>
        <v>High Impact</v>
      </c>
    </row>
    <row r="88" spans="1:21" x14ac:dyDescent="0.3">
      <c r="A88" t="s">
        <v>232</v>
      </c>
      <c r="B88">
        <v>56</v>
      </c>
      <c r="C88" t="s">
        <v>54</v>
      </c>
      <c r="D88" t="s">
        <v>40</v>
      </c>
      <c r="E88" t="s">
        <v>41</v>
      </c>
      <c r="F88" t="s">
        <v>55</v>
      </c>
      <c r="G88">
        <v>31</v>
      </c>
      <c r="H88" t="s">
        <v>37</v>
      </c>
      <c r="I88" t="s">
        <v>22</v>
      </c>
      <c r="J88" t="s">
        <v>23</v>
      </c>
      <c r="K88" s="2">
        <v>45850</v>
      </c>
      <c r="L88" s="2">
        <v>52907</v>
      </c>
      <c r="M88" t="s">
        <v>32</v>
      </c>
      <c r="N88">
        <v>45</v>
      </c>
      <c r="O88" t="s">
        <v>23</v>
      </c>
      <c r="P88">
        <v>4</v>
      </c>
      <c r="Q88" s="1">
        <v>37.31</v>
      </c>
      <c r="R88" s="2">
        <f t="shared" si="4"/>
        <v>7057</v>
      </c>
      <c r="S88" s="1">
        <f t="shared" si="5"/>
        <v>15.391494002181025</v>
      </c>
      <c r="T88" t="str">
        <f t="shared" si="6"/>
        <v>Expert</v>
      </c>
      <c r="U88" t="str">
        <f t="shared" si="7"/>
        <v>Low Impact</v>
      </c>
    </row>
    <row r="89" spans="1:21" x14ac:dyDescent="0.3">
      <c r="A89" t="s">
        <v>1616</v>
      </c>
      <c r="B89">
        <v>36</v>
      </c>
      <c r="C89" t="s">
        <v>54</v>
      </c>
      <c r="D89" t="s">
        <v>34</v>
      </c>
      <c r="E89" t="s">
        <v>51</v>
      </c>
      <c r="F89" t="s">
        <v>52</v>
      </c>
      <c r="G89">
        <v>12</v>
      </c>
      <c r="H89" t="s">
        <v>31</v>
      </c>
      <c r="I89" t="s">
        <v>31</v>
      </c>
      <c r="J89" t="s">
        <v>25</v>
      </c>
      <c r="K89" s="2">
        <v>53752</v>
      </c>
      <c r="L89" s="2">
        <v>56342</v>
      </c>
      <c r="M89" t="s">
        <v>32</v>
      </c>
      <c r="N89">
        <v>51</v>
      </c>
      <c r="O89" t="s">
        <v>25</v>
      </c>
      <c r="P89">
        <v>7</v>
      </c>
      <c r="Q89" s="1">
        <v>37.25</v>
      </c>
      <c r="R89" s="2">
        <f t="shared" si="4"/>
        <v>2590</v>
      </c>
      <c r="S89" s="1">
        <f t="shared" si="5"/>
        <v>4.8184253609168035</v>
      </c>
      <c r="T89" t="str">
        <f t="shared" si="6"/>
        <v>Intermediate</v>
      </c>
      <c r="U89" t="str">
        <f t="shared" si="7"/>
        <v>Low Impact</v>
      </c>
    </row>
    <row r="90" spans="1:21" x14ac:dyDescent="0.3">
      <c r="A90" t="s">
        <v>1563</v>
      </c>
      <c r="B90">
        <v>46</v>
      </c>
      <c r="C90" t="s">
        <v>54</v>
      </c>
      <c r="D90" t="s">
        <v>28</v>
      </c>
      <c r="E90" t="s">
        <v>20</v>
      </c>
      <c r="F90" t="s">
        <v>21</v>
      </c>
      <c r="G90">
        <v>20</v>
      </c>
      <c r="H90" t="s">
        <v>31</v>
      </c>
      <c r="I90" t="s">
        <v>22</v>
      </c>
      <c r="J90" t="s">
        <v>23</v>
      </c>
      <c r="K90" s="2">
        <v>89254</v>
      </c>
      <c r="L90" s="2">
        <v>90076</v>
      </c>
      <c r="M90" t="s">
        <v>32</v>
      </c>
      <c r="N90">
        <v>36</v>
      </c>
      <c r="O90" t="s">
        <v>23</v>
      </c>
      <c r="P90">
        <v>5</v>
      </c>
      <c r="Q90" s="1">
        <v>37.200000000000003</v>
      </c>
      <c r="R90" s="2">
        <f t="shared" si="4"/>
        <v>822</v>
      </c>
      <c r="S90" s="1">
        <f t="shared" si="5"/>
        <v>0.92096712752369647</v>
      </c>
      <c r="T90" t="str">
        <f t="shared" si="6"/>
        <v>Expert</v>
      </c>
      <c r="U90" t="str">
        <f t="shared" si="7"/>
        <v>Low Impact</v>
      </c>
    </row>
    <row r="91" spans="1:21" x14ac:dyDescent="0.3">
      <c r="A91" t="s">
        <v>933</v>
      </c>
      <c r="B91">
        <v>32</v>
      </c>
      <c r="C91" t="s">
        <v>18</v>
      </c>
      <c r="D91" t="s">
        <v>28</v>
      </c>
      <c r="E91" t="s">
        <v>29</v>
      </c>
      <c r="F91" t="s">
        <v>102</v>
      </c>
      <c r="G91">
        <v>9</v>
      </c>
      <c r="H91" t="s">
        <v>37</v>
      </c>
      <c r="I91" t="s">
        <v>31</v>
      </c>
      <c r="J91" t="s">
        <v>25</v>
      </c>
      <c r="K91" s="2">
        <v>49324</v>
      </c>
      <c r="L91" s="2">
        <v>50834</v>
      </c>
      <c r="M91" t="s">
        <v>32</v>
      </c>
      <c r="N91">
        <v>48</v>
      </c>
      <c r="O91" t="s">
        <v>25</v>
      </c>
      <c r="P91">
        <v>4</v>
      </c>
      <c r="Q91" s="1">
        <v>37.19</v>
      </c>
      <c r="R91" s="2">
        <f t="shared" si="4"/>
        <v>1510</v>
      </c>
      <c r="S91" s="1">
        <f t="shared" si="5"/>
        <v>3.0613899927013222</v>
      </c>
      <c r="T91" t="str">
        <f t="shared" si="6"/>
        <v>Intermediate</v>
      </c>
      <c r="U91" t="str">
        <f t="shared" si="7"/>
        <v>Low Impact</v>
      </c>
    </row>
    <row r="92" spans="1:21" x14ac:dyDescent="0.3">
      <c r="A92" t="s">
        <v>1991</v>
      </c>
      <c r="B92">
        <v>54</v>
      </c>
      <c r="C92" t="s">
        <v>54</v>
      </c>
      <c r="D92" t="s">
        <v>34</v>
      </c>
      <c r="E92" t="s">
        <v>29</v>
      </c>
      <c r="F92" t="s">
        <v>30</v>
      </c>
      <c r="G92">
        <v>30</v>
      </c>
      <c r="H92" t="s">
        <v>22</v>
      </c>
      <c r="I92" t="s">
        <v>31</v>
      </c>
      <c r="J92" t="s">
        <v>23</v>
      </c>
      <c r="K92" s="2">
        <v>88249</v>
      </c>
      <c r="L92" s="2">
        <v>116174</v>
      </c>
      <c r="M92" t="s">
        <v>32</v>
      </c>
      <c r="N92">
        <v>46</v>
      </c>
      <c r="O92" t="s">
        <v>23</v>
      </c>
      <c r="P92">
        <v>3</v>
      </c>
      <c r="Q92" s="1">
        <v>37.18</v>
      </c>
      <c r="R92" s="2">
        <f t="shared" si="4"/>
        <v>27925</v>
      </c>
      <c r="S92" s="1">
        <f t="shared" si="5"/>
        <v>31.643418055728677</v>
      </c>
      <c r="T92" t="str">
        <f t="shared" si="6"/>
        <v>Expert</v>
      </c>
      <c r="U92" t="str">
        <f t="shared" si="7"/>
        <v>Low Impact</v>
      </c>
    </row>
    <row r="93" spans="1:21" x14ac:dyDescent="0.3">
      <c r="A93" t="s">
        <v>1465</v>
      </c>
      <c r="B93">
        <v>36</v>
      </c>
      <c r="C93" t="s">
        <v>27</v>
      </c>
      <c r="D93" t="s">
        <v>34</v>
      </c>
      <c r="E93" t="s">
        <v>35</v>
      </c>
      <c r="F93" t="s">
        <v>36</v>
      </c>
      <c r="G93">
        <v>13</v>
      </c>
      <c r="H93" t="s">
        <v>22</v>
      </c>
      <c r="I93" t="s">
        <v>31</v>
      </c>
      <c r="J93" t="s">
        <v>23</v>
      </c>
      <c r="K93" s="2">
        <v>104510</v>
      </c>
      <c r="L93" s="2">
        <v>141988</v>
      </c>
      <c r="M93" t="s">
        <v>32</v>
      </c>
      <c r="N93">
        <v>51</v>
      </c>
      <c r="O93" t="s">
        <v>25</v>
      </c>
      <c r="P93">
        <v>6</v>
      </c>
      <c r="Q93" s="1">
        <v>37.090000000000003</v>
      </c>
      <c r="R93" s="2">
        <f t="shared" si="4"/>
        <v>37478</v>
      </c>
      <c r="S93" s="1">
        <f t="shared" si="5"/>
        <v>35.860683188211659</v>
      </c>
      <c r="T93" t="str">
        <f t="shared" si="6"/>
        <v>Intermediate</v>
      </c>
      <c r="U93" t="str">
        <f t="shared" si="7"/>
        <v>Low Impact</v>
      </c>
    </row>
    <row r="94" spans="1:21" x14ac:dyDescent="0.3">
      <c r="A94" t="s">
        <v>891</v>
      </c>
      <c r="B94">
        <v>41</v>
      </c>
      <c r="C94" t="s">
        <v>54</v>
      </c>
      <c r="D94" t="s">
        <v>19</v>
      </c>
      <c r="E94" t="s">
        <v>44</v>
      </c>
      <c r="F94" t="s">
        <v>57</v>
      </c>
      <c r="G94">
        <v>17</v>
      </c>
      <c r="H94" t="s">
        <v>22</v>
      </c>
      <c r="I94" t="s">
        <v>37</v>
      </c>
      <c r="J94" t="s">
        <v>25</v>
      </c>
      <c r="K94" s="2">
        <v>107733</v>
      </c>
      <c r="L94" s="2">
        <v>150301</v>
      </c>
      <c r="M94" t="s">
        <v>38</v>
      </c>
      <c r="N94">
        <v>51</v>
      </c>
      <c r="O94" t="s">
        <v>25</v>
      </c>
      <c r="P94">
        <v>9</v>
      </c>
      <c r="Q94" s="1">
        <v>37.08</v>
      </c>
      <c r="R94" s="2">
        <f t="shared" si="4"/>
        <v>42568</v>
      </c>
      <c r="S94" s="1">
        <f t="shared" si="5"/>
        <v>39.512498491641374</v>
      </c>
      <c r="T94" t="str">
        <f t="shared" si="6"/>
        <v>Expert</v>
      </c>
      <c r="U94" t="str">
        <f t="shared" si="7"/>
        <v>Medium Impact</v>
      </c>
    </row>
    <row r="95" spans="1:21" x14ac:dyDescent="0.3">
      <c r="A95" t="s">
        <v>1376</v>
      </c>
      <c r="B95">
        <v>45</v>
      </c>
      <c r="C95" t="s">
        <v>54</v>
      </c>
      <c r="D95" t="s">
        <v>40</v>
      </c>
      <c r="E95" t="s">
        <v>51</v>
      </c>
      <c r="F95" t="s">
        <v>52</v>
      </c>
      <c r="G95">
        <v>23</v>
      </c>
      <c r="H95" t="s">
        <v>31</v>
      </c>
      <c r="I95" t="s">
        <v>31</v>
      </c>
      <c r="J95" t="s">
        <v>23</v>
      </c>
      <c r="K95" s="2">
        <v>65157</v>
      </c>
      <c r="L95" s="2">
        <v>62818</v>
      </c>
      <c r="M95" t="s">
        <v>32</v>
      </c>
      <c r="N95">
        <v>48</v>
      </c>
      <c r="O95" t="s">
        <v>23</v>
      </c>
      <c r="P95">
        <v>3</v>
      </c>
      <c r="Q95" s="1">
        <v>37.08</v>
      </c>
      <c r="R95" s="2">
        <f t="shared" si="4"/>
        <v>-2339</v>
      </c>
      <c r="S95" s="1">
        <f t="shared" si="5"/>
        <v>-3.5897908129594676</v>
      </c>
      <c r="T95" t="str">
        <f t="shared" si="6"/>
        <v>Expert</v>
      </c>
      <c r="U95" t="str">
        <f t="shared" si="7"/>
        <v>Low Impact</v>
      </c>
    </row>
    <row r="96" spans="1:21" x14ac:dyDescent="0.3">
      <c r="A96" t="s">
        <v>559</v>
      </c>
      <c r="B96">
        <v>43</v>
      </c>
      <c r="C96" t="s">
        <v>27</v>
      </c>
      <c r="D96" t="s">
        <v>28</v>
      </c>
      <c r="E96" t="s">
        <v>20</v>
      </c>
      <c r="F96" t="s">
        <v>21</v>
      </c>
      <c r="G96">
        <v>20</v>
      </c>
      <c r="H96" t="s">
        <v>37</v>
      </c>
      <c r="I96" t="s">
        <v>37</v>
      </c>
      <c r="J96" t="s">
        <v>25</v>
      </c>
      <c r="K96" s="2">
        <v>94503</v>
      </c>
      <c r="L96" s="2">
        <v>93061</v>
      </c>
      <c r="M96" t="s">
        <v>38</v>
      </c>
      <c r="N96">
        <v>39</v>
      </c>
      <c r="O96" t="s">
        <v>23</v>
      </c>
      <c r="P96">
        <v>5</v>
      </c>
      <c r="Q96" s="1">
        <v>37.03</v>
      </c>
      <c r="R96" s="2">
        <f t="shared" si="4"/>
        <v>-1442</v>
      </c>
      <c r="S96" s="1">
        <f t="shared" si="5"/>
        <v>-1.5258774853708348</v>
      </c>
      <c r="T96" t="str">
        <f t="shared" si="6"/>
        <v>Expert</v>
      </c>
      <c r="U96" t="str">
        <f t="shared" si="7"/>
        <v>Medium Impact</v>
      </c>
    </row>
    <row r="97" spans="1:21" x14ac:dyDescent="0.3">
      <c r="A97" t="s">
        <v>457</v>
      </c>
      <c r="B97">
        <v>33</v>
      </c>
      <c r="C97" t="s">
        <v>18</v>
      </c>
      <c r="D97" t="s">
        <v>28</v>
      </c>
      <c r="E97" t="s">
        <v>59</v>
      </c>
      <c r="F97" t="s">
        <v>77</v>
      </c>
      <c r="G97">
        <v>7</v>
      </c>
      <c r="H97" t="s">
        <v>22</v>
      </c>
      <c r="I97" t="s">
        <v>22</v>
      </c>
      <c r="J97" t="s">
        <v>25</v>
      </c>
      <c r="K97" s="2">
        <v>38770</v>
      </c>
      <c r="L97" s="2">
        <v>46188</v>
      </c>
      <c r="M97" t="s">
        <v>24</v>
      </c>
      <c r="N97">
        <v>36</v>
      </c>
      <c r="O97" t="s">
        <v>23</v>
      </c>
      <c r="P97">
        <v>5</v>
      </c>
      <c r="Q97" s="1">
        <v>37.03</v>
      </c>
      <c r="R97" s="2">
        <f t="shared" si="4"/>
        <v>7418</v>
      </c>
      <c r="S97" s="1">
        <f t="shared" si="5"/>
        <v>19.133350528759347</v>
      </c>
      <c r="T97" t="str">
        <f t="shared" si="6"/>
        <v>Intermediate</v>
      </c>
      <c r="U97" t="str">
        <f t="shared" si="7"/>
        <v>High Impact</v>
      </c>
    </row>
    <row r="98" spans="1:21" x14ac:dyDescent="0.3">
      <c r="A98" t="s">
        <v>403</v>
      </c>
      <c r="B98">
        <v>35</v>
      </c>
      <c r="C98" t="s">
        <v>18</v>
      </c>
      <c r="D98" t="s">
        <v>28</v>
      </c>
      <c r="E98" t="s">
        <v>44</v>
      </c>
      <c r="F98" t="s">
        <v>57</v>
      </c>
      <c r="G98">
        <v>10</v>
      </c>
      <c r="H98" t="s">
        <v>31</v>
      </c>
      <c r="I98" t="s">
        <v>22</v>
      </c>
      <c r="J98" t="s">
        <v>23</v>
      </c>
      <c r="K98" s="2">
        <v>87418</v>
      </c>
      <c r="L98" s="2">
        <v>92750</v>
      </c>
      <c r="M98" t="s">
        <v>32</v>
      </c>
      <c r="N98">
        <v>39</v>
      </c>
      <c r="O98" t="s">
        <v>23</v>
      </c>
      <c r="P98">
        <v>3</v>
      </c>
      <c r="Q98" s="1">
        <v>37.020000000000003</v>
      </c>
      <c r="R98" s="2">
        <f t="shared" si="4"/>
        <v>5332</v>
      </c>
      <c r="S98" s="1">
        <f t="shared" si="5"/>
        <v>6.0994303232743832</v>
      </c>
      <c r="T98" t="str">
        <f t="shared" si="6"/>
        <v>Intermediate</v>
      </c>
      <c r="U98" t="str">
        <f t="shared" si="7"/>
        <v>Low Impact</v>
      </c>
    </row>
    <row r="99" spans="1:21" x14ac:dyDescent="0.3">
      <c r="A99" t="s">
        <v>1921</v>
      </c>
      <c r="B99">
        <v>46</v>
      </c>
      <c r="C99" t="s">
        <v>54</v>
      </c>
      <c r="D99" t="s">
        <v>34</v>
      </c>
      <c r="E99" t="s">
        <v>29</v>
      </c>
      <c r="F99" t="s">
        <v>30</v>
      </c>
      <c r="G99">
        <v>21</v>
      </c>
      <c r="H99" t="s">
        <v>37</v>
      </c>
      <c r="I99" t="s">
        <v>37</v>
      </c>
      <c r="J99" t="s">
        <v>23</v>
      </c>
      <c r="K99" s="2">
        <v>97310</v>
      </c>
      <c r="L99" s="2">
        <v>98256</v>
      </c>
      <c r="M99" t="s">
        <v>38</v>
      </c>
      <c r="N99">
        <v>35</v>
      </c>
      <c r="O99" t="s">
        <v>25</v>
      </c>
      <c r="P99">
        <v>4</v>
      </c>
      <c r="Q99" s="1">
        <v>36.979999999999997</v>
      </c>
      <c r="R99" s="2">
        <f t="shared" si="4"/>
        <v>946</v>
      </c>
      <c r="S99" s="1">
        <f t="shared" si="5"/>
        <v>0.97215085808241697</v>
      </c>
      <c r="T99" t="str">
        <f t="shared" si="6"/>
        <v>Expert</v>
      </c>
      <c r="U99" t="str">
        <f t="shared" si="7"/>
        <v>Medium Impact</v>
      </c>
    </row>
    <row r="100" spans="1:21" x14ac:dyDescent="0.3">
      <c r="A100" t="s">
        <v>528</v>
      </c>
      <c r="B100">
        <v>59</v>
      </c>
      <c r="C100" t="s">
        <v>54</v>
      </c>
      <c r="D100" t="s">
        <v>28</v>
      </c>
      <c r="E100" t="s">
        <v>51</v>
      </c>
      <c r="F100" t="s">
        <v>130</v>
      </c>
      <c r="G100">
        <v>36</v>
      </c>
      <c r="H100" t="s">
        <v>37</v>
      </c>
      <c r="I100" t="s">
        <v>31</v>
      </c>
      <c r="J100" t="s">
        <v>25</v>
      </c>
      <c r="K100" s="2">
        <v>72965</v>
      </c>
      <c r="L100" s="2">
        <v>81196</v>
      </c>
      <c r="M100" t="s">
        <v>32</v>
      </c>
      <c r="N100">
        <v>37</v>
      </c>
      <c r="O100" t="s">
        <v>23</v>
      </c>
      <c r="P100">
        <v>3</v>
      </c>
      <c r="Q100" s="1">
        <v>36.93</v>
      </c>
      <c r="R100" s="2">
        <f t="shared" si="4"/>
        <v>8231</v>
      </c>
      <c r="S100" s="1">
        <f t="shared" si="5"/>
        <v>11.280751045021585</v>
      </c>
      <c r="T100" t="str">
        <f t="shared" si="6"/>
        <v>Expert</v>
      </c>
      <c r="U100" t="str">
        <f t="shared" si="7"/>
        <v>Low Impact</v>
      </c>
    </row>
    <row r="101" spans="1:21" x14ac:dyDescent="0.3">
      <c r="A101" t="s">
        <v>1675</v>
      </c>
      <c r="B101">
        <v>34</v>
      </c>
      <c r="C101" t="s">
        <v>18</v>
      </c>
      <c r="D101" t="s">
        <v>28</v>
      </c>
      <c r="E101" t="s">
        <v>20</v>
      </c>
      <c r="F101" t="s">
        <v>118</v>
      </c>
      <c r="G101">
        <v>11</v>
      </c>
      <c r="H101" t="s">
        <v>31</v>
      </c>
      <c r="I101" t="s">
        <v>37</v>
      </c>
      <c r="J101" t="s">
        <v>23</v>
      </c>
      <c r="K101" s="2">
        <v>91344</v>
      </c>
      <c r="L101" s="2">
        <v>94519</v>
      </c>
      <c r="M101" t="s">
        <v>38</v>
      </c>
      <c r="N101">
        <v>39</v>
      </c>
      <c r="O101" t="s">
        <v>25</v>
      </c>
      <c r="P101">
        <v>7</v>
      </c>
      <c r="Q101" s="1">
        <v>36.92</v>
      </c>
      <c r="R101" s="2">
        <f t="shared" si="4"/>
        <v>3175</v>
      </c>
      <c r="S101" s="1">
        <f t="shared" si="5"/>
        <v>3.4758714310737431</v>
      </c>
      <c r="T101" t="str">
        <f t="shared" si="6"/>
        <v>Intermediate</v>
      </c>
      <c r="U101" t="str">
        <f t="shared" si="7"/>
        <v>Medium Impact</v>
      </c>
    </row>
    <row r="102" spans="1:21" x14ac:dyDescent="0.3">
      <c r="A102" t="s">
        <v>665</v>
      </c>
      <c r="B102">
        <v>43</v>
      </c>
      <c r="C102" t="s">
        <v>27</v>
      </c>
      <c r="D102" t="s">
        <v>28</v>
      </c>
      <c r="E102" t="s">
        <v>20</v>
      </c>
      <c r="F102" t="s">
        <v>88</v>
      </c>
      <c r="G102">
        <v>20</v>
      </c>
      <c r="H102" t="s">
        <v>22</v>
      </c>
      <c r="I102" t="s">
        <v>37</v>
      </c>
      <c r="J102" t="s">
        <v>25</v>
      </c>
      <c r="K102" s="2">
        <v>53470</v>
      </c>
      <c r="L102" s="2">
        <v>57306</v>
      </c>
      <c r="M102" t="s">
        <v>38</v>
      </c>
      <c r="N102">
        <v>52</v>
      </c>
      <c r="O102" t="s">
        <v>23</v>
      </c>
      <c r="P102">
        <v>6</v>
      </c>
      <c r="Q102" s="1">
        <v>36.92</v>
      </c>
      <c r="R102" s="2">
        <f t="shared" si="4"/>
        <v>3836</v>
      </c>
      <c r="S102" s="1">
        <f t="shared" si="5"/>
        <v>7.1741163269122872</v>
      </c>
      <c r="T102" t="str">
        <f t="shared" si="6"/>
        <v>Expert</v>
      </c>
      <c r="U102" t="str">
        <f t="shared" si="7"/>
        <v>Medium Impact</v>
      </c>
    </row>
    <row r="103" spans="1:21" x14ac:dyDescent="0.3">
      <c r="A103" t="s">
        <v>221</v>
      </c>
      <c r="B103">
        <v>30</v>
      </c>
      <c r="C103" t="s">
        <v>54</v>
      </c>
      <c r="D103" t="s">
        <v>28</v>
      </c>
      <c r="E103" t="s">
        <v>35</v>
      </c>
      <c r="F103" t="s">
        <v>36</v>
      </c>
      <c r="G103">
        <v>7</v>
      </c>
      <c r="H103" t="s">
        <v>37</v>
      </c>
      <c r="I103" t="s">
        <v>37</v>
      </c>
      <c r="J103" t="s">
        <v>23</v>
      </c>
      <c r="K103" s="2">
        <v>92516</v>
      </c>
      <c r="L103" s="2">
        <v>91437</v>
      </c>
      <c r="M103" t="s">
        <v>38</v>
      </c>
      <c r="N103">
        <v>46</v>
      </c>
      <c r="O103" t="s">
        <v>23</v>
      </c>
      <c r="P103">
        <v>3</v>
      </c>
      <c r="Q103" s="1">
        <v>36.909999999999997</v>
      </c>
      <c r="R103" s="2">
        <f t="shared" si="4"/>
        <v>-1079</v>
      </c>
      <c r="S103" s="1">
        <f t="shared" si="5"/>
        <v>-1.1662847507458169</v>
      </c>
      <c r="T103" t="str">
        <f t="shared" si="6"/>
        <v>Intermediate</v>
      </c>
      <c r="U103" t="str">
        <f t="shared" si="7"/>
        <v>Medium Impact</v>
      </c>
    </row>
    <row r="104" spans="1:21" x14ac:dyDescent="0.3">
      <c r="A104" t="s">
        <v>455</v>
      </c>
      <c r="B104">
        <v>47</v>
      </c>
      <c r="C104" t="s">
        <v>18</v>
      </c>
      <c r="D104" t="s">
        <v>28</v>
      </c>
      <c r="E104" t="s">
        <v>51</v>
      </c>
      <c r="F104" t="s">
        <v>52</v>
      </c>
      <c r="G104">
        <v>22</v>
      </c>
      <c r="H104" t="s">
        <v>22</v>
      </c>
      <c r="I104" t="s">
        <v>22</v>
      </c>
      <c r="J104" t="s">
        <v>25</v>
      </c>
      <c r="K104" s="2">
        <v>118668</v>
      </c>
      <c r="L104" s="2">
        <v>107079</v>
      </c>
      <c r="M104" t="s">
        <v>24</v>
      </c>
      <c r="N104">
        <v>40</v>
      </c>
      <c r="O104" t="s">
        <v>25</v>
      </c>
      <c r="P104">
        <v>6</v>
      </c>
      <c r="Q104" s="1">
        <v>36.89</v>
      </c>
      <c r="R104" s="2">
        <f t="shared" si="4"/>
        <v>-11589</v>
      </c>
      <c r="S104" s="1">
        <f t="shared" si="5"/>
        <v>-9.765901506724644</v>
      </c>
      <c r="T104" t="str">
        <f t="shared" si="6"/>
        <v>Expert</v>
      </c>
      <c r="U104" t="str">
        <f t="shared" si="7"/>
        <v>High Impact</v>
      </c>
    </row>
    <row r="105" spans="1:21" x14ac:dyDescent="0.3">
      <c r="A105" t="s">
        <v>1740</v>
      </c>
      <c r="B105">
        <v>47</v>
      </c>
      <c r="C105" t="s">
        <v>18</v>
      </c>
      <c r="D105" t="s">
        <v>34</v>
      </c>
      <c r="E105" t="s">
        <v>29</v>
      </c>
      <c r="F105" t="s">
        <v>104</v>
      </c>
      <c r="G105">
        <v>21</v>
      </c>
      <c r="H105" t="s">
        <v>22</v>
      </c>
      <c r="I105" t="s">
        <v>37</v>
      </c>
      <c r="J105" t="s">
        <v>23</v>
      </c>
      <c r="K105" s="2">
        <v>61971</v>
      </c>
      <c r="L105" s="2">
        <v>71141</v>
      </c>
      <c r="M105" t="s">
        <v>38</v>
      </c>
      <c r="N105">
        <v>41</v>
      </c>
      <c r="O105" t="s">
        <v>25</v>
      </c>
      <c r="P105">
        <v>6</v>
      </c>
      <c r="Q105" s="1">
        <v>36.880000000000003</v>
      </c>
      <c r="R105" s="2">
        <f t="shared" si="4"/>
        <v>9170</v>
      </c>
      <c r="S105" s="1">
        <f t="shared" si="5"/>
        <v>14.797243872133739</v>
      </c>
      <c r="T105" t="str">
        <f t="shared" si="6"/>
        <v>Expert</v>
      </c>
      <c r="U105" t="str">
        <f t="shared" si="7"/>
        <v>Medium Impact</v>
      </c>
    </row>
    <row r="106" spans="1:21" x14ac:dyDescent="0.3">
      <c r="A106" t="s">
        <v>1266</v>
      </c>
      <c r="B106">
        <v>34</v>
      </c>
      <c r="C106" t="s">
        <v>54</v>
      </c>
      <c r="D106" t="s">
        <v>40</v>
      </c>
      <c r="E106" t="s">
        <v>35</v>
      </c>
      <c r="F106" t="s">
        <v>132</v>
      </c>
      <c r="G106">
        <v>9</v>
      </c>
      <c r="H106" t="s">
        <v>31</v>
      </c>
      <c r="I106" t="s">
        <v>37</v>
      </c>
      <c r="J106" t="s">
        <v>23</v>
      </c>
      <c r="K106" s="2">
        <v>114793</v>
      </c>
      <c r="L106" s="2">
        <v>111270</v>
      </c>
      <c r="M106" t="s">
        <v>38</v>
      </c>
      <c r="N106">
        <v>47</v>
      </c>
      <c r="O106" t="s">
        <v>23</v>
      </c>
      <c r="P106">
        <v>7</v>
      </c>
      <c r="Q106" s="1">
        <v>36.86</v>
      </c>
      <c r="R106" s="2">
        <f t="shared" si="4"/>
        <v>-3523</v>
      </c>
      <c r="S106" s="1">
        <f t="shared" si="5"/>
        <v>-3.069002465307118</v>
      </c>
      <c r="T106" t="str">
        <f t="shared" si="6"/>
        <v>Intermediate</v>
      </c>
      <c r="U106" t="str">
        <f t="shared" si="7"/>
        <v>Medium Impact</v>
      </c>
    </row>
    <row r="107" spans="1:21" x14ac:dyDescent="0.3">
      <c r="A107" t="s">
        <v>965</v>
      </c>
      <c r="B107">
        <v>57</v>
      </c>
      <c r="C107" t="s">
        <v>18</v>
      </c>
      <c r="D107" t="s">
        <v>28</v>
      </c>
      <c r="E107" t="s">
        <v>20</v>
      </c>
      <c r="F107" t="s">
        <v>88</v>
      </c>
      <c r="G107">
        <v>31</v>
      </c>
      <c r="H107" t="s">
        <v>22</v>
      </c>
      <c r="I107" t="s">
        <v>22</v>
      </c>
      <c r="J107" t="s">
        <v>25</v>
      </c>
      <c r="K107" s="2">
        <v>72292</v>
      </c>
      <c r="L107" s="2">
        <v>65669</v>
      </c>
      <c r="M107" t="s">
        <v>24</v>
      </c>
      <c r="N107">
        <v>36</v>
      </c>
      <c r="O107" t="s">
        <v>25</v>
      </c>
      <c r="P107">
        <v>3</v>
      </c>
      <c r="Q107" s="1">
        <v>36.86</v>
      </c>
      <c r="R107" s="2">
        <f t="shared" si="4"/>
        <v>-6623</v>
      </c>
      <c r="S107" s="1">
        <f t="shared" si="5"/>
        <v>-9.1614563160515683</v>
      </c>
      <c r="T107" t="str">
        <f t="shared" si="6"/>
        <v>Expert</v>
      </c>
      <c r="U107" t="str">
        <f t="shared" si="7"/>
        <v>High Impact</v>
      </c>
    </row>
    <row r="108" spans="1:21" x14ac:dyDescent="0.3">
      <c r="A108" t="s">
        <v>1584</v>
      </c>
      <c r="B108">
        <v>52</v>
      </c>
      <c r="C108" t="s">
        <v>18</v>
      </c>
      <c r="D108" t="s">
        <v>19</v>
      </c>
      <c r="E108" t="s">
        <v>29</v>
      </c>
      <c r="F108" t="s">
        <v>104</v>
      </c>
      <c r="G108">
        <v>28</v>
      </c>
      <c r="H108" t="s">
        <v>22</v>
      </c>
      <c r="I108" t="s">
        <v>37</v>
      </c>
      <c r="J108" t="s">
        <v>23</v>
      </c>
      <c r="K108" s="2">
        <v>45701</v>
      </c>
      <c r="L108" s="2">
        <v>47841</v>
      </c>
      <c r="M108" t="s">
        <v>38</v>
      </c>
      <c r="N108">
        <v>50</v>
      </c>
      <c r="O108" t="s">
        <v>23</v>
      </c>
      <c r="P108">
        <v>4</v>
      </c>
      <c r="Q108" s="1">
        <v>36.86</v>
      </c>
      <c r="R108" s="2">
        <f t="shared" si="4"/>
        <v>2140</v>
      </c>
      <c r="S108" s="1">
        <f t="shared" si="5"/>
        <v>4.6826108837881009</v>
      </c>
      <c r="T108" t="str">
        <f t="shared" si="6"/>
        <v>Expert</v>
      </c>
      <c r="U108" t="str">
        <f t="shared" si="7"/>
        <v>Medium Impact</v>
      </c>
    </row>
    <row r="109" spans="1:21" x14ac:dyDescent="0.3">
      <c r="A109" t="s">
        <v>290</v>
      </c>
      <c r="B109">
        <v>53</v>
      </c>
      <c r="C109" t="s">
        <v>18</v>
      </c>
      <c r="D109" t="s">
        <v>19</v>
      </c>
      <c r="E109" t="s">
        <v>59</v>
      </c>
      <c r="F109" t="s">
        <v>93</v>
      </c>
      <c r="G109">
        <v>31</v>
      </c>
      <c r="H109" t="s">
        <v>37</v>
      </c>
      <c r="I109" t="s">
        <v>31</v>
      </c>
      <c r="J109" t="s">
        <v>23</v>
      </c>
      <c r="K109" s="2">
        <v>94881</v>
      </c>
      <c r="L109" s="2">
        <v>112012</v>
      </c>
      <c r="M109" t="s">
        <v>32</v>
      </c>
      <c r="N109">
        <v>54</v>
      </c>
      <c r="O109" t="s">
        <v>23</v>
      </c>
      <c r="P109">
        <v>8</v>
      </c>
      <c r="Q109" s="1">
        <v>36.840000000000003</v>
      </c>
      <c r="R109" s="2">
        <f t="shared" si="4"/>
        <v>17131</v>
      </c>
      <c r="S109" s="1">
        <f t="shared" si="5"/>
        <v>18.055248152949485</v>
      </c>
      <c r="T109" t="str">
        <f t="shared" si="6"/>
        <v>Expert</v>
      </c>
      <c r="U109" t="str">
        <f t="shared" si="7"/>
        <v>Low Impact</v>
      </c>
    </row>
    <row r="110" spans="1:21" x14ac:dyDescent="0.3">
      <c r="A110" t="s">
        <v>1795</v>
      </c>
      <c r="B110">
        <v>38</v>
      </c>
      <c r="C110" t="s">
        <v>18</v>
      </c>
      <c r="D110" t="s">
        <v>28</v>
      </c>
      <c r="E110" t="s">
        <v>44</v>
      </c>
      <c r="F110" t="s">
        <v>57</v>
      </c>
      <c r="G110">
        <v>16</v>
      </c>
      <c r="H110" t="s">
        <v>31</v>
      </c>
      <c r="I110" t="s">
        <v>22</v>
      </c>
      <c r="J110" t="s">
        <v>23</v>
      </c>
      <c r="K110" s="2">
        <v>85309</v>
      </c>
      <c r="L110" s="2">
        <v>92528</v>
      </c>
      <c r="M110" t="s">
        <v>32</v>
      </c>
      <c r="N110">
        <v>39</v>
      </c>
      <c r="O110" t="s">
        <v>25</v>
      </c>
      <c r="P110">
        <v>7</v>
      </c>
      <c r="Q110" s="1">
        <v>36.799999999999997</v>
      </c>
      <c r="R110" s="2">
        <f t="shared" si="4"/>
        <v>7219</v>
      </c>
      <c r="S110" s="1">
        <f t="shared" si="5"/>
        <v>8.4621786681358362</v>
      </c>
      <c r="T110" t="str">
        <f t="shared" si="6"/>
        <v>Expert</v>
      </c>
      <c r="U110" t="str">
        <f t="shared" si="7"/>
        <v>Low Impact</v>
      </c>
    </row>
    <row r="111" spans="1:21" x14ac:dyDescent="0.3">
      <c r="A111" t="s">
        <v>423</v>
      </c>
      <c r="B111">
        <v>36</v>
      </c>
      <c r="C111" t="s">
        <v>27</v>
      </c>
      <c r="D111" t="s">
        <v>28</v>
      </c>
      <c r="E111" t="s">
        <v>29</v>
      </c>
      <c r="F111" t="s">
        <v>102</v>
      </c>
      <c r="G111">
        <v>11</v>
      </c>
      <c r="H111" t="s">
        <v>22</v>
      </c>
      <c r="I111" t="s">
        <v>37</v>
      </c>
      <c r="J111" t="s">
        <v>23</v>
      </c>
      <c r="K111" s="2">
        <v>44939</v>
      </c>
      <c r="L111" s="2">
        <v>42840</v>
      </c>
      <c r="M111" t="s">
        <v>38</v>
      </c>
      <c r="N111">
        <v>42</v>
      </c>
      <c r="O111" t="s">
        <v>25</v>
      </c>
      <c r="P111">
        <v>4</v>
      </c>
      <c r="Q111" s="1">
        <v>36.799999999999997</v>
      </c>
      <c r="R111" s="2">
        <f t="shared" si="4"/>
        <v>-2099</v>
      </c>
      <c r="S111" s="1">
        <f t="shared" si="5"/>
        <v>-4.6707759407196425</v>
      </c>
      <c r="T111" t="str">
        <f t="shared" si="6"/>
        <v>Intermediate</v>
      </c>
      <c r="U111" t="str">
        <f t="shared" si="7"/>
        <v>Medium Impact</v>
      </c>
    </row>
    <row r="112" spans="1:21" x14ac:dyDescent="0.3">
      <c r="A112" t="s">
        <v>1365</v>
      </c>
      <c r="B112">
        <v>26</v>
      </c>
      <c r="C112" t="s">
        <v>27</v>
      </c>
      <c r="D112" t="s">
        <v>34</v>
      </c>
      <c r="E112" t="s">
        <v>20</v>
      </c>
      <c r="F112" t="s">
        <v>88</v>
      </c>
      <c r="G112">
        <v>4</v>
      </c>
      <c r="H112" t="s">
        <v>22</v>
      </c>
      <c r="I112" t="s">
        <v>22</v>
      </c>
      <c r="J112" t="s">
        <v>25</v>
      </c>
      <c r="K112" s="2">
        <v>37973</v>
      </c>
      <c r="L112" s="2">
        <v>43064</v>
      </c>
      <c r="M112" t="s">
        <v>38</v>
      </c>
      <c r="N112">
        <v>38</v>
      </c>
      <c r="O112" t="s">
        <v>23</v>
      </c>
      <c r="P112">
        <v>9</v>
      </c>
      <c r="Q112" s="1">
        <v>36.78</v>
      </c>
      <c r="R112" s="2">
        <f t="shared" si="4"/>
        <v>5091</v>
      </c>
      <c r="S112" s="1">
        <f t="shared" si="5"/>
        <v>13.406894372317174</v>
      </c>
      <c r="T112" t="str">
        <f t="shared" si="6"/>
        <v>Beginner</v>
      </c>
      <c r="U112" t="str">
        <f t="shared" si="7"/>
        <v>Medium Impact</v>
      </c>
    </row>
    <row r="113" spans="1:21" x14ac:dyDescent="0.3">
      <c r="A113" t="s">
        <v>1314</v>
      </c>
      <c r="B113">
        <v>38</v>
      </c>
      <c r="C113" t="s">
        <v>54</v>
      </c>
      <c r="D113" t="s">
        <v>40</v>
      </c>
      <c r="E113" t="s">
        <v>59</v>
      </c>
      <c r="F113" t="s">
        <v>60</v>
      </c>
      <c r="G113">
        <v>13</v>
      </c>
      <c r="H113" t="s">
        <v>22</v>
      </c>
      <c r="I113" t="s">
        <v>31</v>
      </c>
      <c r="J113" t="s">
        <v>23</v>
      </c>
      <c r="K113" s="2">
        <v>75382</v>
      </c>
      <c r="L113" s="2">
        <v>101566</v>
      </c>
      <c r="M113" t="s">
        <v>32</v>
      </c>
      <c r="N113">
        <v>48</v>
      </c>
      <c r="O113" t="s">
        <v>23</v>
      </c>
      <c r="P113">
        <v>7</v>
      </c>
      <c r="Q113" s="1">
        <v>36.76</v>
      </c>
      <c r="R113" s="2">
        <f t="shared" si="4"/>
        <v>26184</v>
      </c>
      <c r="S113" s="1">
        <f t="shared" si="5"/>
        <v>34.735082645724439</v>
      </c>
      <c r="T113" t="str">
        <f t="shared" si="6"/>
        <v>Intermediate</v>
      </c>
      <c r="U113" t="str">
        <f t="shared" si="7"/>
        <v>Low Impact</v>
      </c>
    </row>
    <row r="114" spans="1:21" x14ac:dyDescent="0.3">
      <c r="A114" t="s">
        <v>778</v>
      </c>
      <c r="B114">
        <v>53</v>
      </c>
      <c r="C114" t="s">
        <v>27</v>
      </c>
      <c r="D114" t="s">
        <v>19</v>
      </c>
      <c r="E114" t="s">
        <v>41</v>
      </c>
      <c r="F114" t="s">
        <v>55</v>
      </c>
      <c r="G114">
        <v>31</v>
      </c>
      <c r="H114" t="s">
        <v>31</v>
      </c>
      <c r="I114" t="s">
        <v>22</v>
      </c>
      <c r="J114" t="s">
        <v>25</v>
      </c>
      <c r="K114" s="2">
        <v>57564</v>
      </c>
      <c r="L114" s="2">
        <v>60554</v>
      </c>
      <c r="M114" t="s">
        <v>32</v>
      </c>
      <c r="N114">
        <v>37</v>
      </c>
      <c r="O114" t="s">
        <v>25</v>
      </c>
      <c r="P114">
        <v>9</v>
      </c>
      <c r="Q114" s="1">
        <v>36.76</v>
      </c>
      <c r="R114" s="2">
        <f t="shared" si="4"/>
        <v>2990</v>
      </c>
      <c r="S114" s="1">
        <f t="shared" si="5"/>
        <v>5.1942186088527551</v>
      </c>
      <c r="T114" t="str">
        <f t="shared" si="6"/>
        <v>Expert</v>
      </c>
      <c r="U114" t="str">
        <f t="shared" si="7"/>
        <v>Low Impact</v>
      </c>
    </row>
    <row r="115" spans="1:21" x14ac:dyDescent="0.3">
      <c r="A115" t="s">
        <v>1339</v>
      </c>
      <c r="B115">
        <v>47</v>
      </c>
      <c r="C115" t="s">
        <v>27</v>
      </c>
      <c r="D115" t="s">
        <v>19</v>
      </c>
      <c r="E115" t="s">
        <v>41</v>
      </c>
      <c r="F115" t="s">
        <v>49</v>
      </c>
      <c r="G115">
        <v>25</v>
      </c>
      <c r="H115" t="s">
        <v>22</v>
      </c>
      <c r="I115" t="s">
        <v>22</v>
      </c>
      <c r="J115" t="s">
        <v>23</v>
      </c>
      <c r="K115" s="2">
        <v>99778</v>
      </c>
      <c r="L115" s="2">
        <v>138786</v>
      </c>
      <c r="M115" t="s">
        <v>38</v>
      </c>
      <c r="N115">
        <v>35</v>
      </c>
      <c r="O115" t="s">
        <v>25</v>
      </c>
      <c r="P115">
        <v>6</v>
      </c>
      <c r="Q115" s="1">
        <v>36.75</v>
      </c>
      <c r="R115" s="2">
        <f t="shared" si="4"/>
        <v>39008</v>
      </c>
      <c r="S115" s="1">
        <f t="shared" si="5"/>
        <v>39.09479043476518</v>
      </c>
      <c r="T115" t="str">
        <f t="shared" si="6"/>
        <v>Expert</v>
      </c>
      <c r="U115" t="str">
        <f t="shared" si="7"/>
        <v>Medium Impact</v>
      </c>
    </row>
    <row r="116" spans="1:21" x14ac:dyDescent="0.3">
      <c r="A116" t="s">
        <v>627</v>
      </c>
      <c r="B116">
        <v>34</v>
      </c>
      <c r="C116" t="s">
        <v>18</v>
      </c>
      <c r="D116" t="s">
        <v>19</v>
      </c>
      <c r="E116" t="s">
        <v>44</v>
      </c>
      <c r="F116" t="s">
        <v>57</v>
      </c>
      <c r="G116">
        <v>12</v>
      </c>
      <c r="H116" t="s">
        <v>37</v>
      </c>
      <c r="I116" t="s">
        <v>22</v>
      </c>
      <c r="J116" t="s">
        <v>25</v>
      </c>
      <c r="K116" s="2">
        <v>73937</v>
      </c>
      <c r="L116" s="2">
        <v>67034</v>
      </c>
      <c r="M116" t="s">
        <v>32</v>
      </c>
      <c r="N116">
        <v>50</v>
      </c>
      <c r="O116" t="s">
        <v>25</v>
      </c>
      <c r="P116">
        <v>3</v>
      </c>
      <c r="Q116" s="1">
        <v>36.71</v>
      </c>
      <c r="R116" s="2">
        <f t="shared" si="4"/>
        <v>-6903</v>
      </c>
      <c r="S116" s="1">
        <f t="shared" si="5"/>
        <v>-9.3363268728782618</v>
      </c>
      <c r="T116" t="str">
        <f t="shared" si="6"/>
        <v>Intermediate</v>
      </c>
      <c r="U116" t="str">
        <f t="shared" si="7"/>
        <v>Low Impact</v>
      </c>
    </row>
    <row r="117" spans="1:21" x14ac:dyDescent="0.3">
      <c r="A117" t="s">
        <v>1287</v>
      </c>
      <c r="B117">
        <v>23</v>
      </c>
      <c r="C117" t="s">
        <v>54</v>
      </c>
      <c r="D117" t="s">
        <v>40</v>
      </c>
      <c r="E117" t="s">
        <v>29</v>
      </c>
      <c r="F117" t="s">
        <v>102</v>
      </c>
      <c r="G117">
        <v>1</v>
      </c>
      <c r="H117" t="s">
        <v>31</v>
      </c>
      <c r="I117" t="s">
        <v>22</v>
      </c>
      <c r="J117" t="s">
        <v>23</v>
      </c>
      <c r="K117" s="2">
        <v>94857</v>
      </c>
      <c r="L117" s="2">
        <v>103073</v>
      </c>
      <c r="M117" t="s">
        <v>32</v>
      </c>
      <c r="N117">
        <v>49</v>
      </c>
      <c r="O117" t="s">
        <v>25</v>
      </c>
      <c r="P117">
        <v>6</v>
      </c>
      <c r="Q117" s="1">
        <v>36.6</v>
      </c>
      <c r="R117" s="2">
        <f t="shared" si="4"/>
        <v>8216</v>
      </c>
      <c r="S117" s="1">
        <f t="shared" si="5"/>
        <v>8.6614588274982349</v>
      </c>
      <c r="T117" t="str">
        <f t="shared" si="6"/>
        <v>Beginner</v>
      </c>
      <c r="U117" t="str">
        <f t="shared" si="7"/>
        <v>Low Impact</v>
      </c>
    </row>
    <row r="118" spans="1:21" x14ac:dyDescent="0.3">
      <c r="A118" t="s">
        <v>352</v>
      </c>
      <c r="B118">
        <v>32</v>
      </c>
      <c r="C118" t="s">
        <v>27</v>
      </c>
      <c r="D118" t="s">
        <v>19</v>
      </c>
      <c r="E118" t="s">
        <v>35</v>
      </c>
      <c r="F118" t="s">
        <v>36</v>
      </c>
      <c r="G118">
        <v>8</v>
      </c>
      <c r="H118" t="s">
        <v>31</v>
      </c>
      <c r="I118" t="s">
        <v>22</v>
      </c>
      <c r="J118" t="s">
        <v>25</v>
      </c>
      <c r="K118" s="2">
        <v>68067</v>
      </c>
      <c r="L118" s="2">
        <v>67519</v>
      </c>
      <c r="M118" t="s">
        <v>32</v>
      </c>
      <c r="N118">
        <v>52</v>
      </c>
      <c r="O118" t="s">
        <v>25</v>
      </c>
      <c r="P118">
        <v>9</v>
      </c>
      <c r="Q118" s="1">
        <v>36.54</v>
      </c>
      <c r="R118" s="2">
        <f t="shared" si="4"/>
        <v>-548</v>
      </c>
      <c r="S118" s="1">
        <f t="shared" si="5"/>
        <v>-0.80508910338343098</v>
      </c>
      <c r="T118" t="str">
        <f t="shared" si="6"/>
        <v>Intermediate</v>
      </c>
      <c r="U118" t="str">
        <f t="shared" si="7"/>
        <v>Low Impact</v>
      </c>
    </row>
    <row r="119" spans="1:21" x14ac:dyDescent="0.3">
      <c r="A119" t="s">
        <v>563</v>
      </c>
      <c r="B119">
        <v>49</v>
      </c>
      <c r="C119" t="s">
        <v>18</v>
      </c>
      <c r="D119" t="s">
        <v>19</v>
      </c>
      <c r="E119" t="s">
        <v>44</v>
      </c>
      <c r="F119" t="s">
        <v>47</v>
      </c>
      <c r="G119">
        <v>27</v>
      </c>
      <c r="H119" t="s">
        <v>22</v>
      </c>
      <c r="I119" t="s">
        <v>37</v>
      </c>
      <c r="J119" t="s">
        <v>25</v>
      </c>
      <c r="K119" s="2">
        <v>50954</v>
      </c>
      <c r="L119" s="2">
        <v>42872</v>
      </c>
      <c r="M119" t="s">
        <v>38</v>
      </c>
      <c r="N119">
        <v>39</v>
      </c>
      <c r="O119" t="s">
        <v>23</v>
      </c>
      <c r="P119">
        <v>3</v>
      </c>
      <c r="Q119" s="1">
        <v>36.450000000000003</v>
      </c>
      <c r="R119" s="2">
        <f t="shared" si="4"/>
        <v>-8082</v>
      </c>
      <c r="S119" s="1">
        <f t="shared" si="5"/>
        <v>-15.861365152882993</v>
      </c>
      <c r="T119" t="str">
        <f t="shared" si="6"/>
        <v>Expert</v>
      </c>
      <c r="U119" t="str">
        <f t="shared" si="7"/>
        <v>Medium Impact</v>
      </c>
    </row>
    <row r="120" spans="1:21" x14ac:dyDescent="0.3">
      <c r="A120" t="s">
        <v>683</v>
      </c>
      <c r="B120">
        <v>36</v>
      </c>
      <c r="C120" t="s">
        <v>27</v>
      </c>
      <c r="D120" t="s">
        <v>28</v>
      </c>
      <c r="E120" t="s">
        <v>51</v>
      </c>
      <c r="F120" t="s">
        <v>130</v>
      </c>
      <c r="G120">
        <v>10</v>
      </c>
      <c r="H120" t="s">
        <v>22</v>
      </c>
      <c r="I120" t="s">
        <v>31</v>
      </c>
      <c r="J120" t="s">
        <v>23</v>
      </c>
      <c r="K120" s="2">
        <v>73856</v>
      </c>
      <c r="L120" s="2">
        <v>92991</v>
      </c>
      <c r="M120" t="s">
        <v>32</v>
      </c>
      <c r="N120">
        <v>52</v>
      </c>
      <c r="O120" t="s">
        <v>23</v>
      </c>
      <c r="P120">
        <v>7</v>
      </c>
      <c r="Q120" s="1">
        <v>36.43</v>
      </c>
      <c r="R120" s="2">
        <f t="shared" si="4"/>
        <v>19135</v>
      </c>
      <c r="S120" s="1">
        <f t="shared" si="5"/>
        <v>25.908524696707108</v>
      </c>
      <c r="T120" t="str">
        <f t="shared" si="6"/>
        <v>Intermediate</v>
      </c>
      <c r="U120" t="str">
        <f t="shared" si="7"/>
        <v>Low Impact</v>
      </c>
    </row>
    <row r="121" spans="1:21" x14ac:dyDescent="0.3">
      <c r="A121" t="s">
        <v>1420</v>
      </c>
      <c r="B121">
        <v>46</v>
      </c>
      <c r="C121" t="s">
        <v>18</v>
      </c>
      <c r="D121" t="s">
        <v>28</v>
      </c>
      <c r="E121" t="s">
        <v>44</v>
      </c>
      <c r="F121" t="s">
        <v>57</v>
      </c>
      <c r="G121">
        <v>20</v>
      </c>
      <c r="H121" t="s">
        <v>37</v>
      </c>
      <c r="I121" t="s">
        <v>37</v>
      </c>
      <c r="J121" t="s">
        <v>25</v>
      </c>
      <c r="K121" s="2">
        <v>59754</v>
      </c>
      <c r="L121" s="2">
        <v>58322</v>
      </c>
      <c r="M121" t="s">
        <v>38</v>
      </c>
      <c r="N121">
        <v>45</v>
      </c>
      <c r="O121" t="s">
        <v>23</v>
      </c>
      <c r="P121">
        <v>5</v>
      </c>
      <c r="Q121" s="1">
        <v>36.43</v>
      </c>
      <c r="R121" s="2">
        <f t="shared" si="4"/>
        <v>-1432</v>
      </c>
      <c r="S121" s="1">
        <f t="shared" si="5"/>
        <v>-2.3964922850353112</v>
      </c>
      <c r="T121" t="str">
        <f t="shared" si="6"/>
        <v>Expert</v>
      </c>
      <c r="U121" t="str">
        <f t="shared" si="7"/>
        <v>Medium Impact</v>
      </c>
    </row>
    <row r="122" spans="1:21" x14ac:dyDescent="0.3">
      <c r="A122" t="s">
        <v>81</v>
      </c>
      <c r="B122">
        <v>40</v>
      </c>
      <c r="C122" t="s">
        <v>54</v>
      </c>
      <c r="D122" t="s">
        <v>40</v>
      </c>
      <c r="E122" t="s">
        <v>41</v>
      </c>
      <c r="F122" t="s">
        <v>42</v>
      </c>
      <c r="G122">
        <v>15</v>
      </c>
      <c r="H122" t="s">
        <v>37</v>
      </c>
      <c r="I122" t="s">
        <v>22</v>
      </c>
      <c r="J122" t="s">
        <v>25</v>
      </c>
      <c r="K122" s="2">
        <v>32911</v>
      </c>
      <c r="L122" s="2">
        <v>30569</v>
      </c>
      <c r="M122" t="s">
        <v>32</v>
      </c>
      <c r="N122">
        <v>42</v>
      </c>
      <c r="O122" t="s">
        <v>23</v>
      </c>
      <c r="P122">
        <v>9</v>
      </c>
      <c r="Q122" s="1">
        <v>36.43</v>
      </c>
      <c r="R122" s="2">
        <f t="shared" si="4"/>
        <v>-2342</v>
      </c>
      <c r="S122" s="1">
        <f t="shared" si="5"/>
        <v>-7.1161617696210993</v>
      </c>
      <c r="T122" t="str">
        <f t="shared" si="6"/>
        <v>Expert</v>
      </c>
      <c r="U122" t="str">
        <f t="shared" si="7"/>
        <v>Low Impact</v>
      </c>
    </row>
    <row r="123" spans="1:21" x14ac:dyDescent="0.3">
      <c r="A123" t="s">
        <v>119</v>
      </c>
      <c r="B123">
        <v>23</v>
      </c>
      <c r="C123" t="s">
        <v>27</v>
      </c>
      <c r="D123" t="s">
        <v>19</v>
      </c>
      <c r="E123" t="s">
        <v>20</v>
      </c>
      <c r="F123" t="s">
        <v>21</v>
      </c>
      <c r="G123">
        <v>1</v>
      </c>
      <c r="H123" t="s">
        <v>37</v>
      </c>
      <c r="I123" t="s">
        <v>22</v>
      </c>
      <c r="J123" t="s">
        <v>25</v>
      </c>
      <c r="K123" s="2">
        <v>79115</v>
      </c>
      <c r="L123" s="2">
        <v>85106</v>
      </c>
      <c r="M123" t="s">
        <v>32</v>
      </c>
      <c r="N123">
        <v>46</v>
      </c>
      <c r="O123" t="s">
        <v>25</v>
      </c>
      <c r="P123">
        <v>4</v>
      </c>
      <c r="Q123" s="1">
        <v>36.409999999999997</v>
      </c>
      <c r="R123" s="2">
        <f t="shared" si="4"/>
        <v>5991</v>
      </c>
      <c r="S123" s="1">
        <f t="shared" si="5"/>
        <v>7.5725210137142129</v>
      </c>
      <c r="T123" t="str">
        <f t="shared" si="6"/>
        <v>Beginner</v>
      </c>
      <c r="U123" t="str">
        <f t="shared" si="7"/>
        <v>Low Impact</v>
      </c>
    </row>
    <row r="124" spans="1:21" x14ac:dyDescent="0.3">
      <c r="A124" t="s">
        <v>731</v>
      </c>
      <c r="B124">
        <v>40</v>
      </c>
      <c r="C124" t="s">
        <v>18</v>
      </c>
      <c r="D124" t="s">
        <v>40</v>
      </c>
      <c r="E124" t="s">
        <v>35</v>
      </c>
      <c r="F124" t="s">
        <v>132</v>
      </c>
      <c r="G124">
        <v>15</v>
      </c>
      <c r="H124" t="s">
        <v>37</v>
      </c>
      <c r="I124" t="s">
        <v>22</v>
      </c>
      <c r="J124" t="s">
        <v>25</v>
      </c>
      <c r="K124" s="2">
        <v>48019</v>
      </c>
      <c r="L124" s="2">
        <v>53032</v>
      </c>
      <c r="M124" t="s">
        <v>32</v>
      </c>
      <c r="N124">
        <v>46</v>
      </c>
      <c r="O124" t="s">
        <v>25</v>
      </c>
      <c r="P124">
        <v>7</v>
      </c>
      <c r="Q124" s="1">
        <v>36.409999999999997</v>
      </c>
      <c r="R124" s="2">
        <f t="shared" si="4"/>
        <v>5013</v>
      </c>
      <c r="S124" s="1">
        <f t="shared" si="5"/>
        <v>10.439617651346342</v>
      </c>
      <c r="T124" t="str">
        <f t="shared" si="6"/>
        <v>Expert</v>
      </c>
      <c r="U124" t="str">
        <f t="shared" si="7"/>
        <v>Low Impact</v>
      </c>
    </row>
    <row r="125" spans="1:21" x14ac:dyDescent="0.3">
      <c r="A125" t="s">
        <v>1995</v>
      </c>
      <c r="B125">
        <v>55</v>
      </c>
      <c r="C125" t="s">
        <v>27</v>
      </c>
      <c r="D125" t="s">
        <v>28</v>
      </c>
      <c r="E125" t="s">
        <v>44</v>
      </c>
      <c r="F125" t="s">
        <v>47</v>
      </c>
      <c r="G125">
        <v>31</v>
      </c>
      <c r="H125" t="s">
        <v>22</v>
      </c>
      <c r="I125" t="s">
        <v>22</v>
      </c>
      <c r="J125" t="s">
        <v>25</v>
      </c>
      <c r="K125" s="2">
        <v>36402</v>
      </c>
      <c r="L125" s="2">
        <v>49848</v>
      </c>
      <c r="M125" t="s">
        <v>38</v>
      </c>
      <c r="N125">
        <v>54</v>
      </c>
      <c r="O125" t="s">
        <v>23</v>
      </c>
      <c r="P125">
        <v>7</v>
      </c>
      <c r="Q125" s="1">
        <v>36.409999999999997</v>
      </c>
      <c r="R125" s="2">
        <f t="shared" si="4"/>
        <v>13446</v>
      </c>
      <c r="S125" s="1">
        <f t="shared" si="5"/>
        <v>36.93753090489534</v>
      </c>
      <c r="T125" t="str">
        <f t="shared" si="6"/>
        <v>Expert</v>
      </c>
      <c r="U125" t="str">
        <f t="shared" si="7"/>
        <v>Medium Impact</v>
      </c>
    </row>
    <row r="126" spans="1:21" x14ac:dyDescent="0.3">
      <c r="A126" t="s">
        <v>1755</v>
      </c>
      <c r="B126">
        <v>22</v>
      </c>
      <c r="C126" t="s">
        <v>27</v>
      </c>
      <c r="D126" t="s">
        <v>40</v>
      </c>
      <c r="E126" t="s">
        <v>41</v>
      </c>
      <c r="F126" t="s">
        <v>42</v>
      </c>
      <c r="G126">
        <v>0</v>
      </c>
      <c r="H126" t="s">
        <v>31</v>
      </c>
      <c r="I126" t="s">
        <v>22</v>
      </c>
      <c r="J126" t="s">
        <v>25</v>
      </c>
      <c r="K126" s="2">
        <v>98879</v>
      </c>
      <c r="L126" s="2">
        <v>103427</v>
      </c>
      <c r="M126" t="s">
        <v>32</v>
      </c>
      <c r="N126">
        <v>43</v>
      </c>
      <c r="O126" t="s">
        <v>23</v>
      </c>
      <c r="P126">
        <v>6</v>
      </c>
      <c r="Q126" s="1">
        <v>36.36</v>
      </c>
      <c r="R126" s="2">
        <f t="shared" si="4"/>
        <v>4548</v>
      </c>
      <c r="S126" s="1">
        <f t="shared" si="5"/>
        <v>4.5995610797034754</v>
      </c>
      <c r="T126" t="str">
        <f t="shared" si="6"/>
        <v>Beginner</v>
      </c>
      <c r="U126" t="str">
        <f t="shared" si="7"/>
        <v>Low Impact</v>
      </c>
    </row>
    <row r="127" spans="1:21" x14ac:dyDescent="0.3">
      <c r="A127" t="s">
        <v>1602</v>
      </c>
      <c r="B127">
        <v>52</v>
      </c>
      <c r="C127" t="s">
        <v>54</v>
      </c>
      <c r="D127" t="s">
        <v>40</v>
      </c>
      <c r="E127" t="s">
        <v>41</v>
      </c>
      <c r="F127" t="s">
        <v>42</v>
      </c>
      <c r="G127">
        <v>26</v>
      </c>
      <c r="H127" t="s">
        <v>22</v>
      </c>
      <c r="I127" t="s">
        <v>22</v>
      </c>
      <c r="J127" t="s">
        <v>23</v>
      </c>
      <c r="K127" s="2">
        <v>64928</v>
      </c>
      <c r="L127" s="2">
        <v>88297</v>
      </c>
      <c r="M127" t="s">
        <v>24</v>
      </c>
      <c r="N127">
        <v>35</v>
      </c>
      <c r="O127" t="s">
        <v>25</v>
      </c>
      <c r="P127">
        <v>8</v>
      </c>
      <c r="Q127" s="1">
        <v>36.299999999999997</v>
      </c>
      <c r="R127" s="2">
        <f t="shared" si="4"/>
        <v>23369</v>
      </c>
      <c r="S127" s="1">
        <f t="shared" si="5"/>
        <v>35.992175948743224</v>
      </c>
      <c r="T127" t="str">
        <f t="shared" si="6"/>
        <v>Expert</v>
      </c>
      <c r="U127" t="str">
        <f t="shared" si="7"/>
        <v>High Impact</v>
      </c>
    </row>
    <row r="128" spans="1:21" x14ac:dyDescent="0.3">
      <c r="A128" t="s">
        <v>1462</v>
      </c>
      <c r="B128">
        <v>25</v>
      </c>
      <c r="C128" t="s">
        <v>27</v>
      </c>
      <c r="D128" t="s">
        <v>19</v>
      </c>
      <c r="E128" t="s">
        <v>29</v>
      </c>
      <c r="F128" t="s">
        <v>102</v>
      </c>
      <c r="G128">
        <v>0</v>
      </c>
      <c r="H128" t="s">
        <v>37</v>
      </c>
      <c r="I128" t="s">
        <v>31</v>
      </c>
      <c r="J128" t="s">
        <v>25</v>
      </c>
      <c r="K128" s="2">
        <v>95149</v>
      </c>
      <c r="L128" s="2">
        <v>96958</v>
      </c>
      <c r="M128" t="s">
        <v>32</v>
      </c>
      <c r="N128">
        <v>43</v>
      </c>
      <c r="O128" t="s">
        <v>23</v>
      </c>
      <c r="P128">
        <v>4</v>
      </c>
      <c r="Q128" s="1">
        <v>36.28</v>
      </c>
      <c r="R128" s="2">
        <f t="shared" si="4"/>
        <v>1809</v>
      </c>
      <c r="S128" s="1">
        <f t="shared" si="5"/>
        <v>1.9012285993546965</v>
      </c>
      <c r="T128" t="str">
        <f t="shared" si="6"/>
        <v>Beginner</v>
      </c>
      <c r="U128" t="str">
        <f t="shared" si="7"/>
        <v>Low Impact</v>
      </c>
    </row>
    <row r="129" spans="1:21" x14ac:dyDescent="0.3">
      <c r="A129" t="s">
        <v>351</v>
      </c>
      <c r="B129">
        <v>54</v>
      </c>
      <c r="C129" t="s">
        <v>54</v>
      </c>
      <c r="D129" t="s">
        <v>40</v>
      </c>
      <c r="E129" t="s">
        <v>51</v>
      </c>
      <c r="F129" t="s">
        <v>52</v>
      </c>
      <c r="G129">
        <v>31</v>
      </c>
      <c r="H129" t="s">
        <v>37</v>
      </c>
      <c r="I129" t="s">
        <v>22</v>
      </c>
      <c r="J129" t="s">
        <v>23</v>
      </c>
      <c r="K129" s="2">
        <v>114328</v>
      </c>
      <c r="L129" s="2">
        <v>105901</v>
      </c>
      <c r="M129" t="s">
        <v>32</v>
      </c>
      <c r="N129">
        <v>43</v>
      </c>
      <c r="O129" t="s">
        <v>23</v>
      </c>
      <c r="P129">
        <v>3</v>
      </c>
      <c r="Q129" s="1">
        <v>36.22</v>
      </c>
      <c r="R129" s="2">
        <f t="shared" si="4"/>
        <v>-8427</v>
      </c>
      <c r="S129" s="1">
        <f t="shared" si="5"/>
        <v>-7.3708977678259044</v>
      </c>
      <c r="T129" t="str">
        <f t="shared" si="6"/>
        <v>Expert</v>
      </c>
      <c r="U129" t="str">
        <f t="shared" si="7"/>
        <v>Low Impact</v>
      </c>
    </row>
    <row r="130" spans="1:21" x14ac:dyDescent="0.3">
      <c r="A130" t="s">
        <v>289</v>
      </c>
      <c r="B130">
        <v>32</v>
      </c>
      <c r="C130" t="s">
        <v>27</v>
      </c>
      <c r="D130" t="s">
        <v>28</v>
      </c>
      <c r="E130" t="s">
        <v>44</v>
      </c>
      <c r="F130" t="s">
        <v>45</v>
      </c>
      <c r="G130">
        <v>6</v>
      </c>
      <c r="H130" t="s">
        <v>22</v>
      </c>
      <c r="I130" t="s">
        <v>37</v>
      </c>
      <c r="J130" t="s">
        <v>23</v>
      </c>
      <c r="K130" s="2">
        <v>79786</v>
      </c>
      <c r="L130" s="2">
        <v>65340</v>
      </c>
      <c r="M130" t="s">
        <v>38</v>
      </c>
      <c r="N130">
        <v>41</v>
      </c>
      <c r="O130" t="s">
        <v>25</v>
      </c>
      <c r="P130">
        <v>9</v>
      </c>
      <c r="Q130" s="1">
        <v>36.17</v>
      </c>
      <c r="R130" s="2">
        <f t="shared" ref="R130:R193" si="8">L130-K130</f>
        <v>-14446</v>
      </c>
      <c r="S130" s="1">
        <f t="shared" ref="S130:S193" si="9">(L130-K130)/K130*100</f>
        <v>-18.105933371769485</v>
      </c>
      <c r="T130" t="str">
        <f t="shared" ref="T130:T193" si="10">IF(G130&lt;5,"Beginner",IF(G130&lt;15,"Intermediate","Expert"))</f>
        <v>Intermediate</v>
      </c>
      <c r="U130" t="str">
        <f t="shared" ref="U130:U193" si="11">IF(M130="Replaced","High Impact",IF(M130="Modified","Medium Impact","Low Impact"))</f>
        <v>Medium Impact</v>
      </c>
    </row>
    <row r="131" spans="1:21" x14ac:dyDescent="0.3">
      <c r="A131" t="s">
        <v>1842</v>
      </c>
      <c r="B131">
        <v>54</v>
      </c>
      <c r="C131" t="s">
        <v>54</v>
      </c>
      <c r="D131" t="s">
        <v>40</v>
      </c>
      <c r="E131" t="s">
        <v>59</v>
      </c>
      <c r="F131" t="s">
        <v>93</v>
      </c>
      <c r="G131">
        <v>28</v>
      </c>
      <c r="H131" t="s">
        <v>31</v>
      </c>
      <c r="I131" t="s">
        <v>37</v>
      </c>
      <c r="J131" t="s">
        <v>23</v>
      </c>
      <c r="K131" s="2">
        <v>68187</v>
      </c>
      <c r="L131" s="2">
        <v>68898</v>
      </c>
      <c r="M131" t="s">
        <v>38</v>
      </c>
      <c r="N131">
        <v>36</v>
      </c>
      <c r="O131" t="s">
        <v>23</v>
      </c>
      <c r="P131">
        <v>9</v>
      </c>
      <c r="Q131" s="1">
        <v>36.11</v>
      </c>
      <c r="R131" s="2">
        <f t="shared" si="8"/>
        <v>711</v>
      </c>
      <c r="S131" s="1">
        <f t="shared" si="9"/>
        <v>1.0427207532227551</v>
      </c>
      <c r="T131" t="str">
        <f t="shared" si="10"/>
        <v>Expert</v>
      </c>
      <c r="U131" t="str">
        <f t="shared" si="11"/>
        <v>Medium Impact</v>
      </c>
    </row>
    <row r="132" spans="1:21" x14ac:dyDescent="0.3">
      <c r="A132" t="s">
        <v>1673</v>
      </c>
      <c r="B132">
        <v>57</v>
      </c>
      <c r="C132" t="s">
        <v>27</v>
      </c>
      <c r="D132" t="s">
        <v>34</v>
      </c>
      <c r="E132" t="s">
        <v>35</v>
      </c>
      <c r="F132" t="s">
        <v>98</v>
      </c>
      <c r="G132">
        <v>31</v>
      </c>
      <c r="H132" t="s">
        <v>31</v>
      </c>
      <c r="I132" t="s">
        <v>37</v>
      </c>
      <c r="J132" t="s">
        <v>25</v>
      </c>
      <c r="K132" s="2">
        <v>95263</v>
      </c>
      <c r="L132" s="2">
        <v>102157</v>
      </c>
      <c r="M132" t="s">
        <v>38</v>
      </c>
      <c r="N132">
        <v>43</v>
      </c>
      <c r="O132" t="s">
        <v>25</v>
      </c>
      <c r="P132">
        <v>6</v>
      </c>
      <c r="Q132" s="1">
        <v>36.090000000000003</v>
      </c>
      <c r="R132" s="2">
        <f t="shared" si="8"/>
        <v>6894</v>
      </c>
      <c r="S132" s="1">
        <f t="shared" si="9"/>
        <v>7.2368075748191849</v>
      </c>
      <c r="T132" t="str">
        <f t="shared" si="10"/>
        <v>Expert</v>
      </c>
      <c r="U132" t="str">
        <f t="shared" si="11"/>
        <v>Medium Impact</v>
      </c>
    </row>
    <row r="133" spans="1:21" x14ac:dyDescent="0.3">
      <c r="A133" t="s">
        <v>574</v>
      </c>
      <c r="B133">
        <v>22</v>
      </c>
      <c r="C133" t="s">
        <v>54</v>
      </c>
      <c r="D133" t="s">
        <v>28</v>
      </c>
      <c r="E133" t="s">
        <v>29</v>
      </c>
      <c r="F133" t="s">
        <v>104</v>
      </c>
      <c r="G133">
        <v>0</v>
      </c>
      <c r="H133" t="s">
        <v>37</v>
      </c>
      <c r="I133" t="s">
        <v>31</v>
      </c>
      <c r="J133" t="s">
        <v>23</v>
      </c>
      <c r="K133" s="2">
        <v>32610</v>
      </c>
      <c r="L133" s="2">
        <v>32961</v>
      </c>
      <c r="M133" t="s">
        <v>32</v>
      </c>
      <c r="N133">
        <v>36</v>
      </c>
      <c r="O133" t="s">
        <v>23</v>
      </c>
      <c r="P133">
        <v>9</v>
      </c>
      <c r="Q133" s="1">
        <v>35.979999999999997</v>
      </c>
      <c r="R133" s="2">
        <f t="shared" si="8"/>
        <v>351</v>
      </c>
      <c r="S133" s="1">
        <f t="shared" si="9"/>
        <v>1.0763569457221711</v>
      </c>
      <c r="T133" t="str">
        <f t="shared" si="10"/>
        <v>Beginner</v>
      </c>
      <c r="U133" t="str">
        <f t="shared" si="11"/>
        <v>Low Impact</v>
      </c>
    </row>
    <row r="134" spans="1:21" x14ac:dyDescent="0.3">
      <c r="A134" t="s">
        <v>1088</v>
      </c>
      <c r="B134">
        <v>23</v>
      </c>
      <c r="C134" t="s">
        <v>54</v>
      </c>
      <c r="D134" t="s">
        <v>28</v>
      </c>
      <c r="E134" t="s">
        <v>29</v>
      </c>
      <c r="F134" t="s">
        <v>30</v>
      </c>
      <c r="G134">
        <v>1</v>
      </c>
      <c r="H134" t="s">
        <v>37</v>
      </c>
      <c r="I134" t="s">
        <v>37</v>
      </c>
      <c r="J134" t="s">
        <v>23</v>
      </c>
      <c r="K134" s="2">
        <v>75836</v>
      </c>
      <c r="L134" s="2">
        <v>89492</v>
      </c>
      <c r="M134" t="s">
        <v>38</v>
      </c>
      <c r="N134">
        <v>37</v>
      </c>
      <c r="O134" t="s">
        <v>23</v>
      </c>
      <c r="P134">
        <v>8</v>
      </c>
      <c r="Q134" s="1">
        <v>35.96</v>
      </c>
      <c r="R134" s="2">
        <f t="shared" si="8"/>
        <v>13656</v>
      </c>
      <c r="S134" s="1">
        <f t="shared" si="9"/>
        <v>18.007278864919034</v>
      </c>
      <c r="T134" t="str">
        <f t="shared" si="10"/>
        <v>Beginner</v>
      </c>
      <c r="U134" t="str">
        <f t="shared" si="11"/>
        <v>Medium Impact</v>
      </c>
    </row>
    <row r="135" spans="1:21" x14ac:dyDescent="0.3">
      <c r="A135" t="s">
        <v>795</v>
      </c>
      <c r="B135">
        <v>36</v>
      </c>
      <c r="C135" t="s">
        <v>18</v>
      </c>
      <c r="D135" t="s">
        <v>28</v>
      </c>
      <c r="E135" t="s">
        <v>29</v>
      </c>
      <c r="F135" t="s">
        <v>30</v>
      </c>
      <c r="G135">
        <v>12</v>
      </c>
      <c r="H135" t="s">
        <v>22</v>
      </c>
      <c r="I135" t="s">
        <v>37</v>
      </c>
      <c r="J135" t="s">
        <v>25</v>
      </c>
      <c r="K135" s="2">
        <v>106441</v>
      </c>
      <c r="L135" s="2">
        <v>104035</v>
      </c>
      <c r="M135" t="s">
        <v>38</v>
      </c>
      <c r="N135">
        <v>36</v>
      </c>
      <c r="O135" t="s">
        <v>23</v>
      </c>
      <c r="P135">
        <v>5</v>
      </c>
      <c r="Q135" s="1">
        <v>35.950000000000003</v>
      </c>
      <c r="R135" s="2">
        <f t="shared" si="8"/>
        <v>-2406</v>
      </c>
      <c r="S135" s="1">
        <f t="shared" si="9"/>
        <v>-2.2604071739273399</v>
      </c>
      <c r="T135" t="str">
        <f t="shared" si="10"/>
        <v>Intermediate</v>
      </c>
      <c r="U135" t="str">
        <f t="shared" si="11"/>
        <v>Medium Impact</v>
      </c>
    </row>
    <row r="136" spans="1:21" x14ac:dyDescent="0.3">
      <c r="A136" t="s">
        <v>2051</v>
      </c>
      <c r="B136">
        <v>49</v>
      </c>
      <c r="C136" t="s">
        <v>27</v>
      </c>
      <c r="D136" t="s">
        <v>19</v>
      </c>
      <c r="E136" t="s">
        <v>44</v>
      </c>
      <c r="F136" t="s">
        <v>45</v>
      </c>
      <c r="G136">
        <v>27</v>
      </c>
      <c r="H136" t="s">
        <v>37</v>
      </c>
      <c r="I136" t="s">
        <v>37</v>
      </c>
      <c r="J136" t="s">
        <v>25</v>
      </c>
      <c r="K136" s="2">
        <v>47032</v>
      </c>
      <c r="L136" s="2">
        <v>46269</v>
      </c>
      <c r="M136" t="s">
        <v>38</v>
      </c>
      <c r="N136">
        <v>47</v>
      </c>
      <c r="O136" t="s">
        <v>25</v>
      </c>
      <c r="P136">
        <v>9</v>
      </c>
      <c r="Q136" s="1">
        <v>35.880000000000003</v>
      </c>
      <c r="R136" s="2">
        <f t="shared" si="8"/>
        <v>-763</v>
      </c>
      <c r="S136" s="1">
        <f t="shared" si="9"/>
        <v>-1.622299710835176</v>
      </c>
      <c r="T136" t="str">
        <f t="shared" si="10"/>
        <v>Expert</v>
      </c>
      <c r="U136" t="str">
        <f t="shared" si="11"/>
        <v>Medium Impact</v>
      </c>
    </row>
    <row r="137" spans="1:21" x14ac:dyDescent="0.3">
      <c r="A137" t="s">
        <v>1027</v>
      </c>
      <c r="B137">
        <v>25</v>
      </c>
      <c r="C137" t="s">
        <v>27</v>
      </c>
      <c r="D137" t="s">
        <v>28</v>
      </c>
      <c r="E137" t="s">
        <v>29</v>
      </c>
      <c r="F137" t="s">
        <v>30</v>
      </c>
      <c r="G137">
        <v>1</v>
      </c>
      <c r="H137" t="s">
        <v>31</v>
      </c>
      <c r="I137" t="s">
        <v>22</v>
      </c>
      <c r="J137" t="s">
        <v>25</v>
      </c>
      <c r="K137" s="2">
        <v>43303</v>
      </c>
      <c r="L137" s="2">
        <v>42950</v>
      </c>
      <c r="M137" t="s">
        <v>32</v>
      </c>
      <c r="N137">
        <v>35</v>
      </c>
      <c r="O137" t="s">
        <v>23</v>
      </c>
      <c r="P137">
        <v>8</v>
      </c>
      <c r="Q137" s="1">
        <v>35.840000000000003</v>
      </c>
      <c r="R137" s="2">
        <f t="shared" si="8"/>
        <v>-353</v>
      </c>
      <c r="S137" s="1">
        <f t="shared" si="9"/>
        <v>-0.81518601482576269</v>
      </c>
      <c r="T137" t="str">
        <f t="shared" si="10"/>
        <v>Beginner</v>
      </c>
      <c r="U137" t="str">
        <f t="shared" si="11"/>
        <v>Low Impact</v>
      </c>
    </row>
    <row r="138" spans="1:21" x14ac:dyDescent="0.3">
      <c r="A138" t="s">
        <v>463</v>
      </c>
      <c r="B138">
        <v>34</v>
      </c>
      <c r="C138" t="s">
        <v>54</v>
      </c>
      <c r="D138" t="s">
        <v>34</v>
      </c>
      <c r="E138" t="s">
        <v>51</v>
      </c>
      <c r="F138" t="s">
        <v>130</v>
      </c>
      <c r="G138">
        <v>10</v>
      </c>
      <c r="H138" t="s">
        <v>37</v>
      </c>
      <c r="I138" t="s">
        <v>31</v>
      </c>
      <c r="J138" t="s">
        <v>23</v>
      </c>
      <c r="K138" s="2">
        <v>111554</v>
      </c>
      <c r="L138" s="2">
        <v>115478</v>
      </c>
      <c r="M138" t="s">
        <v>32</v>
      </c>
      <c r="N138">
        <v>47</v>
      </c>
      <c r="O138" t="s">
        <v>23</v>
      </c>
      <c r="P138">
        <v>3</v>
      </c>
      <c r="Q138" s="1">
        <v>35.770000000000003</v>
      </c>
      <c r="R138" s="2">
        <f t="shared" si="8"/>
        <v>3924</v>
      </c>
      <c r="S138" s="1">
        <f t="shared" si="9"/>
        <v>3.5175789303834915</v>
      </c>
      <c r="T138" t="str">
        <f t="shared" si="10"/>
        <v>Intermediate</v>
      </c>
      <c r="U138" t="str">
        <f t="shared" si="11"/>
        <v>Low Impact</v>
      </c>
    </row>
    <row r="139" spans="1:21" x14ac:dyDescent="0.3">
      <c r="A139" t="s">
        <v>1962</v>
      </c>
      <c r="B139">
        <v>23</v>
      </c>
      <c r="C139" t="s">
        <v>27</v>
      </c>
      <c r="D139" t="s">
        <v>28</v>
      </c>
      <c r="E139" t="s">
        <v>59</v>
      </c>
      <c r="F139" t="s">
        <v>60</v>
      </c>
      <c r="G139">
        <v>0</v>
      </c>
      <c r="H139" t="s">
        <v>31</v>
      </c>
      <c r="I139" t="s">
        <v>31</v>
      </c>
      <c r="J139" t="s">
        <v>23</v>
      </c>
      <c r="K139" s="2">
        <v>89402</v>
      </c>
      <c r="L139" s="2">
        <v>85711</v>
      </c>
      <c r="M139" t="s">
        <v>32</v>
      </c>
      <c r="N139">
        <v>49</v>
      </c>
      <c r="O139" t="s">
        <v>25</v>
      </c>
      <c r="P139">
        <v>5</v>
      </c>
      <c r="Q139" s="1">
        <v>35.75</v>
      </c>
      <c r="R139" s="2">
        <f t="shared" si="8"/>
        <v>-3691</v>
      </c>
      <c r="S139" s="1">
        <f t="shared" si="9"/>
        <v>-4.1285429856155345</v>
      </c>
      <c r="T139" t="str">
        <f t="shared" si="10"/>
        <v>Beginner</v>
      </c>
      <c r="U139" t="str">
        <f t="shared" si="11"/>
        <v>Low Impact</v>
      </c>
    </row>
    <row r="140" spans="1:21" x14ac:dyDescent="0.3">
      <c r="A140" t="s">
        <v>95</v>
      </c>
      <c r="B140">
        <v>27</v>
      </c>
      <c r="C140" t="s">
        <v>27</v>
      </c>
      <c r="D140" t="s">
        <v>34</v>
      </c>
      <c r="E140" t="s">
        <v>59</v>
      </c>
      <c r="F140" t="s">
        <v>93</v>
      </c>
      <c r="G140">
        <v>3</v>
      </c>
      <c r="H140" t="s">
        <v>37</v>
      </c>
      <c r="I140" t="s">
        <v>37</v>
      </c>
      <c r="J140" t="s">
        <v>25</v>
      </c>
      <c r="K140" s="2">
        <v>62635</v>
      </c>
      <c r="L140" s="2">
        <v>56661</v>
      </c>
      <c r="M140" t="s">
        <v>38</v>
      </c>
      <c r="N140">
        <v>51</v>
      </c>
      <c r="O140" t="s">
        <v>25</v>
      </c>
      <c r="P140">
        <v>8</v>
      </c>
      <c r="Q140" s="1">
        <v>35.700000000000003</v>
      </c>
      <c r="R140" s="2">
        <f t="shared" si="8"/>
        <v>-5974</v>
      </c>
      <c r="S140" s="1">
        <f t="shared" si="9"/>
        <v>-9.5377983555520078</v>
      </c>
      <c r="T140" t="str">
        <f t="shared" si="10"/>
        <v>Beginner</v>
      </c>
      <c r="U140" t="str">
        <f t="shared" si="11"/>
        <v>Medium Impact</v>
      </c>
    </row>
    <row r="141" spans="1:21" x14ac:dyDescent="0.3">
      <c r="A141" t="s">
        <v>613</v>
      </c>
      <c r="B141">
        <v>43</v>
      </c>
      <c r="C141" t="s">
        <v>54</v>
      </c>
      <c r="D141" t="s">
        <v>40</v>
      </c>
      <c r="E141" t="s">
        <v>51</v>
      </c>
      <c r="F141" t="s">
        <v>130</v>
      </c>
      <c r="G141">
        <v>17</v>
      </c>
      <c r="H141" t="s">
        <v>31</v>
      </c>
      <c r="I141" t="s">
        <v>37</v>
      </c>
      <c r="J141" t="s">
        <v>23</v>
      </c>
      <c r="K141" s="2">
        <v>84122</v>
      </c>
      <c r="L141" s="2">
        <v>86112</v>
      </c>
      <c r="M141" t="s">
        <v>38</v>
      </c>
      <c r="N141">
        <v>49</v>
      </c>
      <c r="O141" t="s">
        <v>25</v>
      </c>
      <c r="P141">
        <v>3</v>
      </c>
      <c r="Q141" s="1">
        <v>35.630000000000003</v>
      </c>
      <c r="R141" s="2">
        <f t="shared" si="8"/>
        <v>1990</v>
      </c>
      <c r="S141" s="1">
        <f t="shared" si="9"/>
        <v>2.3656118494567413</v>
      </c>
      <c r="T141" t="str">
        <f t="shared" si="10"/>
        <v>Expert</v>
      </c>
      <c r="U141" t="str">
        <f t="shared" si="11"/>
        <v>Medium Impact</v>
      </c>
    </row>
    <row r="142" spans="1:21" x14ac:dyDescent="0.3">
      <c r="A142" t="s">
        <v>983</v>
      </c>
      <c r="B142">
        <v>22</v>
      </c>
      <c r="C142" t="s">
        <v>27</v>
      </c>
      <c r="D142" t="s">
        <v>40</v>
      </c>
      <c r="E142" t="s">
        <v>20</v>
      </c>
      <c r="F142" t="s">
        <v>88</v>
      </c>
      <c r="G142">
        <v>0</v>
      </c>
      <c r="H142" t="s">
        <v>37</v>
      </c>
      <c r="I142" t="s">
        <v>31</v>
      </c>
      <c r="J142" t="s">
        <v>23</v>
      </c>
      <c r="K142" s="2">
        <v>73226</v>
      </c>
      <c r="L142" s="2">
        <v>79415</v>
      </c>
      <c r="M142" t="s">
        <v>32</v>
      </c>
      <c r="N142">
        <v>48</v>
      </c>
      <c r="O142" t="s">
        <v>25</v>
      </c>
      <c r="P142">
        <v>9</v>
      </c>
      <c r="Q142" s="1">
        <v>35.61</v>
      </c>
      <c r="R142" s="2">
        <f t="shared" si="8"/>
        <v>6189</v>
      </c>
      <c r="S142" s="1">
        <f t="shared" si="9"/>
        <v>8.4519159861251474</v>
      </c>
      <c r="T142" t="str">
        <f t="shared" si="10"/>
        <v>Beginner</v>
      </c>
      <c r="U142" t="str">
        <f t="shared" si="11"/>
        <v>Low Impact</v>
      </c>
    </row>
    <row r="143" spans="1:21" x14ac:dyDescent="0.3">
      <c r="A143" t="s">
        <v>906</v>
      </c>
      <c r="B143">
        <v>22</v>
      </c>
      <c r="C143" t="s">
        <v>54</v>
      </c>
      <c r="D143" t="s">
        <v>19</v>
      </c>
      <c r="E143" t="s">
        <v>59</v>
      </c>
      <c r="F143" t="s">
        <v>77</v>
      </c>
      <c r="G143">
        <v>0</v>
      </c>
      <c r="H143" t="s">
        <v>37</v>
      </c>
      <c r="I143" t="s">
        <v>22</v>
      </c>
      <c r="J143" t="s">
        <v>25</v>
      </c>
      <c r="K143" s="2">
        <v>85565</v>
      </c>
      <c r="L143" s="2">
        <v>94243</v>
      </c>
      <c r="M143" t="s">
        <v>32</v>
      </c>
      <c r="N143">
        <v>44</v>
      </c>
      <c r="O143" t="s">
        <v>23</v>
      </c>
      <c r="P143">
        <v>9</v>
      </c>
      <c r="Q143" s="1">
        <v>35.58</v>
      </c>
      <c r="R143" s="2">
        <f t="shared" si="8"/>
        <v>8678</v>
      </c>
      <c r="S143" s="1">
        <f t="shared" si="9"/>
        <v>10.14199731198504</v>
      </c>
      <c r="T143" t="str">
        <f t="shared" si="10"/>
        <v>Beginner</v>
      </c>
      <c r="U143" t="str">
        <f t="shared" si="11"/>
        <v>Low Impact</v>
      </c>
    </row>
    <row r="144" spans="1:21" x14ac:dyDescent="0.3">
      <c r="A144" t="s">
        <v>1384</v>
      </c>
      <c r="B144">
        <v>37</v>
      </c>
      <c r="C144" t="s">
        <v>54</v>
      </c>
      <c r="D144" t="s">
        <v>28</v>
      </c>
      <c r="E144" t="s">
        <v>51</v>
      </c>
      <c r="F144" t="s">
        <v>130</v>
      </c>
      <c r="G144">
        <v>12</v>
      </c>
      <c r="H144" t="s">
        <v>37</v>
      </c>
      <c r="I144" t="s">
        <v>31</v>
      </c>
      <c r="J144" t="s">
        <v>25</v>
      </c>
      <c r="K144" s="2">
        <v>73151</v>
      </c>
      <c r="L144" s="2">
        <v>66946</v>
      </c>
      <c r="M144" t="s">
        <v>32</v>
      </c>
      <c r="N144">
        <v>47</v>
      </c>
      <c r="O144" t="s">
        <v>23</v>
      </c>
      <c r="P144">
        <v>7</v>
      </c>
      <c r="Q144" s="1">
        <v>35.58</v>
      </c>
      <c r="R144" s="2">
        <f t="shared" si="8"/>
        <v>-6205</v>
      </c>
      <c r="S144" s="1">
        <f t="shared" si="9"/>
        <v>-8.4824541017894504</v>
      </c>
      <c r="T144" t="str">
        <f t="shared" si="10"/>
        <v>Intermediate</v>
      </c>
      <c r="U144" t="str">
        <f t="shared" si="11"/>
        <v>Low Impact</v>
      </c>
    </row>
    <row r="145" spans="1:21" x14ac:dyDescent="0.3">
      <c r="A145" t="s">
        <v>498</v>
      </c>
      <c r="B145">
        <v>26</v>
      </c>
      <c r="C145" t="s">
        <v>18</v>
      </c>
      <c r="D145" t="s">
        <v>34</v>
      </c>
      <c r="E145" t="s">
        <v>41</v>
      </c>
      <c r="F145" t="s">
        <v>55</v>
      </c>
      <c r="G145">
        <v>0</v>
      </c>
      <c r="H145" t="s">
        <v>37</v>
      </c>
      <c r="I145" t="s">
        <v>37</v>
      </c>
      <c r="J145" t="s">
        <v>25</v>
      </c>
      <c r="K145" s="2">
        <v>55518</v>
      </c>
      <c r="L145" s="2">
        <v>60402</v>
      </c>
      <c r="M145" t="s">
        <v>38</v>
      </c>
      <c r="N145">
        <v>50</v>
      </c>
      <c r="O145" t="s">
        <v>25</v>
      </c>
      <c r="P145">
        <v>4</v>
      </c>
      <c r="Q145" s="1">
        <v>35.58</v>
      </c>
      <c r="R145" s="2">
        <f t="shared" si="8"/>
        <v>4884</v>
      </c>
      <c r="S145" s="1">
        <f t="shared" si="9"/>
        <v>8.7971468712849887</v>
      </c>
      <c r="T145" t="str">
        <f t="shared" si="10"/>
        <v>Beginner</v>
      </c>
      <c r="U145" t="str">
        <f t="shared" si="11"/>
        <v>Medium Impact</v>
      </c>
    </row>
    <row r="146" spans="1:21" x14ac:dyDescent="0.3">
      <c r="A146" t="s">
        <v>1705</v>
      </c>
      <c r="B146">
        <v>47</v>
      </c>
      <c r="C146" t="s">
        <v>18</v>
      </c>
      <c r="D146" t="s">
        <v>28</v>
      </c>
      <c r="E146" t="s">
        <v>59</v>
      </c>
      <c r="F146" t="s">
        <v>77</v>
      </c>
      <c r="G146">
        <v>22</v>
      </c>
      <c r="H146" t="s">
        <v>37</v>
      </c>
      <c r="I146" t="s">
        <v>37</v>
      </c>
      <c r="J146" t="s">
        <v>25</v>
      </c>
      <c r="K146" s="2">
        <v>93472</v>
      </c>
      <c r="L146" s="2">
        <v>110894</v>
      </c>
      <c r="M146" t="s">
        <v>38</v>
      </c>
      <c r="N146">
        <v>38</v>
      </c>
      <c r="O146" t="s">
        <v>23</v>
      </c>
      <c r="P146">
        <v>7</v>
      </c>
      <c r="Q146" s="1">
        <v>35.549999999999997</v>
      </c>
      <c r="R146" s="2">
        <f t="shared" si="8"/>
        <v>17422</v>
      </c>
      <c r="S146" s="1">
        <f t="shared" si="9"/>
        <v>18.638736733995206</v>
      </c>
      <c r="T146" t="str">
        <f t="shared" si="10"/>
        <v>Expert</v>
      </c>
      <c r="U146" t="str">
        <f t="shared" si="11"/>
        <v>Medium Impact</v>
      </c>
    </row>
    <row r="147" spans="1:21" x14ac:dyDescent="0.3">
      <c r="A147" t="s">
        <v>1847</v>
      </c>
      <c r="B147">
        <v>49</v>
      </c>
      <c r="C147" t="s">
        <v>27</v>
      </c>
      <c r="D147" t="s">
        <v>40</v>
      </c>
      <c r="E147" t="s">
        <v>59</v>
      </c>
      <c r="F147" t="s">
        <v>60</v>
      </c>
      <c r="G147">
        <v>26</v>
      </c>
      <c r="H147" t="s">
        <v>37</v>
      </c>
      <c r="I147" t="s">
        <v>22</v>
      </c>
      <c r="J147" t="s">
        <v>25</v>
      </c>
      <c r="K147" s="2">
        <v>83817</v>
      </c>
      <c r="L147" s="2">
        <v>84857</v>
      </c>
      <c r="M147" t="s">
        <v>32</v>
      </c>
      <c r="N147">
        <v>54</v>
      </c>
      <c r="O147" t="s">
        <v>25</v>
      </c>
      <c r="P147">
        <v>3</v>
      </c>
      <c r="Q147" s="1">
        <v>35.53</v>
      </c>
      <c r="R147" s="2">
        <f t="shared" si="8"/>
        <v>1040</v>
      </c>
      <c r="S147" s="1">
        <f t="shared" si="9"/>
        <v>1.2407984060512784</v>
      </c>
      <c r="T147" t="str">
        <f t="shared" si="10"/>
        <v>Expert</v>
      </c>
      <c r="U147" t="str">
        <f t="shared" si="11"/>
        <v>Low Impact</v>
      </c>
    </row>
    <row r="148" spans="1:21" x14ac:dyDescent="0.3">
      <c r="A148" t="s">
        <v>2042</v>
      </c>
      <c r="B148">
        <v>22</v>
      </c>
      <c r="C148" t="s">
        <v>18</v>
      </c>
      <c r="D148" t="s">
        <v>40</v>
      </c>
      <c r="E148" t="s">
        <v>44</v>
      </c>
      <c r="F148" t="s">
        <v>47</v>
      </c>
      <c r="G148">
        <v>0</v>
      </c>
      <c r="H148" t="s">
        <v>37</v>
      </c>
      <c r="I148" t="s">
        <v>37</v>
      </c>
      <c r="J148" t="s">
        <v>23</v>
      </c>
      <c r="K148" s="2">
        <v>56732</v>
      </c>
      <c r="L148" s="2">
        <v>56256</v>
      </c>
      <c r="M148" t="s">
        <v>38</v>
      </c>
      <c r="N148">
        <v>45</v>
      </c>
      <c r="O148" t="s">
        <v>25</v>
      </c>
      <c r="P148">
        <v>5</v>
      </c>
      <c r="Q148" s="1">
        <v>35.53</v>
      </c>
      <c r="R148" s="2">
        <f t="shared" si="8"/>
        <v>-476</v>
      </c>
      <c r="S148" s="1">
        <f t="shared" si="9"/>
        <v>-0.83903264471550443</v>
      </c>
      <c r="T148" t="str">
        <f t="shared" si="10"/>
        <v>Beginner</v>
      </c>
      <c r="U148" t="str">
        <f t="shared" si="11"/>
        <v>Medium Impact</v>
      </c>
    </row>
    <row r="149" spans="1:21" x14ac:dyDescent="0.3">
      <c r="A149" t="s">
        <v>1822</v>
      </c>
      <c r="B149">
        <v>45</v>
      </c>
      <c r="C149" t="s">
        <v>27</v>
      </c>
      <c r="D149" t="s">
        <v>40</v>
      </c>
      <c r="E149" t="s">
        <v>29</v>
      </c>
      <c r="F149" t="s">
        <v>104</v>
      </c>
      <c r="G149">
        <v>22</v>
      </c>
      <c r="H149" t="s">
        <v>31</v>
      </c>
      <c r="I149" t="s">
        <v>22</v>
      </c>
      <c r="J149" t="s">
        <v>23</v>
      </c>
      <c r="K149" s="2">
        <v>93308</v>
      </c>
      <c r="L149" s="2">
        <v>95211</v>
      </c>
      <c r="M149" t="s">
        <v>32</v>
      </c>
      <c r="N149">
        <v>46</v>
      </c>
      <c r="O149" t="s">
        <v>25</v>
      </c>
      <c r="P149">
        <v>7</v>
      </c>
      <c r="Q149" s="1">
        <v>35.479999999999997</v>
      </c>
      <c r="R149" s="2">
        <f t="shared" si="8"/>
        <v>1903</v>
      </c>
      <c r="S149" s="1">
        <f t="shared" si="9"/>
        <v>2.0394821451536846</v>
      </c>
      <c r="T149" t="str">
        <f t="shared" si="10"/>
        <v>Expert</v>
      </c>
      <c r="U149" t="str">
        <f t="shared" si="11"/>
        <v>Low Impact</v>
      </c>
    </row>
    <row r="150" spans="1:21" x14ac:dyDescent="0.3">
      <c r="A150" t="s">
        <v>1185</v>
      </c>
      <c r="B150">
        <v>59</v>
      </c>
      <c r="C150" t="s">
        <v>18</v>
      </c>
      <c r="D150" t="s">
        <v>40</v>
      </c>
      <c r="E150" t="s">
        <v>41</v>
      </c>
      <c r="F150" t="s">
        <v>55</v>
      </c>
      <c r="G150">
        <v>35</v>
      </c>
      <c r="H150" t="s">
        <v>22</v>
      </c>
      <c r="I150" t="s">
        <v>37</v>
      </c>
      <c r="J150" t="s">
        <v>25</v>
      </c>
      <c r="K150" s="2">
        <v>50968</v>
      </c>
      <c r="L150" s="2">
        <v>62607</v>
      </c>
      <c r="M150" t="s">
        <v>38</v>
      </c>
      <c r="N150">
        <v>39</v>
      </c>
      <c r="O150" t="s">
        <v>25</v>
      </c>
      <c r="P150">
        <v>3</v>
      </c>
      <c r="Q150" s="1">
        <v>35.479999999999997</v>
      </c>
      <c r="R150" s="2">
        <f t="shared" si="8"/>
        <v>11639</v>
      </c>
      <c r="S150" s="1">
        <f t="shared" si="9"/>
        <v>22.835897033432744</v>
      </c>
      <c r="T150" t="str">
        <f t="shared" si="10"/>
        <v>Expert</v>
      </c>
      <c r="U150" t="str">
        <f t="shared" si="11"/>
        <v>Medium Impact</v>
      </c>
    </row>
    <row r="151" spans="1:21" x14ac:dyDescent="0.3">
      <c r="A151" t="s">
        <v>616</v>
      </c>
      <c r="B151">
        <v>40</v>
      </c>
      <c r="C151" t="s">
        <v>54</v>
      </c>
      <c r="D151" t="s">
        <v>34</v>
      </c>
      <c r="E151" t="s">
        <v>59</v>
      </c>
      <c r="F151" t="s">
        <v>60</v>
      </c>
      <c r="G151">
        <v>16</v>
      </c>
      <c r="H151" t="s">
        <v>22</v>
      </c>
      <c r="I151" t="s">
        <v>37</v>
      </c>
      <c r="J151" t="s">
        <v>23</v>
      </c>
      <c r="K151" s="2">
        <v>42356</v>
      </c>
      <c r="L151" s="2">
        <v>34087</v>
      </c>
      <c r="M151" t="s">
        <v>38</v>
      </c>
      <c r="N151">
        <v>44</v>
      </c>
      <c r="O151" t="s">
        <v>23</v>
      </c>
      <c r="P151">
        <v>9</v>
      </c>
      <c r="Q151" s="1">
        <v>35.47</v>
      </c>
      <c r="R151" s="2">
        <f t="shared" si="8"/>
        <v>-8269</v>
      </c>
      <c r="S151" s="1">
        <f t="shared" si="9"/>
        <v>-19.522617810935877</v>
      </c>
      <c r="T151" t="str">
        <f t="shared" si="10"/>
        <v>Expert</v>
      </c>
      <c r="U151" t="str">
        <f t="shared" si="11"/>
        <v>Medium Impact</v>
      </c>
    </row>
    <row r="152" spans="1:21" x14ac:dyDescent="0.3">
      <c r="A152" t="s">
        <v>779</v>
      </c>
      <c r="B152">
        <v>53</v>
      </c>
      <c r="C152" t="s">
        <v>18</v>
      </c>
      <c r="D152" t="s">
        <v>34</v>
      </c>
      <c r="E152" t="s">
        <v>51</v>
      </c>
      <c r="F152" t="s">
        <v>130</v>
      </c>
      <c r="G152">
        <v>27</v>
      </c>
      <c r="H152" t="s">
        <v>22</v>
      </c>
      <c r="I152" t="s">
        <v>31</v>
      </c>
      <c r="J152" t="s">
        <v>25</v>
      </c>
      <c r="K152" s="2">
        <v>83370</v>
      </c>
      <c r="L152" s="2">
        <v>70781</v>
      </c>
      <c r="M152" t="s">
        <v>32</v>
      </c>
      <c r="N152">
        <v>42</v>
      </c>
      <c r="O152" t="s">
        <v>23</v>
      </c>
      <c r="P152">
        <v>5</v>
      </c>
      <c r="Q152" s="1">
        <v>35.46</v>
      </c>
      <c r="R152" s="2">
        <f t="shared" si="8"/>
        <v>-12589</v>
      </c>
      <c r="S152" s="1">
        <f t="shared" si="9"/>
        <v>-15.100155931390189</v>
      </c>
      <c r="T152" t="str">
        <f t="shared" si="10"/>
        <v>Expert</v>
      </c>
      <c r="U152" t="str">
        <f t="shared" si="11"/>
        <v>Low Impact</v>
      </c>
    </row>
    <row r="153" spans="1:21" x14ac:dyDescent="0.3">
      <c r="A153" t="s">
        <v>240</v>
      </c>
      <c r="B153">
        <v>36</v>
      </c>
      <c r="C153" t="s">
        <v>18</v>
      </c>
      <c r="D153" t="s">
        <v>28</v>
      </c>
      <c r="E153" t="s">
        <v>35</v>
      </c>
      <c r="F153" t="s">
        <v>98</v>
      </c>
      <c r="G153">
        <v>10</v>
      </c>
      <c r="H153" t="s">
        <v>31</v>
      </c>
      <c r="I153" t="s">
        <v>31</v>
      </c>
      <c r="J153" t="s">
        <v>25</v>
      </c>
      <c r="K153" s="2">
        <v>54070</v>
      </c>
      <c r="L153" s="2">
        <v>53778</v>
      </c>
      <c r="M153" t="s">
        <v>32</v>
      </c>
      <c r="N153">
        <v>52</v>
      </c>
      <c r="O153" t="s">
        <v>25</v>
      </c>
      <c r="P153">
        <v>5</v>
      </c>
      <c r="Q153" s="1">
        <v>35.46</v>
      </c>
      <c r="R153" s="2">
        <f t="shared" si="8"/>
        <v>-292</v>
      </c>
      <c r="S153" s="1">
        <f t="shared" si="9"/>
        <v>-0.54004068799704086</v>
      </c>
      <c r="T153" t="str">
        <f t="shared" si="10"/>
        <v>Intermediate</v>
      </c>
      <c r="U153" t="str">
        <f t="shared" si="11"/>
        <v>Low Impact</v>
      </c>
    </row>
    <row r="154" spans="1:21" x14ac:dyDescent="0.3">
      <c r="A154" t="s">
        <v>357</v>
      </c>
      <c r="B154">
        <v>23</v>
      </c>
      <c r="C154" t="s">
        <v>54</v>
      </c>
      <c r="D154" t="s">
        <v>34</v>
      </c>
      <c r="E154" t="s">
        <v>29</v>
      </c>
      <c r="F154" t="s">
        <v>102</v>
      </c>
      <c r="G154">
        <v>1</v>
      </c>
      <c r="H154" t="s">
        <v>31</v>
      </c>
      <c r="I154" t="s">
        <v>31</v>
      </c>
      <c r="J154" t="s">
        <v>25</v>
      </c>
      <c r="K154" s="2">
        <v>93740</v>
      </c>
      <c r="L154" s="2">
        <v>101173</v>
      </c>
      <c r="M154" t="s">
        <v>32</v>
      </c>
      <c r="N154">
        <v>48</v>
      </c>
      <c r="O154" t="s">
        <v>23</v>
      </c>
      <c r="P154">
        <v>3</v>
      </c>
      <c r="Q154" s="1">
        <v>35.369999999999997</v>
      </c>
      <c r="R154" s="2">
        <f t="shared" si="8"/>
        <v>7433</v>
      </c>
      <c r="S154" s="1">
        <f t="shared" si="9"/>
        <v>7.9293791337742698</v>
      </c>
      <c r="T154" t="str">
        <f t="shared" si="10"/>
        <v>Beginner</v>
      </c>
      <c r="U154" t="str">
        <f t="shared" si="11"/>
        <v>Low Impact</v>
      </c>
    </row>
    <row r="155" spans="1:21" x14ac:dyDescent="0.3">
      <c r="A155" t="s">
        <v>1402</v>
      </c>
      <c r="B155">
        <v>31</v>
      </c>
      <c r="C155" t="s">
        <v>18</v>
      </c>
      <c r="D155" t="s">
        <v>28</v>
      </c>
      <c r="E155" t="s">
        <v>51</v>
      </c>
      <c r="F155" t="s">
        <v>52</v>
      </c>
      <c r="G155">
        <v>5</v>
      </c>
      <c r="H155" t="s">
        <v>37</v>
      </c>
      <c r="I155" t="s">
        <v>37</v>
      </c>
      <c r="J155" t="s">
        <v>23</v>
      </c>
      <c r="K155" s="2">
        <v>107078</v>
      </c>
      <c r="L155" s="2">
        <v>103541</v>
      </c>
      <c r="M155" t="s">
        <v>38</v>
      </c>
      <c r="N155">
        <v>47</v>
      </c>
      <c r="O155" t="s">
        <v>25</v>
      </c>
      <c r="P155">
        <v>7</v>
      </c>
      <c r="Q155" s="1">
        <v>35.340000000000003</v>
      </c>
      <c r="R155" s="2">
        <f t="shared" si="8"/>
        <v>-3537</v>
      </c>
      <c r="S155" s="1">
        <f t="shared" si="9"/>
        <v>-3.3031995367862681</v>
      </c>
      <c r="T155" t="str">
        <f t="shared" si="10"/>
        <v>Intermediate</v>
      </c>
      <c r="U155" t="str">
        <f t="shared" si="11"/>
        <v>Medium Impact</v>
      </c>
    </row>
    <row r="156" spans="1:21" x14ac:dyDescent="0.3">
      <c r="A156" t="s">
        <v>700</v>
      </c>
      <c r="B156">
        <v>35</v>
      </c>
      <c r="C156" t="s">
        <v>54</v>
      </c>
      <c r="D156" t="s">
        <v>40</v>
      </c>
      <c r="E156" t="s">
        <v>59</v>
      </c>
      <c r="F156" t="s">
        <v>93</v>
      </c>
      <c r="G156">
        <v>13</v>
      </c>
      <c r="H156" t="s">
        <v>31</v>
      </c>
      <c r="I156" t="s">
        <v>31</v>
      </c>
      <c r="J156" t="s">
        <v>25</v>
      </c>
      <c r="K156" s="2">
        <v>84200</v>
      </c>
      <c r="L156" s="2">
        <v>82378</v>
      </c>
      <c r="M156" t="s">
        <v>32</v>
      </c>
      <c r="N156">
        <v>46</v>
      </c>
      <c r="O156" t="s">
        <v>25</v>
      </c>
      <c r="P156">
        <v>3</v>
      </c>
      <c r="Q156" s="1">
        <v>35.340000000000003</v>
      </c>
      <c r="R156" s="2">
        <f t="shared" si="8"/>
        <v>-1822</v>
      </c>
      <c r="S156" s="1">
        <f t="shared" si="9"/>
        <v>-2.1638954869358669</v>
      </c>
      <c r="T156" t="str">
        <f t="shared" si="10"/>
        <v>Intermediate</v>
      </c>
      <c r="U156" t="str">
        <f t="shared" si="11"/>
        <v>Low Impact</v>
      </c>
    </row>
    <row r="157" spans="1:21" x14ac:dyDescent="0.3">
      <c r="A157" t="s">
        <v>1844</v>
      </c>
      <c r="B157">
        <v>22</v>
      </c>
      <c r="C157" t="s">
        <v>18</v>
      </c>
      <c r="D157" t="s">
        <v>34</v>
      </c>
      <c r="E157" t="s">
        <v>44</v>
      </c>
      <c r="F157" t="s">
        <v>45</v>
      </c>
      <c r="G157">
        <v>0</v>
      </c>
      <c r="H157" t="s">
        <v>37</v>
      </c>
      <c r="I157" t="s">
        <v>22</v>
      </c>
      <c r="J157" t="s">
        <v>25</v>
      </c>
      <c r="K157" s="2">
        <v>77458</v>
      </c>
      <c r="L157" s="2">
        <v>91889</v>
      </c>
      <c r="M157" t="s">
        <v>32</v>
      </c>
      <c r="N157">
        <v>46</v>
      </c>
      <c r="O157" t="s">
        <v>23</v>
      </c>
      <c r="P157">
        <v>8</v>
      </c>
      <c r="Q157" s="1">
        <v>35.28</v>
      </c>
      <c r="R157" s="2">
        <f t="shared" si="8"/>
        <v>14431</v>
      </c>
      <c r="S157" s="1">
        <f t="shared" si="9"/>
        <v>18.630741821374166</v>
      </c>
      <c r="T157" t="str">
        <f t="shared" si="10"/>
        <v>Beginner</v>
      </c>
      <c r="U157" t="str">
        <f t="shared" si="11"/>
        <v>Low Impact</v>
      </c>
    </row>
    <row r="158" spans="1:21" x14ac:dyDescent="0.3">
      <c r="A158" t="s">
        <v>1597</v>
      </c>
      <c r="B158">
        <v>43</v>
      </c>
      <c r="C158" t="s">
        <v>54</v>
      </c>
      <c r="D158" t="s">
        <v>19</v>
      </c>
      <c r="E158" t="s">
        <v>51</v>
      </c>
      <c r="F158" t="s">
        <v>52</v>
      </c>
      <c r="G158">
        <v>17</v>
      </c>
      <c r="H158" t="s">
        <v>22</v>
      </c>
      <c r="I158" t="s">
        <v>37</v>
      </c>
      <c r="J158" t="s">
        <v>25</v>
      </c>
      <c r="K158" s="2">
        <v>51686</v>
      </c>
      <c r="L158" s="2">
        <v>45819</v>
      </c>
      <c r="M158" t="s">
        <v>38</v>
      </c>
      <c r="N158">
        <v>48</v>
      </c>
      <c r="O158" t="s">
        <v>25</v>
      </c>
      <c r="P158">
        <v>8</v>
      </c>
      <c r="Q158" s="1">
        <v>35.22</v>
      </c>
      <c r="R158" s="2">
        <f t="shared" si="8"/>
        <v>-5867</v>
      </c>
      <c r="S158" s="1">
        <f t="shared" si="9"/>
        <v>-11.351236311573734</v>
      </c>
      <c r="T158" t="str">
        <f t="shared" si="10"/>
        <v>Expert</v>
      </c>
      <c r="U158" t="str">
        <f t="shared" si="11"/>
        <v>Medium Impact</v>
      </c>
    </row>
    <row r="159" spans="1:21" x14ac:dyDescent="0.3">
      <c r="A159" t="s">
        <v>1139</v>
      </c>
      <c r="B159">
        <v>49</v>
      </c>
      <c r="C159" t="s">
        <v>18</v>
      </c>
      <c r="D159" t="s">
        <v>40</v>
      </c>
      <c r="E159" t="s">
        <v>51</v>
      </c>
      <c r="F159" t="s">
        <v>130</v>
      </c>
      <c r="G159">
        <v>24</v>
      </c>
      <c r="H159" t="s">
        <v>22</v>
      </c>
      <c r="I159" t="s">
        <v>31</v>
      </c>
      <c r="J159" t="s">
        <v>25</v>
      </c>
      <c r="K159" s="2">
        <v>102390</v>
      </c>
      <c r="L159" s="2">
        <v>106640</v>
      </c>
      <c r="M159" t="s">
        <v>32</v>
      </c>
      <c r="N159">
        <v>44</v>
      </c>
      <c r="O159" t="s">
        <v>23</v>
      </c>
      <c r="P159">
        <v>5</v>
      </c>
      <c r="Q159" s="1">
        <v>35.200000000000003</v>
      </c>
      <c r="R159" s="2">
        <f t="shared" si="8"/>
        <v>4250</v>
      </c>
      <c r="S159" s="1">
        <f t="shared" si="9"/>
        <v>4.1507959761695483</v>
      </c>
      <c r="T159" t="str">
        <f t="shared" si="10"/>
        <v>Expert</v>
      </c>
      <c r="U159" t="str">
        <f t="shared" si="11"/>
        <v>Low Impact</v>
      </c>
    </row>
    <row r="160" spans="1:21" x14ac:dyDescent="0.3">
      <c r="A160" t="s">
        <v>1145</v>
      </c>
      <c r="B160">
        <v>32</v>
      </c>
      <c r="C160" t="s">
        <v>54</v>
      </c>
      <c r="D160" t="s">
        <v>34</v>
      </c>
      <c r="E160" t="s">
        <v>59</v>
      </c>
      <c r="F160" t="s">
        <v>77</v>
      </c>
      <c r="G160">
        <v>8</v>
      </c>
      <c r="H160" t="s">
        <v>22</v>
      </c>
      <c r="I160" t="s">
        <v>37</v>
      </c>
      <c r="J160" t="s">
        <v>25</v>
      </c>
      <c r="K160" s="2">
        <v>62214</v>
      </c>
      <c r="L160" s="2">
        <v>83141</v>
      </c>
      <c r="M160" t="s">
        <v>38</v>
      </c>
      <c r="N160">
        <v>48</v>
      </c>
      <c r="O160" t="s">
        <v>25</v>
      </c>
      <c r="P160">
        <v>4</v>
      </c>
      <c r="Q160" s="1">
        <v>35.19</v>
      </c>
      <c r="R160" s="2">
        <f t="shared" si="8"/>
        <v>20927</v>
      </c>
      <c r="S160" s="1">
        <f t="shared" si="9"/>
        <v>33.637123477030897</v>
      </c>
      <c r="T160" t="str">
        <f t="shared" si="10"/>
        <v>Intermediate</v>
      </c>
      <c r="U160" t="str">
        <f t="shared" si="11"/>
        <v>Medium Impact</v>
      </c>
    </row>
    <row r="161" spans="1:21" x14ac:dyDescent="0.3">
      <c r="A161" t="s">
        <v>317</v>
      </c>
      <c r="B161">
        <v>33</v>
      </c>
      <c r="C161" t="s">
        <v>27</v>
      </c>
      <c r="D161" t="s">
        <v>19</v>
      </c>
      <c r="E161" t="s">
        <v>20</v>
      </c>
      <c r="F161" t="s">
        <v>21</v>
      </c>
      <c r="G161">
        <v>9</v>
      </c>
      <c r="H161" t="s">
        <v>37</v>
      </c>
      <c r="I161" t="s">
        <v>22</v>
      </c>
      <c r="J161" t="s">
        <v>23</v>
      </c>
      <c r="K161" s="2">
        <v>72823</v>
      </c>
      <c r="L161" s="2">
        <v>82920</v>
      </c>
      <c r="M161" t="s">
        <v>32</v>
      </c>
      <c r="N161">
        <v>35</v>
      </c>
      <c r="O161" t="s">
        <v>25</v>
      </c>
      <c r="P161">
        <v>5</v>
      </c>
      <c r="Q161" s="1">
        <v>35.119999999999997</v>
      </c>
      <c r="R161" s="2">
        <f t="shared" si="8"/>
        <v>10097</v>
      </c>
      <c r="S161" s="1">
        <f t="shared" si="9"/>
        <v>13.865125029180343</v>
      </c>
      <c r="T161" t="str">
        <f t="shared" si="10"/>
        <v>Intermediate</v>
      </c>
      <c r="U161" t="str">
        <f t="shared" si="11"/>
        <v>Low Impact</v>
      </c>
    </row>
    <row r="162" spans="1:21" x14ac:dyDescent="0.3">
      <c r="A162" t="s">
        <v>1734</v>
      </c>
      <c r="B162">
        <v>44</v>
      </c>
      <c r="C162" t="s">
        <v>27</v>
      </c>
      <c r="D162" t="s">
        <v>28</v>
      </c>
      <c r="E162" t="s">
        <v>29</v>
      </c>
      <c r="F162" t="s">
        <v>102</v>
      </c>
      <c r="G162">
        <v>21</v>
      </c>
      <c r="H162" t="s">
        <v>31</v>
      </c>
      <c r="I162" t="s">
        <v>22</v>
      </c>
      <c r="J162" t="s">
        <v>23</v>
      </c>
      <c r="K162" s="2">
        <v>43890</v>
      </c>
      <c r="L162" s="2">
        <v>46967</v>
      </c>
      <c r="M162" t="s">
        <v>32</v>
      </c>
      <c r="N162">
        <v>44</v>
      </c>
      <c r="O162" t="s">
        <v>25</v>
      </c>
      <c r="P162">
        <v>5</v>
      </c>
      <c r="Q162" s="1">
        <v>35.1</v>
      </c>
      <c r="R162" s="2">
        <f t="shared" si="8"/>
        <v>3077</v>
      </c>
      <c r="S162" s="1">
        <f t="shared" si="9"/>
        <v>7.010708589655958</v>
      </c>
      <c r="T162" t="str">
        <f t="shared" si="10"/>
        <v>Expert</v>
      </c>
      <c r="U162" t="str">
        <f t="shared" si="11"/>
        <v>Low Impact</v>
      </c>
    </row>
    <row r="163" spans="1:21" x14ac:dyDescent="0.3">
      <c r="A163" t="s">
        <v>1148</v>
      </c>
      <c r="B163">
        <v>31</v>
      </c>
      <c r="C163" t="s">
        <v>54</v>
      </c>
      <c r="D163" t="s">
        <v>19</v>
      </c>
      <c r="E163" t="s">
        <v>59</v>
      </c>
      <c r="F163" t="s">
        <v>60</v>
      </c>
      <c r="G163">
        <v>6</v>
      </c>
      <c r="H163" t="s">
        <v>31</v>
      </c>
      <c r="I163" t="s">
        <v>22</v>
      </c>
      <c r="J163" t="s">
        <v>23</v>
      </c>
      <c r="K163" s="2">
        <v>78114</v>
      </c>
      <c r="L163" s="2">
        <v>74644</v>
      </c>
      <c r="M163" t="s">
        <v>32</v>
      </c>
      <c r="N163">
        <v>49</v>
      </c>
      <c r="O163" t="s">
        <v>23</v>
      </c>
      <c r="P163">
        <v>8</v>
      </c>
      <c r="Q163" s="1">
        <v>35.06</v>
      </c>
      <c r="R163" s="2">
        <f t="shared" si="8"/>
        <v>-3470</v>
      </c>
      <c r="S163" s="1">
        <f t="shared" si="9"/>
        <v>-4.4422254653455209</v>
      </c>
      <c r="T163" t="str">
        <f t="shared" si="10"/>
        <v>Intermediate</v>
      </c>
      <c r="U163" t="str">
        <f t="shared" si="11"/>
        <v>Low Impact</v>
      </c>
    </row>
    <row r="164" spans="1:21" x14ac:dyDescent="0.3">
      <c r="A164" t="s">
        <v>1600</v>
      </c>
      <c r="B164">
        <v>49</v>
      </c>
      <c r="C164" t="s">
        <v>18</v>
      </c>
      <c r="D164" t="s">
        <v>40</v>
      </c>
      <c r="E164" t="s">
        <v>20</v>
      </c>
      <c r="F164" t="s">
        <v>88</v>
      </c>
      <c r="G164">
        <v>23</v>
      </c>
      <c r="H164" t="s">
        <v>22</v>
      </c>
      <c r="I164" t="s">
        <v>22</v>
      </c>
      <c r="J164" t="s">
        <v>25</v>
      </c>
      <c r="K164" s="2">
        <v>87500</v>
      </c>
      <c r="L164" s="2">
        <v>88387</v>
      </c>
      <c r="M164" t="s">
        <v>38</v>
      </c>
      <c r="N164">
        <v>47</v>
      </c>
      <c r="O164" t="s">
        <v>25</v>
      </c>
      <c r="P164">
        <v>6</v>
      </c>
      <c r="Q164" s="1">
        <v>35.03</v>
      </c>
      <c r="R164" s="2">
        <f t="shared" si="8"/>
        <v>887</v>
      </c>
      <c r="S164" s="1">
        <f t="shared" si="9"/>
        <v>1.0137142857142856</v>
      </c>
      <c r="T164" t="str">
        <f t="shared" si="10"/>
        <v>Expert</v>
      </c>
      <c r="U164" t="str">
        <f t="shared" si="11"/>
        <v>Medium Impact</v>
      </c>
    </row>
    <row r="165" spans="1:21" x14ac:dyDescent="0.3">
      <c r="A165" t="s">
        <v>475</v>
      </c>
      <c r="B165">
        <v>53</v>
      </c>
      <c r="C165" t="s">
        <v>18</v>
      </c>
      <c r="D165" t="s">
        <v>28</v>
      </c>
      <c r="E165" t="s">
        <v>51</v>
      </c>
      <c r="F165" t="s">
        <v>130</v>
      </c>
      <c r="G165">
        <v>29</v>
      </c>
      <c r="H165" t="s">
        <v>22</v>
      </c>
      <c r="I165" t="s">
        <v>22</v>
      </c>
      <c r="J165" t="s">
        <v>25</v>
      </c>
      <c r="K165" s="2">
        <v>114162</v>
      </c>
      <c r="L165" s="2">
        <v>150070</v>
      </c>
      <c r="M165" t="s">
        <v>24</v>
      </c>
      <c r="N165">
        <v>42</v>
      </c>
      <c r="O165" t="s">
        <v>23</v>
      </c>
      <c r="P165">
        <v>5</v>
      </c>
      <c r="Q165" s="1">
        <v>35</v>
      </c>
      <c r="R165" s="2">
        <f t="shared" si="8"/>
        <v>35908</v>
      </c>
      <c r="S165" s="1">
        <f t="shared" si="9"/>
        <v>31.453548466214677</v>
      </c>
      <c r="T165" t="str">
        <f t="shared" si="10"/>
        <v>Expert</v>
      </c>
      <c r="U165" t="str">
        <f t="shared" si="11"/>
        <v>High Impact</v>
      </c>
    </row>
    <row r="166" spans="1:21" x14ac:dyDescent="0.3">
      <c r="A166" t="s">
        <v>1826</v>
      </c>
      <c r="B166">
        <v>50</v>
      </c>
      <c r="C166" t="s">
        <v>27</v>
      </c>
      <c r="D166" t="s">
        <v>34</v>
      </c>
      <c r="E166" t="s">
        <v>59</v>
      </c>
      <c r="F166" t="s">
        <v>93</v>
      </c>
      <c r="G166">
        <v>27</v>
      </c>
      <c r="H166" t="s">
        <v>31</v>
      </c>
      <c r="I166" t="s">
        <v>37</v>
      </c>
      <c r="J166" t="s">
        <v>25</v>
      </c>
      <c r="K166" s="2">
        <v>45954</v>
      </c>
      <c r="L166" s="2">
        <v>46356</v>
      </c>
      <c r="M166" t="s">
        <v>38</v>
      </c>
      <c r="N166">
        <v>51</v>
      </c>
      <c r="O166" t="s">
        <v>23</v>
      </c>
      <c r="P166">
        <v>6</v>
      </c>
      <c r="Q166" s="1">
        <v>34.93</v>
      </c>
      <c r="R166" s="2">
        <f t="shared" si="8"/>
        <v>402</v>
      </c>
      <c r="S166" s="1">
        <f t="shared" si="9"/>
        <v>0.8747878313095705</v>
      </c>
      <c r="T166" t="str">
        <f t="shared" si="10"/>
        <v>Expert</v>
      </c>
      <c r="U166" t="str">
        <f t="shared" si="11"/>
        <v>Medium Impact</v>
      </c>
    </row>
    <row r="167" spans="1:21" x14ac:dyDescent="0.3">
      <c r="A167" t="s">
        <v>1543</v>
      </c>
      <c r="B167">
        <v>44</v>
      </c>
      <c r="C167" t="s">
        <v>54</v>
      </c>
      <c r="D167" t="s">
        <v>40</v>
      </c>
      <c r="E167" t="s">
        <v>51</v>
      </c>
      <c r="F167" t="s">
        <v>130</v>
      </c>
      <c r="G167">
        <v>19</v>
      </c>
      <c r="H167" t="s">
        <v>31</v>
      </c>
      <c r="I167" t="s">
        <v>37</v>
      </c>
      <c r="J167" t="s">
        <v>25</v>
      </c>
      <c r="K167" s="2">
        <v>68108</v>
      </c>
      <c r="L167" s="2">
        <v>65680</v>
      </c>
      <c r="M167" t="s">
        <v>38</v>
      </c>
      <c r="N167">
        <v>47</v>
      </c>
      <c r="O167" t="s">
        <v>25</v>
      </c>
      <c r="P167">
        <v>5</v>
      </c>
      <c r="Q167" s="1">
        <v>34.880000000000003</v>
      </c>
      <c r="R167" s="2">
        <f t="shared" si="8"/>
        <v>-2428</v>
      </c>
      <c r="S167" s="1">
        <f t="shared" si="9"/>
        <v>-3.5649262935337998</v>
      </c>
      <c r="T167" t="str">
        <f t="shared" si="10"/>
        <v>Expert</v>
      </c>
      <c r="U167" t="str">
        <f t="shared" si="11"/>
        <v>Medium Impact</v>
      </c>
    </row>
    <row r="168" spans="1:21" x14ac:dyDescent="0.3">
      <c r="A168" t="s">
        <v>1741</v>
      </c>
      <c r="B168">
        <v>52</v>
      </c>
      <c r="C168" t="s">
        <v>54</v>
      </c>
      <c r="D168" t="s">
        <v>19</v>
      </c>
      <c r="E168" t="s">
        <v>35</v>
      </c>
      <c r="F168" t="s">
        <v>36</v>
      </c>
      <c r="G168">
        <v>26</v>
      </c>
      <c r="H168" t="s">
        <v>31</v>
      </c>
      <c r="I168" t="s">
        <v>37</v>
      </c>
      <c r="J168" t="s">
        <v>25</v>
      </c>
      <c r="K168" s="2">
        <v>112256</v>
      </c>
      <c r="L168" s="2">
        <v>107900</v>
      </c>
      <c r="M168" t="s">
        <v>38</v>
      </c>
      <c r="N168">
        <v>47</v>
      </c>
      <c r="O168" t="s">
        <v>23</v>
      </c>
      <c r="P168">
        <v>5</v>
      </c>
      <c r="Q168" s="1">
        <v>34.869999999999997</v>
      </c>
      <c r="R168" s="2">
        <f t="shared" si="8"/>
        <v>-4356</v>
      </c>
      <c r="S168" s="1">
        <f t="shared" si="9"/>
        <v>-3.8804161915621438</v>
      </c>
      <c r="T168" t="str">
        <f t="shared" si="10"/>
        <v>Expert</v>
      </c>
      <c r="U168" t="str">
        <f t="shared" si="11"/>
        <v>Medium Impact</v>
      </c>
    </row>
    <row r="169" spans="1:21" x14ac:dyDescent="0.3">
      <c r="A169" t="s">
        <v>1625</v>
      </c>
      <c r="B169">
        <v>54</v>
      </c>
      <c r="C169" t="s">
        <v>18</v>
      </c>
      <c r="D169" t="s">
        <v>40</v>
      </c>
      <c r="E169" t="s">
        <v>41</v>
      </c>
      <c r="F169" t="s">
        <v>42</v>
      </c>
      <c r="G169">
        <v>32</v>
      </c>
      <c r="H169" t="s">
        <v>22</v>
      </c>
      <c r="I169" t="s">
        <v>31</v>
      </c>
      <c r="J169" t="s">
        <v>25</v>
      </c>
      <c r="K169" s="2">
        <v>52072</v>
      </c>
      <c r="L169" s="2">
        <v>62260</v>
      </c>
      <c r="M169" t="s">
        <v>32</v>
      </c>
      <c r="N169">
        <v>48</v>
      </c>
      <c r="O169" t="s">
        <v>25</v>
      </c>
      <c r="P169">
        <v>5</v>
      </c>
      <c r="Q169" s="1">
        <v>34.869999999999997</v>
      </c>
      <c r="R169" s="2">
        <f t="shared" si="8"/>
        <v>10188</v>
      </c>
      <c r="S169" s="1">
        <f t="shared" si="9"/>
        <v>19.565217391304348</v>
      </c>
      <c r="T169" t="str">
        <f t="shared" si="10"/>
        <v>Expert</v>
      </c>
      <c r="U169" t="str">
        <f t="shared" si="11"/>
        <v>Low Impact</v>
      </c>
    </row>
    <row r="170" spans="1:21" x14ac:dyDescent="0.3">
      <c r="A170" t="s">
        <v>1357</v>
      </c>
      <c r="B170">
        <v>40</v>
      </c>
      <c r="C170" t="s">
        <v>54</v>
      </c>
      <c r="D170" t="s">
        <v>28</v>
      </c>
      <c r="E170" t="s">
        <v>20</v>
      </c>
      <c r="F170" t="s">
        <v>21</v>
      </c>
      <c r="G170">
        <v>18</v>
      </c>
      <c r="H170" t="s">
        <v>37</v>
      </c>
      <c r="I170" t="s">
        <v>31</v>
      </c>
      <c r="J170" t="s">
        <v>25</v>
      </c>
      <c r="K170" s="2">
        <v>32837</v>
      </c>
      <c r="L170" s="2">
        <v>33171</v>
      </c>
      <c r="M170" t="s">
        <v>32</v>
      </c>
      <c r="N170">
        <v>48</v>
      </c>
      <c r="O170" t="s">
        <v>23</v>
      </c>
      <c r="P170">
        <v>6</v>
      </c>
      <c r="Q170" s="1">
        <v>34.83</v>
      </c>
      <c r="R170" s="2">
        <f t="shared" si="8"/>
        <v>334</v>
      </c>
      <c r="S170" s="1">
        <f t="shared" si="9"/>
        <v>1.0171452934190091</v>
      </c>
      <c r="T170" t="str">
        <f t="shared" si="10"/>
        <v>Expert</v>
      </c>
      <c r="U170" t="str">
        <f t="shared" si="11"/>
        <v>Low Impact</v>
      </c>
    </row>
    <row r="171" spans="1:21" x14ac:dyDescent="0.3">
      <c r="A171" t="s">
        <v>1691</v>
      </c>
      <c r="B171">
        <v>22</v>
      </c>
      <c r="C171" t="s">
        <v>18</v>
      </c>
      <c r="D171" t="s">
        <v>19</v>
      </c>
      <c r="E171" t="s">
        <v>29</v>
      </c>
      <c r="F171" t="s">
        <v>102</v>
      </c>
      <c r="G171">
        <v>0</v>
      </c>
      <c r="H171" t="s">
        <v>22</v>
      </c>
      <c r="I171" t="s">
        <v>37</v>
      </c>
      <c r="J171" t="s">
        <v>23</v>
      </c>
      <c r="K171" s="2">
        <v>79222</v>
      </c>
      <c r="L171" s="2">
        <v>105045</v>
      </c>
      <c r="M171" t="s">
        <v>38</v>
      </c>
      <c r="N171">
        <v>37</v>
      </c>
      <c r="O171" t="s">
        <v>23</v>
      </c>
      <c r="P171">
        <v>7</v>
      </c>
      <c r="Q171" s="1">
        <v>34.75</v>
      </c>
      <c r="R171" s="2">
        <f t="shared" si="8"/>
        <v>25823</v>
      </c>
      <c r="S171" s="1">
        <f t="shared" si="9"/>
        <v>32.595743606573926</v>
      </c>
      <c r="T171" t="str">
        <f t="shared" si="10"/>
        <v>Beginner</v>
      </c>
      <c r="U171" t="str">
        <f t="shared" si="11"/>
        <v>Medium Impact</v>
      </c>
    </row>
    <row r="172" spans="1:21" x14ac:dyDescent="0.3">
      <c r="A172" t="s">
        <v>1064</v>
      </c>
      <c r="B172">
        <v>54</v>
      </c>
      <c r="C172" t="s">
        <v>54</v>
      </c>
      <c r="D172" t="s">
        <v>19</v>
      </c>
      <c r="E172" t="s">
        <v>20</v>
      </c>
      <c r="F172" t="s">
        <v>88</v>
      </c>
      <c r="G172">
        <v>29</v>
      </c>
      <c r="H172" t="s">
        <v>31</v>
      </c>
      <c r="I172" t="s">
        <v>37</v>
      </c>
      <c r="J172" t="s">
        <v>23</v>
      </c>
      <c r="K172" s="2">
        <v>89025</v>
      </c>
      <c r="L172" s="2">
        <v>88152</v>
      </c>
      <c r="M172" t="s">
        <v>38</v>
      </c>
      <c r="N172">
        <v>52</v>
      </c>
      <c r="O172" t="s">
        <v>23</v>
      </c>
      <c r="P172">
        <v>8</v>
      </c>
      <c r="Q172" s="1">
        <v>34.729999999999997</v>
      </c>
      <c r="R172" s="2">
        <f t="shared" si="8"/>
        <v>-873</v>
      </c>
      <c r="S172" s="1">
        <f t="shared" si="9"/>
        <v>-0.9806234203875317</v>
      </c>
      <c r="T172" t="str">
        <f t="shared" si="10"/>
        <v>Expert</v>
      </c>
      <c r="U172" t="str">
        <f t="shared" si="11"/>
        <v>Medium Impact</v>
      </c>
    </row>
    <row r="173" spans="1:21" x14ac:dyDescent="0.3">
      <c r="A173" t="s">
        <v>842</v>
      </c>
      <c r="B173">
        <v>34</v>
      </c>
      <c r="C173" t="s">
        <v>27</v>
      </c>
      <c r="D173" t="s">
        <v>34</v>
      </c>
      <c r="E173" t="s">
        <v>29</v>
      </c>
      <c r="F173" t="s">
        <v>104</v>
      </c>
      <c r="G173">
        <v>12</v>
      </c>
      <c r="H173" t="s">
        <v>22</v>
      </c>
      <c r="I173" t="s">
        <v>37</v>
      </c>
      <c r="J173" t="s">
        <v>25</v>
      </c>
      <c r="K173" s="2">
        <v>44678</v>
      </c>
      <c r="L173" s="2">
        <v>44248</v>
      </c>
      <c r="M173" t="s">
        <v>38</v>
      </c>
      <c r="N173">
        <v>51</v>
      </c>
      <c r="O173" t="s">
        <v>23</v>
      </c>
      <c r="P173">
        <v>6</v>
      </c>
      <c r="Q173" s="1">
        <v>34.72</v>
      </c>
      <c r="R173" s="2">
        <f t="shared" si="8"/>
        <v>-430</v>
      </c>
      <c r="S173" s="1">
        <f t="shared" si="9"/>
        <v>-0.96244236536998073</v>
      </c>
      <c r="T173" t="str">
        <f t="shared" si="10"/>
        <v>Intermediate</v>
      </c>
      <c r="U173" t="str">
        <f t="shared" si="11"/>
        <v>Medium Impact</v>
      </c>
    </row>
    <row r="174" spans="1:21" x14ac:dyDescent="0.3">
      <c r="A174" t="s">
        <v>198</v>
      </c>
      <c r="B174">
        <v>29</v>
      </c>
      <c r="C174" t="s">
        <v>54</v>
      </c>
      <c r="D174" t="s">
        <v>34</v>
      </c>
      <c r="E174" t="s">
        <v>29</v>
      </c>
      <c r="F174" t="s">
        <v>104</v>
      </c>
      <c r="G174">
        <v>6</v>
      </c>
      <c r="H174" t="s">
        <v>22</v>
      </c>
      <c r="I174" t="s">
        <v>22</v>
      </c>
      <c r="J174" t="s">
        <v>23</v>
      </c>
      <c r="K174" s="2">
        <v>106077</v>
      </c>
      <c r="L174" s="2">
        <v>124000</v>
      </c>
      <c r="M174" t="s">
        <v>24</v>
      </c>
      <c r="N174">
        <v>42</v>
      </c>
      <c r="O174" t="s">
        <v>23</v>
      </c>
      <c r="P174">
        <v>8</v>
      </c>
      <c r="Q174" s="1">
        <v>34.71</v>
      </c>
      <c r="R174" s="2">
        <f t="shared" si="8"/>
        <v>17923</v>
      </c>
      <c r="S174" s="1">
        <f t="shared" si="9"/>
        <v>16.896216899045033</v>
      </c>
      <c r="T174" t="str">
        <f t="shared" si="10"/>
        <v>Intermediate</v>
      </c>
      <c r="U174" t="str">
        <f t="shared" si="11"/>
        <v>High Impact</v>
      </c>
    </row>
    <row r="175" spans="1:21" x14ac:dyDescent="0.3">
      <c r="A175" t="s">
        <v>1640</v>
      </c>
      <c r="B175">
        <v>31</v>
      </c>
      <c r="C175" t="s">
        <v>54</v>
      </c>
      <c r="D175" t="s">
        <v>34</v>
      </c>
      <c r="E175" t="s">
        <v>20</v>
      </c>
      <c r="F175" t="s">
        <v>88</v>
      </c>
      <c r="G175">
        <v>5</v>
      </c>
      <c r="H175" t="s">
        <v>22</v>
      </c>
      <c r="I175" t="s">
        <v>31</v>
      </c>
      <c r="J175" t="s">
        <v>23</v>
      </c>
      <c r="K175" s="2">
        <v>52488</v>
      </c>
      <c r="L175" s="2">
        <v>56196</v>
      </c>
      <c r="M175" t="s">
        <v>32</v>
      </c>
      <c r="N175">
        <v>38</v>
      </c>
      <c r="O175" t="s">
        <v>25</v>
      </c>
      <c r="P175">
        <v>4</v>
      </c>
      <c r="Q175" s="1">
        <v>34.65</v>
      </c>
      <c r="R175" s="2">
        <f t="shared" si="8"/>
        <v>3708</v>
      </c>
      <c r="S175" s="1">
        <f t="shared" si="9"/>
        <v>7.0644718792866952</v>
      </c>
      <c r="T175" t="str">
        <f t="shared" si="10"/>
        <v>Intermediate</v>
      </c>
      <c r="U175" t="str">
        <f t="shared" si="11"/>
        <v>Low Impact</v>
      </c>
    </row>
    <row r="176" spans="1:21" x14ac:dyDescent="0.3">
      <c r="A176" t="s">
        <v>159</v>
      </c>
      <c r="B176">
        <v>55</v>
      </c>
      <c r="C176" t="s">
        <v>27</v>
      </c>
      <c r="D176" t="s">
        <v>28</v>
      </c>
      <c r="E176" t="s">
        <v>41</v>
      </c>
      <c r="F176" t="s">
        <v>42</v>
      </c>
      <c r="G176">
        <v>30</v>
      </c>
      <c r="H176" t="s">
        <v>22</v>
      </c>
      <c r="I176" t="s">
        <v>31</v>
      </c>
      <c r="J176" t="s">
        <v>23</v>
      </c>
      <c r="K176" s="2">
        <v>83413</v>
      </c>
      <c r="L176" s="2">
        <v>89297</v>
      </c>
      <c r="M176" t="s">
        <v>32</v>
      </c>
      <c r="N176">
        <v>44</v>
      </c>
      <c r="O176" t="s">
        <v>25</v>
      </c>
      <c r="P176">
        <v>5</v>
      </c>
      <c r="Q176" s="1">
        <v>34.630000000000003</v>
      </c>
      <c r="R176" s="2">
        <f t="shared" si="8"/>
        <v>5884</v>
      </c>
      <c r="S176" s="1">
        <f t="shared" si="9"/>
        <v>7.0540563221560184</v>
      </c>
      <c r="T176" t="str">
        <f t="shared" si="10"/>
        <v>Expert</v>
      </c>
      <c r="U176" t="str">
        <f t="shared" si="11"/>
        <v>Low Impact</v>
      </c>
    </row>
    <row r="177" spans="1:21" x14ac:dyDescent="0.3">
      <c r="A177" t="s">
        <v>1793</v>
      </c>
      <c r="B177">
        <v>45</v>
      </c>
      <c r="C177" t="s">
        <v>27</v>
      </c>
      <c r="D177" t="s">
        <v>28</v>
      </c>
      <c r="E177" t="s">
        <v>35</v>
      </c>
      <c r="F177" t="s">
        <v>132</v>
      </c>
      <c r="G177">
        <v>20</v>
      </c>
      <c r="H177" t="s">
        <v>37</v>
      </c>
      <c r="I177" t="s">
        <v>22</v>
      </c>
      <c r="J177" t="s">
        <v>23</v>
      </c>
      <c r="K177" s="2">
        <v>39638</v>
      </c>
      <c r="L177" s="2">
        <v>39384</v>
      </c>
      <c r="M177" t="s">
        <v>32</v>
      </c>
      <c r="N177">
        <v>53</v>
      </c>
      <c r="O177" t="s">
        <v>23</v>
      </c>
      <c r="P177">
        <v>8</v>
      </c>
      <c r="Q177" s="1">
        <v>34.590000000000003</v>
      </c>
      <c r="R177" s="2">
        <f t="shared" si="8"/>
        <v>-254</v>
      </c>
      <c r="S177" s="1">
        <f t="shared" si="9"/>
        <v>-0.64079923305918562</v>
      </c>
      <c r="T177" t="str">
        <f t="shared" si="10"/>
        <v>Expert</v>
      </c>
      <c r="U177" t="str">
        <f t="shared" si="11"/>
        <v>Low Impact</v>
      </c>
    </row>
    <row r="178" spans="1:21" x14ac:dyDescent="0.3">
      <c r="A178" t="s">
        <v>988</v>
      </c>
      <c r="B178">
        <v>27</v>
      </c>
      <c r="C178" t="s">
        <v>27</v>
      </c>
      <c r="D178" t="s">
        <v>34</v>
      </c>
      <c r="E178" t="s">
        <v>35</v>
      </c>
      <c r="F178" t="s">
        <v>132</v>
      </c>
      <c r="G178">
        <v>3</v>
      </c>
      <c r="H178" t="s">
        <v>37</v>
      </c>
      <c r="I178" t="s">
        <v>31</v>
      </c>
      <c r="J178" t="s">
        <v>25</v>
      </c>
      <c r="K178" s="2">
        <v>87716</v>
      </c>
      <c r="L178" s="2">
        <v>93966</v>
      </c>
      <c r="M178" t="s">
        <v>32</v>
      </c>
      <c r="N178">
        <v>51</v>
      </c>
      <c r="O178" t="s">
        <v>25</v>
      </c>
      <c r="P178">
        <v>7</v>
      </c>
      <c r="Q178" s="1">
        <v>34.58</v>
      </c>
      <c r="R178" s="2">
        <f t="shared" si="8"/>
        <v>6250</v>
      </c>
      <c r="S178" s="1">
        <f t="shared" si="9"/>
        <v>7.1252679100734184</v>
      </c>
      <c r="T178" t="str">
        <f t="shared" si="10"/>
        <v>Beginner</v>
      </c>
      <c r="U178" t="str">
        <f t="shared" si="11"/>
        <v>Low Impact</v>
      </c>
    </row>
    <row r="179" spans="1:21" x14ac:dyDescent="0.3">
      <c r="A179" t="s">
        <v>197</v>
      </c>
      <c r="B179">
        <v>47</v>
      </c>
      <c r="C179" t="s">
        <v>27</v>
      </c>
      <c r="D179" t="s">
        <v>19</v>
      </c>
      <c r="E179" t="s">
        <v>29</v>
      </c>
      <c r="F179" t="s">
        <v>104</v>
      </c>
      <c r="G179">
        <v>23</v>
      </c>
      <c r="H179" t="s">
        <v>22</v>
      </c>
      <c r="I179" t="s">
        <v>37</v>
      </c>
      <c r="J179" t="s">
        <v>25</v>
      </c>
      <c r="K179" s="2">
        <v>101315</v>
      </c>
      <c r="L179" s="2">
        <v>92091</v>
      </c>
      <c r="M179" t="s">
        <v>38</v>
      </c>
      <c r="N179">
        <v>40</v>
      </c>
      <c r="O179" t="s">
        <v>23</v>
      </c>
      <c r="P179">
        <v>8</v>
      </c>
      <c r="Q179" s="1">
        <v>34.51</v>
      </c>
      <c r="R179" s="2">
        <f t="shared" si="8"/>
        <v>-9224</v>
      </c>
      <c r="S179" s="1">
        <f t="shared" si="9"/>
        <v>-9.1042787346394913</v>
      </c>
      <c r="T179" t="str">
        <f t="shared" si="10"/>
        <v>Expert</v>
      </c>
      <c r="U179" t="str">
        <f t="shared" si="11"/>
        <v>Medium Impact</v>
      </c>
    </row>
    <row r="180" spans="1:21" x14ac:dyDescent="0.3">
      <c r="A180" t="s">
        <v>74</v>
      </c>
      <c r="B180">
        <v>23</v>
      </c>
      <c r="C180" t="s">
        <v>18</v>
      </c>
      <c r="D180" t="s">
        <v>28</v>
      </c>
      <c r="E180" t="s">
        <v>51</v>
      </c>
      <c r="F180" t="s">
        <v>75</v>
      </c>
      <c r="G180">
        <v>0</v>
      </c>
      <c r="H180" t="s">
        <v>37</v>
      </c>
      <c r="I180" t="s">
        <v>22</v>
      </c>
      <c r="J180" t="s">
        <v>25</v>
      </c>
      <c r="K180" s="2">
        <v>30854</v>
      </c>
      <c r="L180" s="2">
        <v>30347</v>
      </c>
      <c r="M180" t="s">
        <v>32</v>
      </c>
      <c r="N180">
        <v>53</v>
      </c>
      <c r="O180" t="s">
        <v>23</v>
      </c>
      <c r="P180">
        <v>8</v>
      </c>
      <c r="Q180" s="1">
        <v>34.5</v>
      </c>
      <c r="R180" s="2">
        <f t="shared" si="8"/>
        <v>-507</v>
      </c>
      <c r="S180" s="1">
        <f t="shared" si="9"/>
        <v>-1.6432229208530498</v>
      </c>
      <c r="T180" t="str">
        <f t="shared" si="10"/>
        <v>Beginner</v>
      </c>
      <c r="U180" t="str">
        <f t="shared" si="11"/>
        <v>Low Impact</v>
      </c>
    </row>
    <row r="181" spans="1:21" x14ac:dyDescent="0.3">
      <c r="A181" t="s">
        <v>1781</v>
      </c>
      <c r="B181">
        <v>37</v>
      </c>
      <c r="C181" t="s">
        <v>18</v>
      </c>
      <c r="D181" t="s">
        <v>34</v>
      </c>
      <c r="E181" t="s">
        <v>29</v>
      </c>
      <c r="F181" t="s">
        <v>30</v>
      </c>
      <c r="G181">
        <v>12</v>
      </c>
      <c r="H181" t="s">
        <v>22</v>
      </c>
      <c r="I181" t="s">
        <v>31</v>
      </c>
      <c r="J181" t="s">
        <v>25</v>
      </c>
      <c r="K181" s="2">
        <v>41231</v>
      </c>
      <c r="L181" s="2">
        <v>41102</v>
      </c>
      <c r="M181" t="s">
        <v>32</v>
      </c>
      <c r="N181">
        <v>40</v>
      </c>
      <c r="O181" t="s">
        <v>23</v>
      </c>
      <c r="P181">
        <v>5</v>
      </c>
      <c r="Q181" s="1">
        <v>34.49</v>
      </c>
      <c r="R181" s="2">
        <f t="shared" si="8"/>
        <v>-129</v>
      </c>
      <c r="S181" s="1">
        <f t="shared" si="9"/>
        <v>-0.31287138318255681</v>
      </c>
      <c r="T181" t="str">
        <f t="shared" si="10"/>
        <v>Intermediate</v>
      </c>
      <c r="U181" t="str">
        <f t="shared" si="11"/>
        <v>Low Impact</v>
      </c>
    </row>
    <row r="182" spans="1:21" x14ac:dyDescent="0.3">
      <c r="A182" t="s">
        <v>548</v>
      </c>
      <c r="B182">
        <v>27</v>
      </c>
      <c r="C182" t="s">
        <v>27</v>
      </c>
      <c r="D182" t="s">
        <v>28</v>
      </c>
      <c r="E182" t="s">
        <v>35</v>
      </c>
      <c r="F182" t="s">
        <v>98</v>
      </c>
      <c r="G182">
        <v>2</v>
      </c>
      <c r="H182" t="s">
        <v>22</v>
      </c>
      <c r="I182" t="s">
        <v>22</v>
      </c>
      <c r="J182" t="s">
        <v>23</v>
      </c>
      <c r="K182" s="2">
        <v>96155</v>
      </c>
      <c r="L182" s="2">
        <v>122651</v>
      </c>
      <c r="M182" t="s">
        <v>38</v>
      </c>
      <c r="N182">
        <v>36</v>
      </c>
      <c r="O182" t="s">
        <v>25</v>
      </c>
      <c r="P182">
        <v>3</v>
      </c>
      <c r="Q182" s="1">
        <v>34.47</v>
      </c>
      <c r="R182" s="2">
        <f t="shared" si="8"/>
        <v>26496</v>
      </c>
      <c r="S182" s="1">
        <f t="shared" si="9"/>
        <v>27.555509333887997</v>
      </c>
      <c r="T182" t="str">
        <f t="shared" si="10"/>
        <v>Beginner</v>
      </c>
      <c r="U182" t="str">
        <f t="shared" si="11"/>
        <v>Medium Impact</v>
      </c>
    </row>
    <row r="183" spans="1:21" x14ac:dyDescent="0.3">
      <c r="A183" t="s">
        <v>1551</v>
      </c>
      <c r="B183">
        <v>49</v>
      </c>
      <c r="C183" t="s">
        <v>18</v>
      </c>
      <c r="D183" t="s">
        <v>28</v>
      </c>
      <c r="E183" t="s">
        <v>29</v>
      </c>
      <c r="F183" t="s">
        <v>30</v>
      </c>
      <c r="G183">
        <v>25</v>
      </c>
      <c r="H183" t="s">
        <v>31</v>
      </c>
      <c r="I183" t="s">
        <v>37</v>
      </c>
      <c r="J183" t="s">
        <v>25</v>
      </c>
      <c r="K183" s="2">
        <v>112533</v>
      </c>
      <c r="L183" s="2">
        <v>113707</v>
      </c>
      <c r="M183" t="s">
        <v>38</v>
      </c>
      <c r="N183">
        <v>47</v>
      </c>
      <c r="O183" t="s">
        <v>23</v>
      </c>
      <c r="P183">
        <v>5</v>
      </c>
      <c r="Q183" s="1">
        <v>34.43</v>
      </c>
      <c r="R183" s="2">
        <f t="shared" si="8"/>
        <v>1174</v>
      </c>
      <c r="S183" s="1">
        <f t="shared" si="9"/>
        <v>1.0432495356917526</v>
      </c>
      <c r="T183" t="str">
        <f t="shared" si="10"/>
        <v>Expert</v>
      </c>
      <c r="U183" t="str">
        <f t="shared" si="11"/>
        <v>Medium Impact</v>
      </c>
    </row>
    <row r="184" spans="1:21" x14ac:dyDescent="0.3">
      <c r="A184" t="s">
        <v>584</v>
      </c>
      <c r="B184">
        <v>35</v>
      </c>
      <c r="C184" t="s">
        <v>18</v>
      </c>
      <c r="D184" t="s">
        <v>34</v>
      </c>
      <c r="E184" t="s">
        <v>35</v>
      </c>
      <c r="F184" t="s">
        <v>132</v>
      </c>
      <c r="G184">
        <v>11</v>
      </c>
      <c r="H184" t="s">
        <v>37</v>
      </c>
      <c r="I184" t="s">
        <v>37</v>
      </c>
      <c r="J184" t="s">
        <v>25</v>
      </c>
      <c r="K184" s="2">
        <v>41889</v>
      </c>
      <c r="L184" s="2">
        <v>48166</v>
      </c>
      <c r="M184" t="s">
        <v>38</v>
      </c>
      <c r="N184">
        <v>52</v>
      </c>
      <c r="O184" t="s">
        <v>23</v>
      </c>
      <c r="P184">
        <v>6</v>
      </c>
      <c r="Q184" s="1">
        <v>34.369999999999997</v>
      </c>
      <c r="R184" s="2">
        <f t="shared" si="8"/>
        <v>6277</v>
      </c>
      <c r="S184" s="1">
        <f t="shared" si="9"/>
        <v>14.98484088901621</v>
      </c>
      <c r="T184" t="str">
        <f t="shared" si="10"/>
        <v>Intermediate</v>
      </c>
      <c r="U184" t="str">
        <f t="shared" si="11"/>
        <v>Medium Impact</v>
      </c>
    </row>
    <row r="185" spans="1:21" x14ac:dyDescent="0.3">
      <c r="A185" t="s">
        <v>128</v>
      </c>
      <c r="B185">
        <v>40</v>
      </c>
      <c r="C185" t="s">
        <v>18</v>
      </c>
      <c r="D185" t="s">
        <v>40</v>
      </c>
      <c r="E185" t="s">
        <v>35</v>
      </c>
      <c r="F185" t="s">
        <v>98</v>
      </c>
      <c r="G185">
        <v>18</v>
      </c>
      <c r="H185" t="s">
        <v>22</v>
      </c>
      <c r="I185" t="s">
        <v>31</v>
      </c>
      <c r="J185" t="s">
        <v>25</v>
      </c>
      <c r="K185" s="2">
        <v>109459</v>
      </c>
      <c r="L185" s="2">
        <v>88278</v>
      </c>
      <c r="M185" t="s">
        <v>32</v>
      </c>
      <c r="N185">
        <v>46</v>
      </c>
      <c r="O185" t="s">
        <v>23</v>
      </c>
      <c r="P185">
        <v>3</v>
      </c>
      <c r="Q185" s="1">
        <v>34.32</v>
      </c>
      <c r="R185" s="2">
        <f t="shared" si="8"/>
        <v>-21181</v>
      </c>
      <c r="S185" s="1">
        <f t="shared" si="9"/>
        <v>-19.350624434719847</v>
      </c>
      <c r="T185" t="str">
        <f t="shared" si="10"/>
        <v>Expert</v>
      </c>
      <c r="U185" t="str">
        <f t="shared" si="11"/>
        <v>Low Impact</v>
      </c>
    </row>
    <row r="186" spans="1:21" x14ac:dyDescent="0.3">
      <c r="A186" t="s">
        <v>2050</v>
      </c>
      <c r="B186">
        <v>25</v>
      </c>
      <c r="C186" t="s">
        <v>18</v>
      </c>
      <c r="D186" t="s">
        <v>28</v>
      </c>
      <c r="E186" t="s">
        <v>51</v>
      </c>
      <c r="F186" t="s">
        <v>130</v>
      </c>
      <c r="G186">
        <v>0</v>
      </c>
      <c r="H186" t="s">
        <v>37</v>
      </c>
      <c r="I186" t="s">
        <v>37</v>
      </c>
      <c r="J186" t="s">
        <v>25</v>
      </c>
      <c r="K186" s="2">
        <v>119627</v>
      </c>
      <c r="L186" s="2">
        <v>118687</v>
      </c>
      <c r="M186" t="s">
        <v>38</v>
      </c>
      <c r="N186">
        <v>35</v>
      </c>
      <c r="O186" t="s">
        <v>25</v>
      </c>
      <c r="P186">
        <v>6</v>
      </c>
      <c r="Q186" s="1">
        <v>34.31</v>
      </c>
      <c r="R186" s="2">
        <f t="shared" si="8"/>
        <v>-940</v>
      </c>
      <c r="S186" s="1">
        <f t="shared" si="9"/>
        <v>-0.78577578640273515</v>
      </c>
      <c r="T186" t="str">
        <f t="shared" si="10"/>
        <v>Beginner</v>
      </c>
      <c r="U186" t="str">
        <f t="shared" si="11"/>
        <v>Medium Impact</v>
      </c>
    </row>
    <row r="187" spans="1:21" x14ac:dyDescent="0.3">
      <c r="A187" t="s">
        <v>1567</v>
      </c>
      <c r="B187">
        <v>49</v>
      </c>
      <c r="C187" t="s">
        <v>54</v>
      </c>
      <c r="D187" t="s">
        <v>34</v>
      </c>
      <c r="E187" t="s">
        <v>51</v>
      </c>
      <c r="F187" t="s">
        <v>130</v>
      </c>
      <c r="G187">
        <v>27</v>
      </c>
      <c r="H187" t="s">
        <v>37</v>
      </c>
      <c r="I187" t="s">
        <v>31</v>
      </c>
      <c r="J187" t="s">
        <v>23</v>
      </c>
      <c r="K187" s="2">
        <v>45003</v>
      </c>
      <c r="L187" s="2">
        <v>45887</v>
      </c>
      <c r="M187" t="s">
        <v>32</v>
      </c>
      <c r="N187">
        <v>47</v>
      </c>
      <c r="O187" t="s">
        <v>25</v>
      </c>
      <c r="P187">
        <v>7</v>
      </c>
      <c r="Q187" s="1">
        <v>34.26</v>
      </c>
      <c r="R187" s="2">
        <f t="shared" si="8"/>
        <v>884</v>
      </c>
      <c r="S187" s="1">
        <f t="shared" si="9"/>
        <v>1.9643134902117638</v>
      </c>
      <c r="T187" t="str">
        <f t="shared" si="10"/>
        <v>Expert</v>
      </c>
      <c r="U187" t="str">
        <f t="shared" si="11"/>
        <v>Low Impact</v>
      </c>
    </row>
    <row r="188" spans="1:21" x14ac:dyDescent="0.3">
      <c r="A188" t="s">
        <v>1248</v>
      </c>
      <c r="B188">
        <v>34</v>
      </c>
      <c r="C188" t="s">
        <v>27</v>
      </c>
      <c r="D188" t="s">
        <v>19</v>
      </c>
      <c r="E188" t="s">
        <v>35</v>
      </c>
      <c r="F188" t="s">
        <v>36</v>
      </c>
      <c r="G188">
        <v>8</v>
      </c>
      <c r="H188" t="s">
        <v>31</v>
      </c>
      <c r="I188" t="s">
        <v>22</v>
      </c>
      <c r="J188" t="s">
        <v>23</v>
      </c>
      <c r="K188" s="2">
        <v>86235</v>
      </c>
      <c r="L188" s="2">
        <v>93804</v>
      </c>
      <c r="M188" t="s">
        <v>32</v>
      </c>
      <c r="N188">
        <v>52</v>
      </c>
      <c r="O188" t="s">
        <v>25</v>
      </c>
      <c r="P188">
        <v>5</v>
      </c>
      <c r="Q188" s="1">
        <v>34.25</v>
      </c>
      <c r="R188" s="2">
        <f t="shared" si="8"/>
        <v>7569</v>
      </c>
      <c r="S188" s="1">
        <f t="shared" si="9"/>
        <v>8.7771786397634379</v>
      </c>
      <c r="T188" t="str">
        <f t="shared" si="10"/>
        <v>Intermediate</v>
      </c>
      <c r="U188" t="str">
        <f t="shared" si="11"/>
        <v>Low Impact</v>
      </c>
    </row>
    <row r="189" spans="1:21" x14ac:dyDescent="0.3">
      <c r="A189" t="s">
        <v>407</v>
      </c>
      <c r="B189">
        <v>57</v>
      </c>
      <c r="C189" t="s">
        <v>54</v>
      </c>
      <c r="D189" t="s">
        <v>40</v>
      </c>
      <c r="E189" t="s">
        <v>35</v>
      </c>
      <c r="F189" t="s">
        <v>98</v>
      </c>
      <c r="G189">
        <v>34</v>
      </c>
      <c r="H189" t="s">
        <v>22</v>
      </c>
      <c r="I189" t="s">
        <v>31</v>
      </c>
      <c r="J189" t="s">
        <v>25</v>
      </c>
      <c r="K189" s="2">
        <v>49715</v>
      </c>
      <c r="L189" s="2">
        <v>41258</v>
      </c>
      <c r="M189" t="s">
        <v>32</v>
      </c>
      <c r="N189">
        <v>37</v>
      </c>
      <c r="O189" t="s">
        <v>23</v>
      </c>
      <c r="P189">
        <v>3</v>
      </c>
      <c r="Q189" s="1">
        <v>34.229999999999997</v>
      </c>
      <c r="R189" s="2">
        <f t="shared" si="8"/>
        <v>-8457</v>
      </c>
      <c r="S189" s="1">
        <f t="shared" si="9"/>
        <v>-17.010962486171174</v>
      </c>
      <c r="T189" t="str">
        <f t="shared" si="10"/>
        <v>Expert</v>
      </c>
      <c r="U189" t="str">
        <f t="shared" si="11"/>
        <v>Low Impact</v>
      </c>
    </row>
    <row r="190" spans="1:21" x14ac:dyDescent="0.3">
      <c r="A190" t="s">
        <v>862</v>
      </c>
      <c r="B190">
        <v>40</v>
      </c>
      <c r="C190" t="s">
        <v>27</v>
      </c>
      <c r="D190" t="s">
        <v>28</v>
      </c>
      <c r="E190" t="s">
        <v>20</v>
      </c>
      <c r="F190" t="s">
        <v>118</v>
      </c>
      <c r="G190">
        <v>15</v>
      </c>
      <c r="H190" t="s">
        <v>22</v>
      </c>
      <c r="I190" t="s">
        <v>22</v>
      </c>
      <c r="J190" t="s">
        <v>25</v>
      </c>
      <c r="K190" s="2">
        <v>61186</v>
      </c>
      <c r="L190" s="2">
        <v>77876</v>
      </c>
      <c r="M190" t="s">
        <v>24</v>
      </c>
      <c r="N190">
        <v>42</v>
      </c>
      <c r="O190" t="s">
        <v>23</v>
      </c>
      <c r="P190">
        <v>5</v>
      </c>
      <c r="Q190" s="1">
        <v>34.19</v>
      </c>
      <c r="R190" s="2">
        <f t="shared" si="8"/>
        <v>16690</v>
      </c>
      <c r="S190" s="1">
        <f t="shared" si="9"/>
        <v>27.277481776877067</v>
      </c>
      <c r="T190" t="str">
        <f t="shared" si="10"/>
        <v>Expert</v>
      </c>
      <c r="U190" t="str">
        <f t="shared" si="11"/>
        <v>High Impact</v>
      </c>
    </row>
    <row r="191" spans="1:21" x14ac:dyDescent="0.3">
      <c r="A191" t="s">
        <v>1280</v>
      </c>
      <c r="B191">
        <v>23</v>
      </c>
      <c r="C191" t="s">
        <v>54</v>
      </c>
      <c r="D191" t="s">
        <v>40</v>
      </c>
      <c r="E191" t="s">
        <v>51</v>
      </c>
      <c r="F191" t="s">
        <v>75</v>
      </c>
      <c r="G191">
        <v>0</v>
      </c>
      <c r="H191" t="s">
        <v>31</v>
      </c>
      <c r="I191" t="s">
        <v>31</v>
      </c>
      <c r="J191" t="s">
        <v>25</v>
      </c>
      <c r="K191" s="2">
        <v>89860</v>
      </c>
      <c r="L191" s="2">
        <v>85857</v>
      </c>
      <c r="M191" t="s">
        <v>32</v>
      </c>
      <c r="N191">
        <v>53</v>
      </c>
      <c r="O191" t="s">
        <v>25</v>
      </c>
      <c r="P191">
        <v>6</v>
      </c>
      <c r="Q191" s="1">
        <v>34.15</v>
      </c>
      <c r="R191" s="2">
        <f t="shared" si="8"/>
        <v>-4003</v>
      </c>
      <c r="S191" s="1">
        <f t="shared" si="9"/>
        <v>-4.4547073225016689</v>
      </c>
      <c r="T191" t="str">
        <f t="shared" si="10"/>
        <v>Beginner</v>
      </c>
      <c r="U191" t="str">
        <f t="shared" si="11"/>
        <v>Low Impact</v>
      </c>
    </row>
    <row r="192" spans="1:21" x14ac:dyDescent="0.3">
      <c r="A192" t="s">
        <v>557</v>
      </c>
      <c r="B192">
        <v>48</v>
      </c>
      <c r="C192" t="s">
        <v>18</v>
      </c>
      <c r="D192" t="s">
        <v>19</v>
      </c>
      <c r="E192" t="s">
        <v>20</v>
      </c>
      <c r="F192" t="s">
        <v>88</v>
      </c>
      <c r="G192">
        <v>25</v>
      </c>
      <c r="H192" t="s">
        <v>37</v>
      </c>
      <c r="I192" t="s">
        <v>31</v>
      </c>
      <c r="J192" t="s">
        <v>23</v>
      </c>
      <c r="K192" s="2">
        <v>93811</v>
      </c>
      <c r="L192" s="2">
        <v>108274</v>
      </c>
      <c r="M192" t="s">
        <v>32</v>
      </c>
      <c r="N192">
        <v>47</v>
      </c>
      <c r="O192" t="s">
        <v>25</v>
      </c>
      <c r="P192">
        <v>6</v>
      </c>
      <c r="Q192" s="1">
        <v>34.130000000000003</v>
      </c>
      <c r="R192" s="2">
        <f t="shared" si="8"/>
        <v>14463</v>
      </c>
      <c r="S192" s="1">
        <f t="shared" si="9"/>
        <v>15.417168562322114</v>
      </c>
      <c r="T192" t="str">
        <f t="shared" si="10"/>
        <v>Expert</v>
      </c>
      <c r="U192" t="str">
        <f t="shared" si="11"/>
        <v>Low Impact</v>
      </c>
    </row>
    <row r="193" spans="1:21" x14ac:dyDescent="0.3">
      <c r="A193" t="s">
        <v>1195</v>
      </c>
      <c r="B193">
        <v>59</v>
      </c>
      <c r="C193" t="s">
        <v>18</v>
      </c>
      <c r="D193" t="s">
        <v>34</v>
      </c>
      <c r="E193" t="s">
        <v>44</v>
      </c>
      <c r="F193" t="s">
        <v>57</v>
      </c>
      <c r="G193">
        <v>33</v>
      </c>
      <c r="H193" t="s">
        <v>37</v>
      </c>
      <c r="I193" t="s">
        <v>37</v>
      </c>
      <c r="J193" t="s">
        <v>23</v>
      </c>
      <c r="K193" s="2">
        <v>36372</v>
      </c>
      <c r="L193" s="2">
        <v>38786</v>
      </c>
      <c r="M193" t="s">
        <v>38</v>
      </c>
      <c r="N193">
        <v>40</v>
      </c>
      <c r="O193" t="s">
        <v>23</v>
      </c>
      <c r="P193">
        <v>7</v>
      </c>
      <c r="Q193" s="1">
        <v>34.1</v>
      </c>
      <c r="R193" s="2">
        <f t="shared" si="8"/>
        <v>2414</v>
      </c>
      <c r="S193" s="1">
        <f t="shared" si="9"/>
        <v>6.6369734960958979</v>
      </c>
      <c r="T193" t="str">
        <f t="shared" si="10"/>
        <v>Expert</v>
      </c>
      <c r="U193" t="str">
        <f t="shared" si="11"/>
        <v>Medium Impact</v>
      </c>
    </row>
    <row r="194" spans="1:21" x14ac:dyDescent="0.3">
      <c r="A194" t="s">
        <v>1808</v>
      </c>
      <c r="B194">
        <v>34</v>
      </c>
      <c r="C194" t="s">
        <v>54</v>
      </c>
      <c r="D194" t="s">
        <v>28</v>
      </c>
      <c r="E194" t="s">
        <v>59</v>
      </c>
      <c r="F194" t="s">
        <v>77</v>
      </c>
      <c r="G194">
        <v>9</v>
      </c>
      <c r="H194" t="s">
        <v>22</v>
      </c>
      <c r="I194" t="s">
        <v>37</v>
      </c>
      <c r="J194" t="s">
        <v>25</v>
      </c>
      <c r="K194" s="2">
        <v>110140</v>
      </c>
      <c r="L194" s="2">
        <v>137206</v>
      </c>
      <c r="M194" t="s">
        <v>38</v>
      </c>
      <c r="N194">
        <v>53</v>
      </c>
      <c r="O194" t="s">
        <v>25</v>
      </c>
      <c r="P194">
        <v>7</v>
      </c>
      <c r="Q194" s="1">
        <v>33.99</v>
      </c>
      <c r="R194" s="2">
        <f t="shared" ref="R194:R257" si="12">L194-K194</f>
        <v>27066</v>
      </c>
      <c r="S194" s="1">
        <f t="shared" ref="S194:S257" si="13">(L194-K194)/K194*100</f>
        <v>24.574178318503723</v>
      </c>
      <c r="T194" t="str">
        <f t="shared" ref="T194:T257" si="14">IF(G194&lt;5,"Beginner",IF(G194&lt;15,"Intermediate","Expert"))</f>
        <v>Intermediate</v>
      </c>
      <c r="U194" t="str">
        <f t="shared" ref="U194:U257" si="15">IF(M194="Replaced","High Impact",IF(M194="Modified","Medium Impact","Low Impact"))</f>
        <v>Medium Impact</v>
      </c>
    </row>
    <row r="195" spans="1:21" x14ac:dyDescent="0.3">
      <c r="A195" t="s">
        <v>1662</v>
      </c>
      <c r="B195">
        <v>25</v>
      </c>
      <c r="C195" t="s">
        <v>54</v>
      </c>
      <c r="D195" t="s">
        <v>19</v>
      </c>
      <c r="E195" t="s">
        <v>29</v>
      </c>
      <c r="F195" t="s">
        <v>30</v>
      </c>
      <c r="G195">
        <v>3</v>
      </c>
      <c r="H195" t="s">
        <v>37</v>
      </c>
      <c r="I195" t="s">
        <v>22</v>
      </c>
      <c r="J195" t="s">
        <v>23</v>
      </c>
      <c r="K195" s="2">
        <v>40956</v>
      </c>
      <c r="L195" s="2">
        <v>40133</v>
      </c>
      <c r="M195" t="s">
        <v>32</v>
      </c>
      <c r="N195">
        <v>53</v>
      </c>
      <c r="O195" t="s">
        <v>23</v>
      </c>
      <c r="P195">
        <v>5</v>
      </c>
      <c r="Q195" s="1">
        <v>33.97</v>
      </c>
      <c r="R195" s="2">
        <f t="shared" si="12"/>
        <v>-823</v>
      </c>
      <c r="S195" s="1">
        <f t="shared" si="13"/>
        <v>-2.0094735814044342</v>
      </c>
      <c r="T195" t="str">
        <f t="shared" si="14"/>
        <v>Beginner</v>
      </c>
      <c r="U195" t="str">
        <f t="shared" si="15"/>
        <v>Low Impact</v>
      </c>
    </row>
    <row r="196" spans="1:21" x14ac:dyDescent="0.3">
      <c r="A196" t="s">
        <v>784</v>
      </c>
      <c r="B196">
        <v>44</v>
      </c>
      <c r="C196" t="s">
        <v>54</v>
      </c>
      <c r="D196" t="s">
        <v>34</v>
      </c>
      <c r="E196" t="s">
        <v>44</v>
      </c>
      <c r="F196" t="s">
        <v>45</v>
      </c>
      <c r="G196">
        <v>18</v>
      </c>
      <c r="H196" t="s">
        <v>22</v>
      </c>
      <c r="I196" t="s">
        <v>22</v>
      </c>
      <c r="J196" t="s">
        <v>23</v>
      </c>
      <c r="K196" s="2">
        <v>118314</v>
      </c>
      <c r="L196" s="2">
        <v>153117</v>
      </c>
      <c r="M196" t="s">
        <v>38</v>
      </c>
      <c r="N196">
        <v>40</v>
      </c>
      <c r="O196" t="s">
        <v>25</v>
      </c>
      <c r="P196">
        <v>9</v>
      </c>
      <c r="Q196" s="1">
        <v>33.93</v>
      </c>
      <c r="R196" s="2">
        <f t="shared" si="12"/>
        <v>34803</v>
      </c>
      <c r="S196" s="1">
        <f t="shared" si="13"/>
        <v>29.415791875855774</v>
      </c>
      <c r="T196" t="str">
        <f t="shared" si="14"/>
        <v>Expert</v>
      </c>
      <c r="U196" t="str">
        <f t="shared" si="15"/>
        <v>Medium Impact</v>
      </c>
    </row>
    <row r="197" spans="1:21" x14ac:dyDescent="0.3">
      <c r="A197" t="s">
        <v>1582</v>
      </c>
      <c r="B197">
        <v>46</v>
      </c>
      <c r="C197" t="s">
        <v>27</v>
      </c>
      <c r="D197" t="s">
        <v>34</v>
      </c>
      <c r="E197" t="s">
        <v>20</v>
      </c>
      <c r="F197" t="s">
        <v>88</v>
      </c>
      <c r="G197">
        <v>20</v>
      </c>
      <c r="H197" t="s">
        <v>37</v>
      </c>
      <c r="I197" t="s">
        <v>37</v>
      </c>
      <c r="J197" t="s">
        <v>25</v>
      </c>
      <c r="K197" s="2">
        <v>81357</v>
      </c>
      <c r="L197" s="2">
        <v>85990</v>
      </c>
      <c r="M197" t="s">
        <v>38</v>
      </c>
      <c r="N197">
        <v>45</v>
      </c>
      <c r="O197" t="s">
        <v>23</v>
      </c>
      <c r="P197">
        <v>8</v>
      </c>
      <c r="Q197" s="1">
        <v>33.92</v>
      </c>
      <c r="R197" s="2">
        <f t="shared" si="12"/>
        <v>4633</v>
      </c>
      <c r="S197" s="1">
        <f t="shared" si="13"/>
        <v>5.6946544243273474</v>
      </c>
      <c r="T197" t="str">
        <f t="shared" si="14"/>
        <v>Expert</v>
      </c>
      <c r="U197" t="str">
        <f t="shared" si="15"/>
        <v>Medium Impact</v>
      </c>
    </row>
    <row r="198" spans="1:21" x14ac:dyDescent="0.3">
      <c r="A198" t="s">
        <v>1533</v>
      </c>
      <c r="B198">
        <v>33</v>
      </c>
      <c r="C198" t="s">
        <v>27</v>
      </c>
      <c r="D198" t="s">
        <v>34</v>
      </c>
      <c r="E198" t="s">
        <v>51</v>
      </c>
      <c r="F198" t="s">
        <v>75</v>
      </c>
      <c r="G198">
        <v>8</v>
      </c>
      <c r="H198" t="s">
        <v>31</v>
      </c>
      <c r="I198" t="s">
        <v>37</v>
      </c>
      <c r="J198" t="s">
        <v>25</v>
      </c>
      <c r="K198" s="2">
        <v>32419</v>
      </c>
      <c r="L198" s="2">
        <v>34684</v>
      </c>
      <c r="M198" t="s">
        <v>38</v>
      </c>
      <c r="N198">
        <v>35</v>
      </c>
      <c r="O198" t="s">
        <v>25</v>
      </c>
      <c r="P198">
        <v>6</v>
      </c>
      <c r="Q198" s="1">
        <v>33.92</v>
      </c>
      <c r="R198" s="2">
        <f t="shared" si="12"/>
        <v>2265</v>
      </c>
      <c r="S198" s="1">
        <f t="shared" si="13"/>
        <v>6.986643634905457</v>
      </c>
      <c r="T198" t="str">
        <f t="shared" si="14"/>
        <v>Intermediate</v>
      </c>
      <c r="U198" t="str">
        <f t="shared" si="15"/>
        <v>Medium Impact</v>
      </c>
    </row>
    <row r="199" spans="1:21" x14ac:dyDescent="0.3">
      <c r="A199" t="s">
        <v>328</v>
      </c>
      <c r="B199">
        <v>42</v>
      </c>
      <c r="C199" t="s">
        <v>18</v>
      </c>
      <c r="D199" t="s">
        <v>34</v>
      </c>
      <c r="E199" t="s">
        <v>29</v>
      </c>
      <c r="F199" t="s">
        <v>102</v>
      </c>
      <c r="G199">
        <v>18</v>
      </c>
      <c r="H199" t="s">
        <v>31</v>
      </c>
      <c r="I199" t="s">
        <v>31</v>
      </c>
      <c r="J199" t="s">
        <v>23</v>
      </c>
      <c r="K199" s="2">
        <v>99967</v>
      </c>
      <c r="L199" s="2">
        <v>104677</v>
      </c>
      <c r="M199" t="s">
        <v>32</v>
      </c>
      <c r="N199">
        <v>38</v>
      </c>
      <c r="O199" t="s">
        <v>25</v>
      </c>
      <c r="P199">
        <v>5</v>
      </c>
      <c r="Q199" s="1">
        <v>33.880000000000003</v>
      </c>
      <c r="R199" s="2">
        <f t="shared" si="12"/>
        <v>4710</v>
      </c>
      <c r="S199" s="1">
        <f t="shared" si="13"/>
        <v>4.7115548130883189</v>
      </c>
      <c r="T199" t="str">
        <f t="shared" si="14"/>
        <v>Expert</v>
      </c>
      <c r="U199" t="str">
        <f t="shared" si="15"/>
        <v>Low Impact</v>
      </c>
    </row>
    <row r="200" spans="1:21" x14ac:dyDescent="0.3">
      <c r="A200" t="s">
        <v>1413</v>
      </c>
      <c r="B200">
        <v>31</v>
      </c>
      <c r="C200" t="s">
        <v>18</v>
      </c>
      <c r="D200" t="s">
        <v>19</v>
      </c>
      <c r="E200" t="s">
        <v>20</v>
      </c>
      <c r="F200" t="s">
        <v>21</v>
      </c>
      <c r="G200">
        <v>7</v>
      </c>
      <c r="H200" t="s">
        <v>37</v>
      </c>
      <c r="I200" t="s">
        <v>22</v>
      </c>
      <c r="J200" t="s">
        <v>25</v>
      </c>
      <c r="K200" s="2">
        <v>51604</v>
      </c>
      <c r="L200" s="2">
        <v>58879</v>
      </c>
      <c r="M200" t="s">
        <v>32</v>
      </c>
      <c r="N200">
        <v>47</v>
      </c>
      <c r="O200" t="s">
        <v>25</v>
      </c>
      <c r="P200">
        <v>4</v>
      </c>
      <c r="Q200" s="1">
        <v>33.840000000000003</v>
      </c>
      <c r="R200" s="2">
        <f t="shared" si="12"/>
        <v>7275</v>
      </c>
      <c r="S200" s="1">
        <f t="shared" si="13"/>
        <v>14.097744360902256</v>
      </c>
      <c r="T200" t="str">
        <f t="shared" si="14"/>
        <v>Intermediate</v>
      </c>
      <c r="U200" t="str">
        <f t="shared" si="15"/>
        <v>Low Impact</v>
      </c>
    </row>
    <row r="201" spans="1:21" x14ac:dyDescent="0.3">
      <c r="A201" t="s">
        <v>861</v>
      </c>
      <c r="B201">
        <v>40</v>
      </c>
      <c r="C201" t="s">
        <v>27</v>
      </c>
      <c r="D201" t="s">
        <v>19</v>
      </c>
      <c r="E201" t="s">
        <v>20</v>
      </c>
      <c r="F201" t="s">
        <v>21</v>
      </c>
      <c r="G201">
        <v>18</v>
      </c>
      <c r="H201" t="s">
        <v>22</v>
      </c>
      <c r="I201" t="s">
        <v>22</v>
      </c>
      <c r="J201" t="s">
        <v>25</v>
      </c>
      <c r="K201" s="2">
        <v>90430</v>
      </c>
      <c r="L201" s="2">
        <v>113106</v>
      </c>
      <c r="M201" t="s">
        <v>38</v>
      </c>
      <c r="N201">
        <v>48</v>
      </c>
      <c r="O201" t="s">
        <v>23</v>
      </c>
      <c r="P201">
        <v>3</v>
      </c>
      <c r="Q201" s="1">
        <v>33.82</v>
      </c>
      <c r="R201" s="2">
        <f t="shared" si="12"/>
        <v>22676</v>
      </c>
      <c r="S201" s="1">
        <f t="shared" si="13"/>
        <v>25.075749198274909</v>
      </c>
      <c r="T201" t="str">
        <f t="shared" si="14"/>
        <v>Expert</v>
      </c>
      <c r="U201" t="str">
        <f t="shared" si="15"/>
        <v>Medium Impact</v>
      </c>
    </row>
    <row r="202" spans="1:21" x14ac:dyDescent="0.3">
      <c r="A202" t="s">
        <v>176</v>
      </c>
      <c r="B202">
        <v>25</v>
      </c>
      <c r="C202" t="s">
        <v>27</v>
      </c>
      <c r="D202" t="s">
        <v>28</v>
      </c>
      <c r="E202" t="s">
        <v>41</v>
      </c>
      <c r="F202" t="s">
        <v>49</v>
      </c>
      <c r="G202">
        <v>1</v>
      </c>
      <c r="H202" t="s">
        <v>37</v>
      </c>
      <c r="I202" t="s">
        <v>22</v>
      </c>
      <c r="J202" t="s">
        <v>25</v>
      </c>
      <c r="K202" s="2">
        <v>106125</v>
      </c>
      <c r="L202" s="2">
        <v>101032</v>
      </c>
      <c r="M202" t="s">
        <v>32</v>
      </c>
      <c r="N202">
        <v>37</v>
      </c>
      <c r="O202" t="s">
        <v>25</v>
      </c>
      <c r="P202">
        <v>5</v>
      </c>
      <c r="Q202" s="1">
        <v>33.81</v>
      </c>
      <c r="R202" s="2">
        <f t="shared" si="12"/>
        <v>-5093</v>
      </c>
      <c r="S202" s="1">
        <f t="shared" si="13"/>
        <v>-4.7990577149587752</v>
      </c>
      <c r="T202" t="str">
        <f t="shared" si="14"/>
        <v>Beginner</v>
      </c>
      <c r="U202" t="str">
        <f t="shared" si="15"/>
        <v>Low Impact</v>
      </c>
    </row>
    <row r="203" spans="1:21" x14ac:dyDescent="0.3">
      <c r="A203" t="s">
        <v>177</v>
      </c>
      <c r="B203">
        <v>52</v>
      </c>
      <c r="C203" t="s">
        <v>54</v>
      </c>
      <c r="D203" t="s">
        <v>34</v>
      </c>
      <c r="E203" t="s">
        <v>35</v>
      </c>
      <c r="F203" t="s">
        <v>132</v>
      </c>
      <c r="G203">
        <v>26</v>
      </c>
      <c r="H203" t="s">
        <v>22</v>
      </c>
      <c r="I203" t="s">
        <v>22</v>
      </c>
      <c r="J203" t="s">
        <v>25</v>
      </c>
      <c r="K203" s="2">
        <v>106323</v>
      </c>
      <c r="L203" s="2">
        <v>148677</v>
      </c>
      <c r="M203" t="s">
        <v>24</v>
      </c>
      <c r="N203">
        <v>54</v>
      </c>
      <c r="O203" t="s">
        <v>25</v>
      </c>
      <c r="P203">
        <v>6</v>
      </c>
      <c r="Q203" s="1">
        <v>33.799999999999997</v>
      </c>
      <c r="R203" s="2">
        <f t="shared" si="12"/>
        <v>42354</v>
      </c>
      <c r="S203" s="1">
        <f t="shared" si="13"/>
        <v>39.835219096526622</v>
      </c>
      <c r="T203" t="str">
        <f t="shared" si="14"/>
        <v>Expert</v>
      </c>
      <c r="U203" t="str">
        <f t="shared" si="15"/>
        <v>High Impact</v>
      </c>
    </row>
    <row r="204" spans="1:21" x14ac:dyDescent="0.3">
      <c r="A204" t="s">
        <v>1587</v>
      </c>
      <c r="B204">
        <v>52</v>
      </c>
      <c r="C204" t="s">
        <v>18</v>
      </c>
      <c r="D204" t="s">
        <v>40</v>
      </c>
      <c r="E204" t="s">
        <v>41</v>
      </c>
      <c r="F204" t="s">
        <v>49</v>
      </c>
      <c r="G204">
        <v>26</v>
      </c>
      <c r="H204" t="s">
        <v>31</v>
      </c>
      <c r="I204" t="s">
        <v>22</v>
      </c>
      <c r="J204" t="s">
        <v>25</v>
      </c>
      <c r="K204" s="2">
        <v>33810</v>
      </c>
      <c r="L204" s="2">
        <v>35508</v>
      </c>
      <c r="M204" t="s">
        <v>32</v>
      </c>
      <c r="N204">
        <v>51</v>
      </c>
      <c r="O204" t="s">
        <v>25</v>
      </c>
      <c r="P204">
        <v>8</v>
      </c>
      <c r="Q204" s="1">
        <v>33.75</v>
      </c>
      <c r="R204" s="2">
        <f t="shared" si="12"/>
        <v>1698</v>
      </c>
      <c r="S204" s="1">
        <f t="shared" si="13"/>
        <v>5.0221827861579413</v>
      </c>
      <c r="T204" t="str">
        <f t="shared" si="14"/>
        <v>Expert</v>
      </c>
      <c r="U204" t="str">
        <f t="shared" si="15"/>
        <v>Low Impact</v>
      </c>
    </row>
    <row r="205" spans="1:21" x14ac:dyDescent="0.3">
      <c r="A205" t="s">
        <v>1611</v>
      </c>
      <c r="B205">
        <v>55</v>
      </c>
      <c r="C205" t="s">
        <v>18</v>
      </c>
      <c r="D205" t="s">
        <v>34</v>
      </c>
      <c r="E205" t="s">
        <v>51</v>
      </c>
      <c r="F205" t="s">
        <v>52</v>
      </c>
      <c r="G205">
        <v>32</v>
      </c>
      <c r="H205" t="s">
        <v>31</v>
      </c>
      <c r="I205" t="s">
        <v>22</v>
      </c>
      <c r="J205" t="s">
        <v>23</v>
      </c>
      <c r="K205" s="2">
        <v>80355</v>
      </c>
      <c r="L205" s="2">
        <v>77398</v>
      </c>
      <c r="M205" t="s">
        <v>32</v>
      </c>
      <c r="N205">
        <v>42</v>
      </c>
      <c r="O205" t="s">
        <v>23</v>
      </c>
      <c r="P205">
        <v>3</v>
      </c>
      <c r="Q205" s="1">
        <v>33.61</v>
      </c>
      <c r="R205" s="2">
        <f t="shared" si="12"/>
        <v>-2957</v>
      </c>
      <c r="S205" s="1">
        <f t="shared" si="13"/>
        <v>-3.6799203534316467</v>
      </c>
      <c r="T205" t="str">
        <f t="shared" si="14"/>
        <v>Expert</v>
      </c>
      <c r="U205" t="str">
        <f t="shared" si="15"/>
        <v>Low Impact</v>
      </c>
    </row>
    <row r="206" spans="1:21" x14ac:dyDescent="0.3">
      <c r="A206" t="s">
        <v>1147</v>
      </c>
      <c r="B206">
        <v>46</v>
      </c>
      <c r="C206" t="s">
        <v>27</v>
      </c>
      <c r="D206" t="s">
        <v>28</v>
      </c>
      <c r="E206" t="s">
        <v>29</v>
      </c>
      <c r="F206" t="s">
        <v>30</v>
      </c>
      <c r="G206">
        <v>21</v>
      </c>
      <c r="H206" t="s">
        <v>37</v>
      </c>
      <c r="I206" t="s">
        <v>37</v>
      </c>
      <c r="J206" t="s">
        <v>25</v>
      </c>
      <c r="K206" s="2">
        <v>95131</v>
      </c>
      <c r="L206" s="2">
        <v>101509</v>
      </c>
      <c r="M206" t="s">
        <v>38</v>
      </c>
      <c r="N206">
        <v>49</v>
      </c>
      <c r="O206" t="s">
        <v>25</v>
      </c>
      <c r="P206">
        <v>5</v>
      </c>
      <c r="Q206" s="1">
        <v>33.51</v>
      </c>
      <c r="R206" s="2">
        <f t="shared" si="12"/>
        <v>6378</v>
      </c>
      <c r="S206" s="1">
        <f t="shared" si="13"/>
        <v>6.7044391418149702</v>
      </c>
      <c r="T206" t="str">
        <f t="shared" si="14"/>
        <v>Expert</v>
      </c>
      <c r="U206" t="str">
        <f t="shared" si="15"/>
        <v>Medium Impact</v>
      </c>
    </row>
    <row r="207" spans="1:21" x14ac:dyDescent="0.3">
      <c r="A207" t="s">
        <v>1301</v>
      </c>
      <c r="B207">
        <v>53</v>
      </c>
      <c r="C207" t="s">
        <v>54</v>
      </c>
      <c r="D207" t="s">
        <v>28</v>
      </c>
      <c r="E207" t="s">
        <v>41</v>
      </c>
      <c r="F207" t="s">
        <v>49</v>
      </c>
      <c r="G207">
        <v>31</v>
      </c>
      <c r="H207" t="s">
        <v>37</v>
      </c>
      <c r="I207" t="s">
        <v>37</v>
      </c>
      <c r="J207" t="s">
        <v>23</v>
      </c>
      <c r="K207" s="2">
        <v>113106</v>
      </c>
      <c r="L207" s="2">
        <v>123040</v>
      </c>
      <c r="M207" t="s">
        <v>38</v>
      </c>
      <c r="N207">
        <v>47</v>
      </c>
      <c r="O207" t="s">
        <v>25</v>
      </c>
      <c r="P207">
        <v>7</v>
      </c>
      <c r="Q207" s="1">
        <v>33.47</v>
      </c>
      <c r="R207" s="2">
        <f t="shared" si="12"/>
        <v>9934</v>
      </c>
      <c r="S207" s="1">
        <f t="shared" si="13"/>
        <v>8.7829116050430578</v>
      </c>
      <c r="T207" t="str">
        <f t="shared" si="14"/>
        <v>Expert</v>
      </c>
      <c r="U207" t="str">
        <f t="shared" si="15"/>
        <v>Medium Impact</v>
      </c>
    </row>
    <row r="208" spans="1:21" x14ac:dyDescent="0.3">
      <c r="A208" t="s">
        <v>1971</v>
      </c>
      <c r="B208">
        <v>53</v>
      </c>
      <c r="C208" t="s">
        <v>27</v>
      </c>
      <c r="D208" t="s">
        <v>28</v>
      </c>
      <c r="E208" t="s">
        <v>29</v>
      </c>
      <c r="F208" t="s">
        <v>104</v>
      </c>
      <c r="G208">
        <v>29</v>
      </c>
      <c r="H208" t="s">
        <v>37</v>
      </c>
      <c r="I208" t="s">
        <v>22</v>
      </c>
      <c r="J208" t="s">
        <v>25</v>
      </c>
      <c r="K208" s="2">
        <v>107582</v>
      </c>
      <c r="L208" s="2">
        <v>113537</v>
      </c>
      <c r="M208" t="s">
        <v>32</v>
      </c>
      <c r="N208">
        <v>53</v>
      </c>
      <c r="O208" t="s">
        <v>23</v>
      </c>
      <c r="P208">
        <v>3</v>
      </c>
      <c r="Q208" s="1">
        <v>33.44</v>
      </c>
      <c r="R208" s="2">
        <f t="shared" si="12"/>
        <v>5955</v>
      </c>
      <c r="S208" s="1">
        <f t="shared" si="13"/>
        <v>5.535312598761875</v>
      </c>
      <c r="T208" t="str">
        <f t="shared" si="14"/>
        <v>Expert</v>
      </c>
      <c r="U208" t="str">
        <f t="shared" si="15"/>
        <v>Low Impact</v>
      </c>
    </row>
    <row r="209" spans="1:21" x14ac:dyDescent="0.3">
      <c r="A209" t="s">
        <v>433</v>
      </c>
      <c r="B209">
        <v>24</v>
      </c>
      <c r="C209" t="s">
        <v>54</v>
      </c>
      <c r="D209" t="s">
        <v>34</v>
      </c>
      <c r="E209" t="s">
        <v>59</v>
      </c>
      <c r="F209" t="s">
        <v>60</v>
      </c>
      <c r="G209">
        <v>2</v>
      </c>
      <c r="H209" t="s">
        <v>31</v>
      </c>
      <c r="I209" t="s">
        <v>31</v>
      </c>
      <c r="J209" t="s">
        <v>23</v>
      </c>
      <c r="K209" s="2">
        <v>56819</v>
      </c>
      <c r="L209" s="2">
        <v>60108</v>
      </c>
      <c r="M209" t="s">
        <v>32</v>
      </c>
      <c r="N209">
        <v>39</v>
      </c>
      <c r="O209" t="s">
        <v>23</v>
      </c>
      <c r="P209">
        <v>5</v>
      </c>
      <c r="Q209" s="1">
        <v>33.42</v>
      </c>
      <c r="R209" s="2">
        <f t="shared" si="12"/>
        <v>3289</v>
      </c>
      <c r="S209" s="1">
        <f t="shared" si="13"/>
        <v>5.7885566447843146</v>
      </c>
      <c r="T209" t="str">
        <f t="shared" si="14"/>
        <v>Beginner</v>
      </c>
      <c r="U209" t="str">
        <f t="shared" si="15"/>
        <v>Low Impact</v>
      </c>
    </row>
    <row r="210" spans="1:21" x14ac:dyDescent="0.3">
      <c r="A210" t="s">
        <v>477</v>
      </c>
      <c r="B210">
        <v>49</v>
      </c>
      <c r="C210" t="s">
        <v>27</v>
      </c>
      <c r="D210" t="s">
        <v>28</v>
      </c>
      <c r="E210" t="s">
        <v>29</v>
      </c>
      <c r="F210" t="s">
        <v>30</v>
      </c>
      <c r="G210">
        <v>23</v>
      </c>
      <c r="H210" t="s">
        <v>22</v>
      </c>
      <c r="I210" t="s">
        <v>31</v>
      </c>
      <c r="J210" t="s">
        <v>25</v>
      </c>
      <c r="K210" s="2">
        <v>111926</v>
      </c>
      <c r="L210" s="2">
        <v>99116</v>
      </c>
      <c r="M210" t="s">
        <v>32</v>
      </c>
      <c r="N210">
        <v>35</v>
      </c>
      <c r="O210" t="s">
        <v>23</v>
      </c>
      <c r="P210">
        <v>9</v>
      </c>
      <c r="Q210" s="1">
        <v>33.409999999999997</v>
      </c>
      <c r="R210" s="2">
        <f t="shared" si="12"/>
        <v>-12810</v>
      </c>
      <c r="S210" s="1">
        <f t="shared" si="13"/>
        <v>-11.445061915908726</v>
      </c>
      <c r="T210" t="str">
        <f t="shared" si="14"/>
        <v>Expert</v>
      </c>
      <c r="U210" t="str">
        <f t="shared" si="15"/>
        <v>Low Impact</v>
      </c>
    </row>
    <row r="211" spans="1:21" x14ac:dyDescent="0.3">
      <c r="A211" t="s">
        <v>1944</v>
      </c>
      <c r="B211">
        <v>26</v>
      </c>
      <c r="C211" t="s">
        <v>27</v>
      </c>
      <c r="D211" t="s">
        <v>34</v>
      </c>
      <c r="E211" t="s">
        <v>59</v>
      </c>
      <c r="F211" t="s">
        <v>77</v>
      </c>
      <c r="G211">
        <v>1</v>
      </c>
      <c r="H211" t="s">
        <v>22</v>
      </c>
      <c r="I211" t="s">
        <v>37</v>
      </c>
      <c r="J211" t="s">
        <v>25</v>
      </c>
      <c r="K211" s="2">
        <v>57215</v>
      </c>
      <c r="L211" s="2">
        <v>65937</v>
      </c>
      <c r="M211" t="s">
        <v>38</v>
      </c>
      <c r="N211">
        <v>36</v>
      </c>
      <c r="O211" t="s">
        <v>23</v>
      </c>
      <c r="P211">
        <v>9</v>
      </c>
      <c r="Q211" s="1">
        <v>33.35</v>
      </c>
      <c r="R211" s="2">
        <f t="shared" si="12"/>
        <v>8722</v>
      </c>
      <c r="S211" s="1">
        <f t="shared" si="13"/>
        <v>15.244254129161932</v>
      </c>
      <c r="T211" t="str">
        <f t="shared" si="14"/>
        <v>Beginner</v>
      </c>
      <c r="U211" t="str">
        <f t="shared" si="15"/>
        <v>Medium Impact</v>
      </c>
    </row>
    <row r="212" spans="1:21" x14ac:dyDescent="0.3">
      <c r="A212" t="s">
        <v>1231</v>
      </c>
      <c r="B212">
        <v>31</v>
      </c>
      <c r="C212" t="s">
        <v>18</v>
      </c>
      <c r="D212" t="s">
        <v>19</v>
      </c>
      <c r="E212" t="s">
        <v>41</v>
      </c>
      <c r="F212" t="s">
        <v>49</v>
      </c>
      <c r="G212">
        <v>6</v>
      </c>
      <c r="H212" t="s">
        <v>37</v>
      </c>
      <c r="I212" t="s">
        <v>31</v>
      </c>
      <c r="J212" t="s">
        <v>23</v>
      </c>
      <c r="K212" s="2">
        <v>107400</v>
      </c>
      <c r="L212" s="2">
        <v>102391</v>
      </c>
      <c r="M212" t="s">
        <v>32</v>
      </c>
      <c r="N212">
        <v>36</v>
      </c>
      <c r="O212" t="s">
        <v>23</v>
      </c>
      <c r="P212">
        <v>3</v>
      </c>
      <c r="Q212" s="1">
        <v>33.31</v>
      </c>
      <c r="R212" s="2">
        <f t="shared" si="12"/>
        <v>-5009</v>
      </c>
      <c r="S212" s="1">
        <f t="shared" si="13"/>
        <v>-4.6638733705772806</v>
      </c>
      <c r="T212" t="str">
        <f t="shared" si="14"/>
        <v>Intermediate</v>
      </c>
      <c r="U212" t="str">
        <f t="shared" si="15"/>
        <v>Low Impact</v>
      </c>
    </row>
    <row r="213" spans="1:21" x14ac:dyDescent="0.3">
      <c r="A213" t="s">
        <v>1196</v>
      </c>
      <c r="B213">
        <v>47</v>
      </c>
      <c r="C213" t="s">
        <v>18</v>
      </c>
      <c r="D213" t="s">
        <v>28</v>
      </c>
      <c r="E213" t="s">
        <v>29</v>
      </c>
      <c r="F213" t="s">
        <v>104</v>
      </c>
      <c r="G213">
        <v>25</v>
      </c>
      <c r="H213" t="s">
        <v>22</v>
      </c>
      <c r="I213" t="s">
        <v>22</v>
      </c>
      <c r="J213" t="s">
        <v>23</v>
      </c>
      <c r="K213" s="2">
        <v>99586</v>
      </c>
      <c r="L213" s="2">
        <v>119661</v>
      </c>
      <c r="M213" t="s">
        <v>38</v>
      </c>
      <c r="N213">
        <v>41</v>
      </c>
      <c r="O213" t="s">
        <v>23</v>
      </c>
      <c r="P213">
        <v>4</v>
      </c>
      <c r="Q213" s="1">
        <v>33.299999999999997</v>
      </c>
      <c r="R213" s="2">
        <f t="shared" si="12"/>
        <v>20075</v>
      </c>
      <c r="S213" s="1">
        <f t="shared" si="13"/>
        <v>20.158456007872594</v>
      </c>
      <c r="T213" t="str">
        <f t="shared" si="14"/>
        <v>Expert</v>
      </c>
      <c r="U213" t="str">
        <f t="shared" si="15"/>
        <v>Medium Impact</v>
      </c>
    </row>
    <row r="214" spans="1:21" x14ac:dyDescent="0.3">
      <c r="A214" t="s">
        <v>1823</v>
      </c>
      <c r="B214">
        <v>50</v>
      </c>
      <c r="C214" t="s">
        <v>18</v>
      </c>
      <c r="D214" t="s">
        <v>28</v>
      </c>
      <c r="E214" t="s">
        <v>41</v>
      </c>
      <c r="F214" t="s">
        <v>49</v>
      </c>
      <c r="G214">
        <v>25</v>
      </c>
      <c r="H214" t="s">
        <v>37</v>
      </c>
      <c r="I214" t="s">
        <v>37</v>
      </c>
      <c r="J214" t="s">
        <v>25</v>
      </c>
      <c r="K214" s="2">
        <v>42877</v>
      </c>
      <c r="L214" s="2">
        <v>50090</v>
      </c>
      <c r="M214" t="s">
        <v>38</v>
      </c>
      <c r="N214">
        <v>54</v>
      </c>
      <c r="O214" t="s">
        <v>25</v>
      </c>
      <c r="P214">
        <v>6</v>
      </c>
      <c r="Q214" s="1">
        <v>33.29</v>
      </c>
      <c r="R214" s="2">
        <f t="shared" si="12"/>
        <v>7213</v>
      </c>
      <c r="S214" s="1">
        <f t="shared" si="13"/>
        <v>16.822538890314153</v>
      </c>
      <c r="T214" t="str">
        <f t="shared" si="14"/>
        <v>Expert</v>
      </c>
      <c r="U214" t="str">
        <f t="shared" si="15"/>
        <v>Medium Impact</v>
      </c>
    </row>
    <row r="215" spans="1:21" x14ac:dyDescent="0.3">
      <c r="A215" t="s">
        <v>1496</v>
      </c>
      <c r="B215">
        <v>35</v>
      </c>
      <c r="C215" t="s">
        <v>54</v>
      </c>
      <c r="D215" t="s">
        <v>34</v>
      </c>
      <c r="E215" t="s">
        <v>51</v>
      </c>
      <c r="F215" t="s">
        <v>130</v>
      </c>
      <c r="G215">
        <v>11</v>
      </c>
      <c r="H215" t="s">
        <v>22</v>
      </c>
      <c r="I215" t="s">
        <v>31</v>
      </c>
      <c r="J215" t="s">
        <v>23</v>
      </c>
      <c r="K215" s="2">
        <v>50422</v>
      </c>
      <c r="L215" s="2">
        <v>44384</v>
      </c>
      <c r="M215" t="s">
        <v>32</v>
      </c>
      <c r="N215">
        <v>38</v>
      </c>
      <c r="O215" t="s">
        <v>25</v>
      </c>
      <c r="P215">
        <v>4</v>
      </c>
      <c r="Q215" s="1">
        <v>33.14</v>
      </c>
      <c r="R215" s="2">
        <f t="shared" si="12"/>
        <v>-6038</v>
      </c>
      <c r="S215" s="1">
        <f t="shared" si="13"/>
        <v>-11.974931577486018</v>
      </c>
      <c r="T215" t="str">
        <f t="shared" si="14"/>
        <v>Intermediate</v>
      </c>
      <c r="U215" t="str">
        <f t="shared" si="15"/>
        <v>Low Impact</v>
      </c>
    </row>
    <row r="216" spans="1:21" x14ac:dyDescent="0.3">
      <c r="A216" t="s">
        <v>1434</v>
      </c>
      <c r="B216">
        <v>59</v>
      </c>
      <c r="C216" t="s">
        <v>27</v>
      </c>
      <c r="D216" t="s">
        <v>19</v>
      </c>
      <c r="E216" t="s">
        <v>44</v>
      </c>
      <c r="F216" t="s">
        <v>47</v>
      </c>
      <c r="G216">
        <v>37</v>
      </c>
      <c r="H216" t="s">
        <v>31</v>
      </c>
      <c r="I216" t="s">
        <v>37</v>
      </c>
      <c r="J216" t="s">
        <v>23</v>
      </c>
      <c r="K216" s="2">
        <v>31995</v>
      </c>
      <c r="L216" s="2">
        <v>31631</v>
      </c>
      <c r="M216" t="s">
        <v>38</v>
      </c>
      <c r="N216">
        <v>44</v>
      </c>
      <c r="O216" t="s">
        <v>23</v>
      </c>
      <c r="P216">
        <v>3</v>
      </c>
      <c r="Q216" s="1">
        <v>33.1</v>
      </c>
      <c r="R216" s="2">
        <f t="shared" si="12"/>
        <v>-364</v>
      </c>
      <c r="S216" s="1">
        <f t="shared" si="13"/>
        <v>-1.137677762150336</v>
      </c>
      <c r="T216" t="str">
        <f t="shared" si="14"/>
        <v>Expert</v>
      </c>
      <c r="U216" t="str">
        <f t="shared" si="15"/>
        <v>Medium Impact</v>
      </c>
    </row>
    <row r="217" spans="1:21" x14ac:dyDescent="0.3">
      <c r="A217" t="s">
        <v>69</v>
      </c>
      <c r="B217">
        <v>27</v>
      </c>
      <c r="C217" t="s">
        <v>18</v>
      </c>
      <c r="D217" t="s">
        <v>40</v>
      </c>
      <c r="E217" t="s">
        <v>44</v>
      </c>
      <c r="F217" t="s">
        <v>57</v>
      </c>
      <c r="G217">
        <v>2</v>
      </c>
      <c r="H217" t="s">
        <v>37</v>
      </c>
      <c r="I217" t="s">
        <v>31</v>
      </c>
      <c r="J217" t="s">
        <v>25</v>
      </c>
      <c r="K217" s="2">
        <v>99163</v>
      </c>
      <c r="L217" s="2">
        <v>101637</v>
      </c>
      <c r="M217" t="s">
        <v>32</v>
      </c>
      <c r="N217">
        <v>41</v>
      </c>
      <c r="O217" t="s">
        <v>25</v>
      </c>
      <c r="P217">
        <v>8</v>
      </c>
      <c r="Q217" s="1">
        <v>33</v>
      </c>
      <c r="R217" s="2">
        <f t="shared" si="12"/>
        <v>2474</v>
      </c>
      <c r="S217" s="1">
        <f t="shared" si="13"/>
        <v>2.4948821637102547</v>
      </c>
      <c r="T217" t="str">
        <f t="shared" si="14"/>
        <v>Beginner</v>
      </c>
      <c r="U217" t="str">
        <f t="shared" si="15"/>
        <v>Low Impact</v>
      </c>
    </row>
    <row r="218" spans="1:21" x14ac:dyDescent="0.3">
      <c r="A218" t="s">
        <v>1574</v>
      </c>
      <c r="B218">
        <v>40</v>
      </c>
      <c r="C218" t="s">
        <v>18</v>
      </c>
      <c r="D218" t="s">
        <v>34</v>
      </c>
      <c r="E218" t="s">
        <v>59</v>
      </c>
      <c r="F218" t="s">
        <v>77</v>
      </c>
      <c r="G218">
        <v>18</v>
      </c>
      <c r="H218" t="s">
        <v>31</v>
      </c>
      <c r="I218" t="s">
        <v>31</v>
      </c>
      <c r="J218" t="s">
        <v>25</v>
      </c>
      <c r="K218" s="2">
        <v>46427</v>
      </c>
      <c r="L218" s="2">
        <v>48921</v>
      </c>
      <c r="M218" t="s">
        <v>32</v>
      </c>
      <c r="N218">
        <v>38</v>
      </c>
      <c r="O218" t="s">
        <v>23</v>
      </c>
      <c r="P218">
        <v>3</v>
      </c>
      <c r="Q218" s="1">
        <v>33</v>
      </c>
      <c r="R218" s="2">
        <f t="shared" si="12"/>
        <v>2494</v>
      </c>
      <c r="S218" s="1">
        <f t="shared" si="13"/>
        <v>5.3718741249703834</v>
      </c>
      <c r="T218" t="str">
        <f t="shared" si="14"/>
        <v>Expert</v>
      </c>
      <c r="U218" t="str">
        <f t="shared" si="15"/>
        <v>Low Impact</v>
      </c>
    </row>
    <row r="219" spans="1:21" x14ac:dyDescent="0.3">
      <c r="A219" t="s">
        <v>567</v>
      </c>
      <c r="B219">
        <v>31</v>
      </c>
      <c r="C219" t="s">
        <v>18</v>
      </c>
      <c r="D219" t="s">
        <v>28</v>
      </c>
      <c r="E219" t="s">
        <v>29</v>
      </c>
      <c r="F219" t="s">
        <v>102</v>
      </c>
      <c r="G219">
        <v>5</v>
      </c>
      <c r="H219" t="s">
        <v>37</v>
      </c>
      <c r="I219" t="s">
        <v>31</v>
      </c>
      <c r="J219" t="s">
        <v>23</v>
      </c>
      <c r="K219" s="2">
        <v>107116</v>
      </c>
      <c r="L219" s="2">
        <v>110462</v>
      </c>
      <c r="M219" t="s">
        <v>32</v>
      </c>
      <c r="N219">
        <v>49</v>
      </c>
      <c r="O219" t="s">
        <v>23</v>
      </c>
      <c r="P219">
        <v>6</v>
      </c>
      <c r="Q219" s="1">
        <v>32.96</v>
      </c>
      <c r="R219" s="2">
        <f t="shared" si="12"/>
        <v>3346</v>
      </c>
      <c r="S219" s="1">
        <f t="shared" si="13"/>
        <v>3.123716344897121</v>
      </c>
      <c r="T219" t="str">
        <f t="shared" si="14"/>
        <v>Intermediate</v>
      </c>
      <c r="U219" t="str">
        <f t="shared" si="15"/>
        <v>Low Impact</v>
      </c>
    </row>
    <row r="220" spans="1:21" x14ac:dyDescent="0.3">
      <c r="A220" t="s">
        <v>432</v>
      </c>
      <c r="B220">
        <v>42</v>
      </c>
      <c r="C220" t="s">
        <v>54</v>
      </c>
      <c r="D220" t="s">
        <v>34</v>
      </c>
      <c r="E220" t="s">
        <v>20</v>
      </c>
      <c r="F220" t="s">
        <v>21</v>
      </c>
      <c r="G220">
        <v>16</v>
      </c>
      <c r="H220" t="s">
        <v>31</v>
      </c>
      <c r="I220" t="s">
        <v>31</v>
      </c>
      <c r="J220" t="s">
        <v>25</v>
      </c>
      <c r="K220" s="2">
        <v>86481</v>
      </c>
      <c r="L220" s="2">
        <v>84309</v>
      </c>
      <c r="M220" t="s">
        <v>32</v>
      </c>
      <c r="N220">
        <v>39</v>
      </c>
      <c r="O220" t="s">
        <v>25</v>
      </c>
      <c r="P220">
        <v>3</v>
      </c>
      <c r="Q220" s="1">
        <v>32.92</v>
      </c>
      <c r="R220" s="2">
        <f t="shared" si="12"/>
        <v>-2172</v>
      </c>
      <c r="S220" s="1">
        <f t="shared" si="13"/>
        <v>-2.5115343254587712</v>
      </c>
      <c r="T220" t="str">
        <f t="shared" si="14"/>
        <v>Expert</v>
      </c>
      <c r="U220" t="str">
        <f t="shared" si="15"/>
        <v>Low Impact</v>
      </c>
    </row>
    <row r="221" spans="1:21" x14ac:dyDescent="0.3">
      <c r="A221" t="s">
        <v>1204</v>
      </c>
      <c r="B221">
        <v>50</v>
      </c>
      <c r="C221" t="s">
        <v>18</v>
      </c>
      <c r="D221" t="s">
        <v>40</v>
      </c>
      <c r="E221" t="s">
        <v>41</v>
      </c>
      <c r="F221" t="s">
        <v>55</v>
      </c>
      <c r="G221">
        <v>25</v>
      </c>
      <c r="H221" t="s">
        <v>37</v>
      </c>
      <c r="I221" t="s">
        <v>31</v>
      </c>
      <c r="J221" t="s">
        <v>23</v>
      </c>
      <c r="K221" s="2">
        <v>96055</v>
      </c>
      <c r="L221" s="2">
        <v>102843</v>
      </c>
      <c r="M221" t="s">
        <v>32</v>
      </c>
      <c r="N221">
        <v>35</v>
      </c>
      <c r="O221" t="s">
        <v>25</v>
      </c>
      <c r="P221">
        <v>4</v>
      </c>
      <c r="Q221" s="1">
        <v>32.9</v>
      </c>
      <c r="R221" s="2">
        <f t="shared" si="12"/>
        <v>6788</v>
      </c>
      <c r="S221" s="1">
        <f t="shared" si="13"/>
        <v>7.0667846546249535</v>
      </c>
      <c r="T221" t="str">
        <f t="shared" si="14"/>
        <v>Expert</v>
      </c>
      <c r="U221" t="str">
        <f t="shared" si="15"/>
        <v>Low Impact</v>
      </c>
    </row>
    <row r="222" spans="1:21" x14ac:dyDescent="0.3">
      <c r="A222" t="s">
        <v>1295</v>
      </c>
      <c r="B222">
        <v>52</v>
      </c>
      <c r="C222" t="s">
        <v>54</v>
      </c>
      <c r="D222" t="s">
        <v>40</v>
      </c>
      <c r="E222" t="s">
        <v>35</v>
      </c>
      <c r="F222" t="s">
        <v>132</v>
      </c>
      <c r="G222">
        <v>29</v>
      </c>
      <c r="H222" t="s">
        <v>31</v>
      </c>
      <c r="I222" t="s">
        <v>37</v>
      </c>
      <c r="J222" t="s">
        <v>25</v>
      </c>
      <c r="K222" s="2">
        <v>62872</v>
      </c>
      <c r="L222" s="2">
        <v>62036</v>
      </c>
      <c r="M222" t="s">
        <v>38</v>
      </c>
      <c r="N222">
        <v>41</v>
      </c>
      <c r="O222" t="s">
        <v>25</v>
      </c>
      <c r="P222">
        <v>6</v>
      </c>
      <c r="Q222" s="1">
        <v>32.89</v>
      </c>
      <c r="R222" s="2">
        <f t="shared" si="12"/>
        <v>-836</v>
      </c>
      <c r="S222" s="1">
        <f t="shared" si="13"/>
        <v>-1.32968571065021</v>
      </c>
      <c r="T222" t="str">
        <f t="shared" si="14"/>
        <v>Expert</v>
      </c>
      <c r="U222" t="str">
        <f t="shared" si="15"/>
        <v>Medium Impact</v>
      </c>
    </row>
    <row r="223" spans="1:21" x14ac:dyDescent="0.3">
      <c r="A223" t="s">
        <v>1155</v>
      </c>
      <c r="B223">
        <v>36</v>
      </c>
      <c r="C223" t="s">
        <v>54</v>
      </c>
      <c r="D223" t="s">
        <v>28</v>
      </c>
      <c r="E223" t="s">
        <v>51</v>
      </c>
      <c r="F223" t="s">
        <v>52</v>
      </c>
      <c r="G223">
        <v>10</v>
      </c>
      <c r="H223" t="s">
        <v>22</v>
      </c>
      <c r="I223" t="s">
        <v>37</v>
      </c>
      <c r="J223" t="s">
        <v>25</v>
      </c>
      <c r="K223" s="2">
        <v>76389</v>
      </c>
      <c r="L223" s="2">
        <v>100899</v>
      </c>
      <c r="M223" t="s">
        <v>38</v>
      </c>
      <c r="N223">
        <v>48</v>
      </c>
      <c r="O223" t="s">
        <v>23</v>
      </c>
      <c r="P223">
        <v>4</v>
      </c>
      <c r="Q223" s="1">
        <v>32.880000000000003</v>
      </c>
      <c r="R223" s="2">
        <f t="shared" si="12"/>
        <v>24510</v>
      </c>
      <c r="S223" s="1">
        <f t="shared" si="13"/>
        <v>32.085771511605074</v>
      </c>
      <c r="T223" t="str">
        <f t="shared" si="14"/>
        <v>Intermediate</v>
      </c>
      <c r="U223" t="str">
        <f t="shared" si="15"/>
        <v>Medium Impact</v>
      </c>
    </row>
    <row r="224" spans="1:21" x14ac:dyDescent="0.3">
      <c r="A224" t="s">
        <v>1397</v>
      </c>
      <c r="B224">
        <v>59</v>
      </c>
      <c r="C224" t="s">
        <v>54</v>
      </c>
      <c r="D224" t="s">
        <v>19</v>
      </c>
      <c r="E224" t="s">
        <v>44</v>
      </c>
      <c r="F224" t="s">
        <v>57</v>
      </c>
      <c r="G224">
        <v>37</v>
      </c>
      <c r="H224" t="s">
        <v>31</v>
      </c>
      <c r="I224" t="s">
        <v>22</v>
      </c>
      <c r="J224" t="s">
        <v>25</v>
      </c>
      <c r="K224" s="2">
        <v>39628</v>
      </c>
      <c r="L224" s="2">
        <v>38076</v>
      </c>
      <c r="M224" t="s">
        <v>32</v>
      </c>
      <c r="N224">
        <v>53</v>
      </c>
      <c r="O224" t="s">
        <v>25</v>
      </c>
      <c r="P224">
        <v>5</v>
      </c>
      <c r="Q224" s="1">
        <v>32.869999999999997</v>
      </c>
      <c r="R224" s="2">
        <f t="shared" si="12"/>
        <v>-1552</v>
      </c>
      <c r="S224" s="1">
        <f t="shared" si="13"/>
        <v>-3.9164227314020388</v>
      </c>
      <c r="T224" t="str">
        <f t="shared" si="14"/>
        <v>Expert</v>
      </c>
      <c r="U224" t="str">
        <f t="shared" si="15"/>
        <v>Low Impact</v>
      </c>
    </row>
    <row r="225" spans="1:21" x14ac:dyDescent="0.3">
      <c r="A225" t="s">
        <v>837</v>
      </c>
      <c r="B225">
        <v>29</v>
      </c>
      <c r="C225" t="s">
        <v>27</v>
      </c>
      <c r="D225" t="s">
        <v>40</v>
      </c>
      <c r="E225" t="s">
        <v>44</v>
      </c>
      <c r="F225" t="s">
        <v>45</v>
      </c>
      <c r="G225">
        <v>4</v>
      </c>
      <c r="H225" t="s">
        <v>37</v>
      </c>
      <c r="I225" t="s">
        <v>37</v>
      </c>
      <c r="J225" t="s">
        <v>23</v>
      </c>
      <c r="K225" s="2">
        <v>72422</v>
      </c>
      <c r="L225" s="2">
        <v>85804</v>
      </c>
      <c r="M225" t="s">
        <v>38</v>
      </c>
      <c r="N225">
        <v>42</v>
      </c>
      <c r="O225" t="s">
        <v>25</v>
      </c>
      <c r="P225">
        <v>7</v>
      </c>
      <c r="Q225" s="1">
        <v>32.78</v>
      </c>
      <c r="R225" s="2">
        <f t="shared" si="12"/>
        <v>13382</v>
      </c>
      <c r="S225" s="1">
        <f t="shared" si="13"/>
        <v>18.477810610035625</v>
      </c>
      <c r="T225" t="str">
        <f t="shared" si="14"/>
        <v>Beginner</v>
      </c>
      <c r="U225" t="str">
        <f t="shared" si="15"/>
        <v>Medium Impact</v>
      </c>
    </row>
    <row r="226" spans="1:21" x14ac:dyDescent="0.3">
      <c r="A226" t="s">
        <v>1029</v>
      </c>
      <c r="B226">
        <v>48</v>
      </c>
      <c r="C226" t="s">
        <v>18</v>
      </c>
      <c r="D226" t="s">
        <v>19</v>
      </c>
      <c r="E226" t="s">
        <v>35</v>
      </c>
      <c r="F226" t="s">
        <v>36</v>
      </c>
      <c r="G226">
        <v>23</v>
      </c>
      <c r="H226" t="s">
        <v>31</v>
      </c>
      <c r="I226" t="s">
        <v>22</v>
      </c>
      <c r="J226" t="s">
        <v>23</v>
      </c>
      <c r="K226" s="2">
        <v>34042</v>
      </c>
      <c r="L226" s="2">
        <v>35817</v>
      </c>
      <c r="M226" t="s">
        <v>32</v>
      </c>
      <c r="N226">
        <v>37</v>
      </c>
      <c r="O226" t="s">
        <v>25</v>
      </c>
      <c r="P226">
        <v>5</v>
      </c>
      <c r="Q226" s="1">
        <v>32.76</v>
      </c>
      <c r="R226" s="2">
        <f t="shared" si="12"/>
        <v>1775</v>
      </c>
      <c r="S226" s="1">
        <f t="shared" si="13"/>
        <v>5.214147229892486</v>
      </c>
      <c r="T226" t="str">
        <f t="shared" si="14"/>
        <v>Expert</v>
      </c>
      <c r="U226" t="str">
        <f t="shared" si="15"/>
        <v>Low Impact</v>
      </c>
    </row>
    <row r="227" spans="1:21" x14ac:dyDescent="0.3">
      <c r="A227" t="s">
        <v>898</v>
      </c>
      <c r="B227">
        <v>44</v>
      </c>
      <c r="C227" t="s">
        <v>27</v>
      </c>
      <c r="D227" t="s">
        <v>19</v>
      </c>
      <c r="E227" t="s">
        <v>20</v>
      </c>
      <c r="F227" t="s">
        <v>118</v>
      </c>
      <c r="G227">
        <v>19</v>
      </c>
      <c r="H227" t="s">
        <v>37</v>
      </c>
      <c r="I227" t="s">
        <v>31</v>
      </c>
      <c r="J227" t="s">
        <v>25</v>
      </c>
      <c r="K227" s="2">
        <v>49782</v>
      </c>
      <c r="L227" s="2">
        <v>52326</v>
      </c>
      <c r="M227" t="s">
        <v>32</v>
      </c>
      <c r="N227">
        <v>47</v>
      </c>
      <c r="O227" t="s">
        <v>25</v>
      </c>
      <c r="P227">
        <v>6</v>
      </c>
      <c r="Q227" s="1">
        <v>32.700000000000003</v>
      </c>
      <c r="R227" s="2">
        <f t="shared" si="12"/>
        <v>2544</v>
      </c>
      <c r="S227" s="1">
        <f t="shared" si="13"/>
        <v>5.1102808243943594</v>
      </c>
      <c r="T227" t="str">
        <f t="shared" si="14"/>
        <v>Expert</v>
      </c>
      <c r="U227" t="str">
        <f t="shared" si="15"/>
        <v>Low Impact</v>
      </c>
    </row>
    <row r="228" spans="1:21" x14ac:dyDescent="0.3">
      <c r="A228" t="s">
        <v>586</v>
      </c>
      <c r="B228">
        <v>33</v>
      </c>
      <c r="C228" t="s">
        <v>27</v>
      </c>
      <c r="D228" t="s">
        <v>40</v>
      </c>
      <c r="E228" t="s">
        <v>29</v>
      </c>
      <c r="F228" t="s">
        <v>30</v>
      </c>
      <c r="G228">
        <v>11</v>
      </c>
      <c r="H228" t="s">
        <v>22</v>
      </c>
      <c r="I228" t="s">
        <v>37</v>
      </c>
      <c r="J228" t="s">
        <v>23</v>
      </c>
      <c r="K228" s="2">
        <v>49552</v>
      </c>
      <c r="L228" s="2">
        <v>52442</v>
      </c>
      <c r="M228" t="s">
        <v>38</v>
      </c>
      <c r="N228">
        <v>39</v>
      </c>
      <c r="O228" t="s">
        <v>25</v>
      </c>
      <c r="P228">
        <v>8</v>
      </c>
      <c r="Q228" s="1">
        <v>32.68</v>
      </c>
      <c r="R228" s="2">
        <f t="shared" si="12"/>
        <v>2890</v>
      </c>
      <c r="S228" s="1">
        <f t="shared" si="13"/>
        <v>5.832257022925412</v>
      </c>
      <c r="T228" t="str">
        <f t="shared" si="14"/>
        <v>Intermediate</v>
      </c>
      <c r="U228" t="str">
        <f t="shared" si="15"/>
        <v>Medium Impact</v>
      </c>
    </row>
    <row r="229" spans="1:21" x14ac:dyDescent="0.3">
      <c r="A229" t="s">
        <v>321</v>
      </c>
      <c r="B229">
        <v>59</v>
      </c>
      <c r="C229" t="s">
        <v>54</v>
      </c>
      <c r="D229" t="s">
        <v>34</v>
      </c>
      <c r="E229" t="s">
        <v>59</v>
      </c>
      <c r="F229" t="s">
        <v>60</v>
      </c>
      <c r="G229">
        <v>35</v>
      </c>
      <c r="H229" t="s">
        <v>37</v>
      </c>
      <c r="I229" t="s">
        <v>31</v>
      </c>
      <c r="J229" t="s">
        <v>23</v>
      </c>
      <c r="K229" s="2">
        <v>94965</v>
      </c>
      <c r="L229" s="2">
        <v>111148</v>
      </c>
      <c r="M229" t="s">
        <v>32</v>
      </c>
      <c r="N229">
        <v>53</v>
      </c>
      <c r="O229" t="s">
        <v>25</v>
      </c>
      <c r="P229">
        <v>7</v>
      </c>
      <c r="Q229" s="1">
        <v>32.67</v>
      </c>
      <c r="R229" s="2">
        <f t="shared" si="12"/>
        <v>16183</v>
      </c>
      <c r="S229" s="1">
        <f t="shared" si="13"/>
        <v>17.041015110830308</v>
      </c>
      <c r="T229" t="str">
        <f t="shared" si="14"/>
        <v>Expert</v>
      </c>
      <c r="U229" t="str">
        <f t="shared" si="15"/>
        <v>Low Impact</v>
      </c>
    </row>
    <row r="230" spans="1:21" x14ac:dyDescent="0.3">
      <c r="A230" t="s">
        <v>492</v>
      </c>
      <c r="B230">
        <v>49</v>
      </c>
      <c r="C230" t="s">
        <v>27</v>
      </c>
      <c r="D230" t="s">
        <v>19</v>
      </c>
      <c r="E230" t="s">
        <v>59</v>
      </c>
      <c r="F230" t="s">
        <v>60</v>
      </c>
      <c r="G230">
        <v>23</v>
      </c>
      <c r="H230" t="s">
        <v>31</v>
      </c>
      <c r="I230" t="s">
        <v>22</v>
      </c>
      <c r="J230" t="s">
        <v>23</v>
      </c>
      <c r="K230" s="2">
        <v>31207</v>
      </c>
      <c r="L230" s="2">
        <v>30937</v>
      </c>
      <c r="M230" t="s">
        <v>32</v>
      </c>
      <c r="N230">
        <v>46</v>
      </c>
      <c r="O230" t="s">
        <v>23</v>
      </c>
      <c r="P230">
        <v>8</v>
      </c>
      <c r="Q230" s="1">
        <v>32.630000000000003</v>
      </c>
      <c r="R230" s="2">
        <f t="shared" si="12"/>
        <v>-270</v>
      </c>
      <c r="S230" s="1">
        <f t="shared" si="13"/>
        <v>-0.86519050213093218</v>
      </c>
      <c r="T230" t="str">
        <f t="shared" si="14"/>
        <v>Expert</v>
      </c>
      <c r="U230" t="str">
        <f t="shared" si="15"/>
        <v>Low Impact</v>
      </c>
    </row>
    <row r="231" spans="1:21" x14ac:dyDescent="0.3">
      <c r="A231" t="s">
        <v>680</v>
      </c>
      <c r="B231">
        <v>31</v>
      </c>
      <c r="C231" t="s">
        <v>54</v>
      </c>
      <c r="D231" t="s">
        <v>34</v>
      </c>
      <c r="E231" t="s">
        <v>44</v>
      </c>
      <c r="F231" t="s">
        <v>45</v>
      </c>
      <c r="G231">
        <v>7</v>
      </c>
      <c r="H231" t="s">
        <v>22</v>
      </c>
      <c r="I231" t="s">
        <v>22</v>
      </c>
      <c r="J231" t="s">
        <v>23</v>
      </c>
      <c r="K231" s="2">
        <v>115103</v>
      </c>
      <c r="L231" s="2">
        <v>104115</v>
      </c>
      <c r="M231" t="s">
        <v>24</v>
      </c>
      <c r="N231">
        <v>35</v>
      </c>
      <c r="O231" t="s">
        <v>25</v>
      </c>
      <c r="P231">
        <v>9</v>
      </c>
      <c r="Q231" s="1">
        <v>32.520000000000003</v>
      </c>
      <c r="R231" s="2">
        <f t="shared" si="12"/>
        <v>-10988</v>
      </c>
      <c r="S231" s="1">
        <f t="shared" si="13"/>
        <v>-9.5462325048000487</v>
      </c>
      <c r="T231" t="str">
        <f t="shared" si="14"/>
        <v>Intermediate</v>
      </c>
      <c r="U231" t="str">
        <f t="shared" si="15"/>
        <v>High Impact</v>
      </c>
    </row>
    <row r="232" spans="1:21" x14ac:dyDescent="0.3">
      <c r="A232" t="s">
        <v>1974</v>
      </c>
      <c r="B232">
        <v>50</v>
      </c>
      <c r="C232" t="s">
        <v>27</v>
      </c>
      <c r="D232" t="s">
        <v>34</v>
      </c>
      <c r="E232" t="s">
        <v>44</v>
      </c>
      <c r="F232" t="s">
        <v>57</v>
      </c>
      <c r="G232">
        <v>27</v>
      </c>
      <c r="H232" t="s">
        <v>31</v>
      </c>
      <c r="I232" t="s">
        <v>31</v>
      </c>
      <c r="J232" t="s">
        <v>25</v>
      </c>
      <c r="K232" s="2">
        <v>119976</v>
      </c>
      <c r="L232" s="2">
        <v>118542</v>
      </c>
      <c r="M232" t="s">
        <v>32</v>
      </c>
      <c r="N232">
        <v>54</v>
      </c>
      <c r="O232" t="s">
        <v>25</v>
      </c>
      <c r="P232">
        <v>7</v>
      </c>
      <c r="Q232" s="1">
        <v>32.5</v>
      </c>
      <c r="R232" s="2">
        <f t="shared" si="12"/>
        <v>-1434</v>
      </c>
      <c r="S232" s="1">
        <f t="shared" si="13"/>
        <v>-1.1952390478095618</v>
      </c>
      <c r="T232" t="str">
        <f t="shared" si="14"/>
        <v>Expert</v>
      </c>
      <c r="U232" t="str">
        <f t="shared" si="15"/>
        <v>Low Impact</v>
      </c>
    </row>
    <row r="233" spans="1:21" x14ac:dyDescent="0.3">
      <c r="A233" t="s">
        <v>1063</v>
      </c>
      <c r="B233">
        <v>53</v>
      </c>
      <c r="C233" t="s">
        <v>54</v>
      </c>
      <c r="D233" t="s">
        <v>34</v>
      </c>
      <c r="E233" t="s">
        <v>51</v>
      </c>
      <c r="F233" t="s">
        <v>52</v>
      </c>
      <c r="G233">
        <v>30</v>
      </c>
      <c r="H233" t="s">
        <v>37</v>
      </c>
      <c r="I233" t="s">
        <v>37</v>
      </c>
      <c r="J233" t="s">
        <v>25</v>
      </c>
      <c r="K233" s="2">
        <v>57818</v>
      </c>
      <c r="L233" s="2">
        <v>55067</v>
      </c>
      <c r="M233" t="s">
        <v>38</v>
      </c>
      <c r="N233">
        <v>43</v>
      </c>
      <c r="O233" t="s">
        <v>25</v>
      </c>
      <c r="P233">
        <v>3</v>
      </c>
      <c r="Q233" s="1">
        <v>32.479999999999997</v>
      </c>
      <c r="R233" s="2">
        <f t="shared" si="12"/>
        <v>-2751</v>
      </c>
      <c r="S233" s="1">
        <f t="shared" si="13"/>
        <v>-4.758033830295064</v>
      </c>
      <c r="T233" t="str">
        <f t="shared" si="14"/>
        <v>Expert</v>
      </c>
      <c r="U233" t="str">
        <f t="shared" si="15"/>
        <v>Medium Impact</v>
      </c>
    </row>
    <row r="234" spans="1:21" x14ac:dyDescent="0.3">
      <c r="A234" t="s">
        <v>1830</v>
      </c>
      <c r="B234">
        <v>38</v>
      </c>
      <c r="C234" t="s">
        <v>27</v>
      </c>
      <c r="D234" t="s">
        <v>19</v>
      </c>
      <c r="E234" t="s">
        <v>51</v>
      </c>
      <c r="F234" t="s">
        <v>75</v>
      </c>
      <c r="G234">
        <v>13</v>
      </c>
      <c r="H234" t="s">
        <v>22</v>
      </c>
      <c r="I234" t="s">
        <v>37</v>
      </c>
      <c r="J234" t="s">
        <v>25</v>
      </c>
      <c r="K234" s="2">
        <v>37970</v>
      </c>
      <c r="L234" s="2">
        <v>49720</v>
      </c>
      <c r="M234" t="s">
        <v>38</v>
      </c>
      <c r="N234">
        <v>43</v>
      </c>
      <c r="O234" t="s">
        <v>23</v>
      </c>
      <c r="P234">
        <v>7</v>
      </c>
      <c r="Q234" s="1">
        <v>32.479999999999997</v>
      </c>
      <c r="R234" s="2">
        <f t="shared" si="12"/>
        <v>11750</v>
      </c>
      <c r="S234" s="1">
        <f t="shared" si="13"/>
        <v>30.945483276270743</v>
      </c>
      <c r="T234" t="str">
        <f t="shared" si="14"/>
        <v>Intermediate</v>
      </c>
      <c r="U234" t="str">
        <f t="shared" si="15"/>
        <v>Medium Impact</v>
      </c>
    </row>
    <row r="235" spans="1:21" x14ac:dyDescent="0.3">
      <c r="A235" t="s">
        <v>2013</v>
      </c>
      <c r="B235">
        <v>39</v>
      </c>
      <c r="C235" t="s">
        <v>27</v>
      </c>
      <c r="D235" t="s">
        <v>19</v>
      </c>
      <c r="E235" t="s">
        <v>20</v>
      </c>
      <c r="F235" t="s">
        <v>88</v>
      </c>
      <c r="G235">
        <v>15</v>
      </c>
      <c r="H235" t="s">
        <v>31</v>
      </c>
      <c r="I235" t="s">
        <v>37</v>
      </c>
      <c r="J235" t="s">
        <v>23</v>
      </c>
      <c r="K235" s="2">
        <v>33333</v>
      </c>
      <c r="L235" s="2">
        <v>32821</v>
      </c>
      <c r="M235" t="s">
        <v>38</v>
      </c>
      <c r="N235">
        <v>53</v>
      </c>
      <c r="O235" t="s">
        <v>25</v>
      </c>
      <c r="P235">
        <v>6</v>
      </c>
      <c r="Q235" s="1">
        <v>32.46</v>
      </c>
      <c r="R235" s="2">
        <f t="shared" si="12"/>
        <v>-512</v>
      </c>
      <c r="S235" s="1">
        <f t="shared" si="13"/>
        <v>-1.5360153601536015</v>
      </c>
      <c r="T235" t="str">
        <f t="shared" si="14"/>
        <v>Expert</v>
      </c>
      <c r="U235" t="str">
        <f t="shared" si="15"/>
        <v>Medium Impact</v>
      </c>
    </row>
    <row r="236" spans="1:21" x14ac:dyDescent="0.3">
      <c r="A236" t="s">
        <v>720</v>
      </c>
      <c r="B236">
        <v>51</v>
      </c>
      <c r="C236" t="s">
        <v>18</v>
      </c>
      <c r="D236" t="s">
        <v>40</v>
      </c>
      <c r="E236" t="s">
        <v>29</v>
      </c>
      <c r="F236" t="s">
        <v>102</v>
      </c>
      <c r="G236">
        <v>27</v>
      </c>
      <c r="H236" t="s">
        <v>37</v>
      </c>
      <c r="I236" t="s">
        <v>37</v>
      </c>
      <c r="J236" t="s">
        <v>23</v>
      </c>
      <c r="K236" s="2">
        <v>48395</v>
      </c>
      <c r="L236" s="2">
        <v>46794</v>
      </c>
      <c r="M236" t="s">
        <v>38</v>
      </c>
      <c r="N236">
        <v>47</v>
      </c>
      <c r="O236" t="s">
        <v>23</v>
      </c>
      <c r="P236">
        <v>5</v>
      </c>
      <c r="Q236" s="1">
        <v>32.39</v>
      </c>
      <c r="R236" s="2">
        <f t="shared" si="12"/>
        <v>-1601</v>
      </c>
      <c r="S236" s="1">
        <f t="shared" si="13"/>
        <v>-3.3081929951441262</v>
      </c>
      <c r="T236" t="str">
        <f t="shared" si="14"/>
        <v>Expert</v>
      </c>
      <c r="U236" t="str">
        <f t="shared" si="15"/>
        <v>Medium Impact</v>
      </c>
    </row>
    <row r="237" spans="1:21" x14ac:dyDescent="0.3">
      <c r="A237" t="s">
        <v>1959</v>
      </c>
      <c r="B237">
        <v>56</v>
      </c>
      <c r="C237" t="s">
        <v>54</v>
      </c>
      <c r="D237" t="s">
        <v>28</v>
      </c>
      <c r="E237" t="s">
        <v>51</v>
      </c>
      <c r="F237" t="s">
        <v>130</v>
      </c>
      <c r="G237">
        <v>33</v>
      </c>
      <c r="H237" t="s">
        <v>37</v>
      </c>
      <c r="I237" t="s">
        <v>31</v>
      </c>
      <c r="J237" t="s">
        <v>25</v>
      </c>
      <c r="K237" s="2">
        <v>109968</v>
      </c>
      <c r="L237" s="2">
        <v>118009</v>
      </c>
      <c r="M237" t="s">
        <v>32</v>
      </c>
      <c r="N237">
        <v>54</v>
      </c>
      <c r="O237" t="s">
        <v>25</v>
      </c>
      <c r="P237">
        <v>9</v>
      </c>
      <c r="Q237" s="1">
        <v>32.380000000000003</v>
      </c>
      <c r="R237" s="2">
        <f t="shared" si="12"/>
        <v>8041</v>
      </c>
      <c r="S237" s="1">
        <f t="shared" si="13"/>
        <v>7.3121271642659673</v>
      </c>
      <c r="T237" t="str">
        <f t="shared" si="14"/>
        <v>Expert</v>
      </c>
      <c r="U237" t="str">
        <f t="shared" si="15"/>
        <v>Low Impact</v>
      </c>
    </row>
    <row r="238" spans="1:21" x14ac:dyDescent="0.3">
      <c r="A238" t="s">
        <v>716</v>
      </c>
      <c r="B238">
        <v>44</v>
      </c>
      <c r="C238" t="s">
        <v>54</v>
      </c>
      <c r="D238" t="s">
        <v>19</v>
      </c>
      <c r="E238" t="s">
        <v>35</v>
      </c>
      <c r="F238" t="s">
        <v>132</v>
      </c>
      <c r="G238">
        <v>19</v>
      </c>
      <c r="H238" t="s">
        <v>31</v>
      </c>
      <c r="I238" t="s">
        <v>31</v>
      </c>
      <c r="J238" t="s">
        <v>23</v>
      </c>
      <c r="K238" s="2">
        <v>55105</v>
      </c>
      <c r="L238" s="2">
        <v>53224</v>
      </c>
      <c r="M238" t="s">
        <v>32</v>
      </c>
      <c r="N238">
        <v>42</v>
      </c>
      <c r="O238" t="s">
        <v>25</v>
      </c>
      <c r="P238">
        <v>9</v>
      </c>
      <c r="Q238" s="1">
        <v>32.380000000000003</v>
      </c>
      <c r="R238" s="2">
        <f t="shared" si="12"/>
        <v>-1881</v>
      </c>
      <c r="S238" s="1">
        <f t="shared" si="13"/>
        <v>-3.4134833499682422</v>
      </c>
      <c r="T238" t="str">
        <f t="shared" si="14"/>
        <v>Expert</v>
      </c>
      <c r="U238" t="str">
        <f t="shared" si="15"/>
        <v>Low Impact</v>
      </c>
    </row>
    <row r="239" spans="1:21" x14ac:dyDescent="0.3">
      <c r="A239" t="s">
        <v>199</v>
      </c>
      <c r="B239">
        <v>39</v>
      </c>
      <c r="C239" t="s">
        <v>54</v>
      </c>
      <c r="D239" t="s">
        <v>19</v>
      </c>
      <c r="E239" t="s">
        <v>35</v>
      </c>
      <c r="F239" t="s">
        <v>36</v>
      </c>
      <c r="G239">
        <v>17</v>
      </c>
      <c r="H239" t="s">
        <v>37</v>
      </c>
      <c r="I239" t="s">
        <v>22</v>
      </c>
      <c r="J239" t="s">
        <v>23</v>
      </c>
      <c r="K239" s="2">
        <v>45328</v>
      </c>
      <c r="L239" s="2">
        <v>41041</v>
      </c>
      <c r="M239" t="s">
        <v>32</v>
      </c>
      <c r="N239">
        <v>46</v>
      </c>
      <c r="O239" t="s">
        <v>23</v>
      </c>
      <c r="P239">
        <v>6</v>
      </c>
      <c r="Q239" s="1">
        <v>32.33</v>
      </c>
      <c r="R239" s="2">
        <f t="shared" si="12"/>
        <v>-4287</v>
      </c>
      <c r="S239" s="1">
        <f t="shared" si="13"/>
        <v>-9.4577303212142603</v>
      </c>
      <c r="T239" t="str">
        <f t="shared" si="14"/>
        <v>Expert</v>
      </c>
      <c r="U239" t="str">
        <f t="shared" si="15"/>
        <v>Low Impact</v>
      </c>
    </row>
    <row r="240" spans="1:21" x14ac:dyDescent="0.3">
      <c r="A240" t="s">
        <v>807</v>
      </c>
      <c r="B240">
        <v>47</v>
      </c>
      <c r="C240" t="s">
        <v>27</v>
      </c>
      <c r="D240" t="s">
        <v>34</v>
      </c>
      <c r="E240" t="s">
        <v>20</v>
      </c>
      <c r="F240" t="s">
        <v>118</v>
      </c>
      <c r="G240">
        <v>22</v>
      </c>
      <c r="H240" t="s">
        <v>31</v>
      </c>
      <c r="I240" t="s">
        <v>37</v>
      </c>
      <c r="J240" t="s">
        <v>23</v>
      </c>
      <c r="K240" s="2">
        <v>40310</v>
      </c>
      <c r="L240" s="2">
        <v>41893</v>
      </c>
      <c r="M240" t="s">
        <v>38</v>
      </c>
      <c r="N240">
        <v>37</v>
      </c>
      <c r="O240" t="s">
        <v>25</v>
      </c>
      <c r="P240">
        <v>7</v>
      </c>
      <c r="Q240" s="1">
        <v>32.31</v>
      </c>
      <c r="R240" s="2">
        <f t="shared" si="12"/>
        <v>1583</v>
      </c>
      <c r="S240" s="1">
        <f t="shared" si="13"/>
        <v>3.927065244356239</v>
      </c>
      <c r="T240" t="str">
        <f t="shared" si="14"/>
        <v>Expert</v>
      </c>
      <c r="U240" t="str">
        <f t="shared" si="15"/>
        <v>Medium Impact</v>
      </c>
    </row>
    <row r="241" spans="1:21" x14ac:dyDescent="0.3">
      <c r="A241" t="s">
        <v>466</v>
      </c>
      <c r="B241">
        <v>51</v>
      </c>
      <c r="C241" t="s">
        <v>18</v>
      </c>
      <c r="D241" t="s">
        <v>28</v>
      </c>
      <c r="E241" t="s">
        <v>44</v>
      </c>
      <c r="F241" t="s">
        <v>57</v>
      </c>
      <c r="G241">
        <v>25</v>
      </c>
      <c r="H241" t="s">
        <v>37</v>
      </c>
      <c r="I241" t="s">
        <v>22</v>
      </c>
      <c r="J241" t="s">
        <v>23</v>
      </c>
      <c r="K241" s="2">
        <v>96262</v>
      </c>
      <c r="L241" s="2">
        <v>87807</v>
      </c>
      <c r="M241" t="s">
        <v>32</v>
      </c>
      <c r="N241">
        <v>52</v>
      </c>
      <c r="O241" t="s">
        <v>25</v>
      </c>
      <c r="P241">
        <v>4</v>
      </c>
      <c r="Q241" s="1">
        <v>32.299999999999997</v>
      </c>
      <c r="R241" s="2">
        <f t="shared" si="12"/>
        <v>-8455</v>
      </c>
      <c r="S241" s="1">
        <f t="shared" si="13"/>
        <v>-8.7833205210778917</v>
      </c>
      <c r="T241" t="str">
        <f t="shared" si="14"/>
        <v>Expert</v>
      </c>
      <c r="U241" t="str">
        <f t="shared" si="15"/>
        <v>Low Impact</v>
      </c>
    </row>
    <row r="242" spans="1:21" x14ac:dyDescent="0.3">
      <c r="A242" t="s">
        <v>319</v>
      </c>
      <c r="B242">
        <v>27</v>
      </c>
      <c r="C242" t="s">
        <v>27</v>
      </c>
      <c r="D242" t="s">
        <v>34</v>
      </c>
      <c r="E242" t="s">
        <v>35</v>
      </c>
      <c r="F242" t="s">
        <v>36</v>
      </c>
      <c r="G242">
        <v>5</v>
      </c>
      <c r="H242" t="s">
        <v>22</v>
      </c>
      <c r="I242" t="s">
        <v>31</v>
      </c>
      <c r="J242" t="s">
        <v>25</v>
      </c>
      <c r="K242" s="2">
        <v>90576</v>
      </c>
      <c r="L242" s="2">
        <v>94574</v>
      </c>
      <c r="M242" t="s">
        <v>32</v>
      </c>
      <c r="N242">
        <v>43</v>
      </c>
      <c r="O242" t="s">
        <v>25</v>
      </c>
      <c r="P242">
        <v>7</v>
      </c>
      <c r="Q242" s="1">
        <v>32.25</v>
      </c>
      <c r="R242" s="2">
        <f t="shared" si="12"/>
        <v>3998</v>
      </c>
      <c r="S242" s="1">
        <f t="shared" si="13"/>
        <v>4.4139727963257371</v>
      </c>
      <c r="T242" t="str">
        <f t="shared" si="14"/>
        <v>Intermediate</v>
      </c>
      <c r="U242" t="str">
        <f t="shared" si="15"/>
        <v>Low Impact</v>
      </c>
    </row>
    <row r="243" spans="1:21" x14ac:dyDescent="0.3">
      <c r="A243" t="s">
        <v>1969</v>
      </c>
      <c r="B243">
        <v>51</v>
      </c>
      <c r="C243" t="s">
        <v>18</v>
      </c>
      <c r="D243" t="s">
        <v>34</v>
      </c>
      <c r="E243" t="s">
        <v>41</v>
      </c>
      <c r="F243" t="s">
        <v>49</v>
      </c>
      <c r="G243">
        <v>26</v>
      </c>
      <c r="H243" t="s">
        <v>31</v>
      </c>
      <c r="I243" t="s">
        <v>31</v>
      </c>
      <c r="J243" t="s">
        <v>25</v>
      </c>
      <c r="K243" s="2">
        <v>114766</v>
      </c>
      <c r="L243" s="2">
        <v>109768</v>
      </c>
      <c r="M243" t="s">
        <v>32</v>
      </c>
      <c r="N243">
        <v>39</v>
      </c>
      <c r="O243" t="s">
        <v>23</v>
      </c>
      <c r="P243">
        <v>8</v>
      </c>
      <c r="Q243" s="1">
        <v>32.200000000000003</v>
      </c>
      <c r="R243" s="2">
        <f t="shared" si="12"/>
        <v>-4998</v>
      </c>
      <c r="S243" s="1">
        <f t="shared" si="13"/>
        <v>-4.3549483296446683</v>
      </c>
      <c r="T243" t="str">
        <f t="shared" si="14"/>
        <v>Expert</v>
      </c>
      <c r="U243" t="str">
        <f t="shared" si="15"/>
        <v>Low Impact</v>
      </c>
    </row>
    <row r="244" spans="1:21" x14ac:dyDescent="0.3">
      <c r="A244" t="s">
        <v>2036</v>
      </c>
      <c r="B244">
        <v>35</v>
      </c>
      <c r="C244" t="s">
        <v>27</v>
      </c>
      <c r="D244" t="s">
        <v>28</v>
      </c>
      <c r="E244" t="s">
        <v>59</v>
      </c>
      <c r="F244" t="s">
        <v>93</v>
      </c>
      <c r="G244">
        <v>11</v>
      </c>
      <c r="H244" t="s">
        <v>22</v>
      </c>
      <c r="I244" t="s">
        <v>31</v>
      </c>
      <c r="J244" t="s">
        <v>25</v>
      </c>
      <c r="K244" s="2">
        <v>107084</v>
      </c>
      <c r="L244" s="2">
        <v>131157</v>
      </c>
      <c r="M244" t="s">
        <v>32</v>
      </c>
      <c r="N244">
        <v>36</v>
      </c>
      <c r="O244" t="s">
        <v>23</v>
      </c>
      <c r="P244">
        <v>4</v>
      </c>
      <c r="Q244" s="1">
        <v>32.11</v>
      </c>
      <c r="R244" s="2">
        <f t="shared" si="12"/>
        <v>24073</v>
      </c>
      <c r="S244" s="1">
        <f t="shared" si="13"/>
        <v>22.480482611781405</v>
      </c>
      <c r="T244" t="str">
        <f t="shared" si="14"/>
        <v>Intermediate</v>
      </c>
      <c r="U244" t="str">
        <f t="shared" si="15"/>
        <v>Low Impact</v>
      </c>
    </row>
    <row r="245" spans="1:21" x14ac:dyDescent="0.3">
      <c r="A245" t="s">
        <v>134</v>
      </c>
      <c r="B245">
        <v>33</v>
      </c>
      <c r="C245" t="s">
        <v>54</v>
      </c>
      <c r="D245" t="s">
        <v>40</v>
      </c>
      <c r="E245" t="s">
        <v>59</v>
      </c>
      <c r="F245" t="s">
        <v>93</v>
      </c>
      <c r="G245">
        <v>11</v>
      </c>
      <c r="H245" t="s">
        <v>37</v>
      </c>
      <c r="I245" t="s">
        <v>37</v>
      </c>
      <c r="J245" t="s">
        <v>25</v>
      </c>
      <c r="K245" s="2">
        <v>53625</v>
      </c>
      <c r="L245" s="2">
        <v>61727</v>
      </c>
      <c r="M245" t="s">
        <v>38</v>
      </c>
      <c r="N245">
        <v>40</v>
      </c>
      <c r="O245" t="s">
        <v>23</v>
      </c>
      <c r="P245">
        <v>9</v>
      </c>
      <c r="Q245" s="1">
        <v>32.01</v>
      </c>
      <c r="R245" s="2">
        <f t="shared" si="12"/>
        <v>8102</v>
      </c>
      <c r="S245" s="1">
        <f t="shared" si="13"/>
        <v>15.10862470862471</v>
      </c>
      <c r="T245" t="str">
        <f t="shared" si="14"/>
        <v>Intermediate</v>
      </c>
      <c r="U245" t="str">
        <f t="shared" si="15"/>
        <v>Medium Impact</v>
      </c>
    </row>
    <row r="246" spans="1:21" x14ac:dyDescent="0.3">
      <c r="A246" t="s">
        <v>516</v>
      </c>
      <c r="B246">
        <v>22</v>
      </c>
      <c r="C246" t="s">
        <v>18</v>
      </c>
      <c r="D246" t="s">
        <v>28</v>
      </c>
      <c r="E246" t="s">
        <v>35</v>
      </c>
      <c r="F246" t="s">
        <v>98</v>
      </c>
      <c r="G246">
        <v>0</v>
      </c>
      <c r="H246" t="s">
        <v>37</v>
      </c>
      <c r="I246" t="s">
        <v>37</v>
      </c>
      <c r="J246" t="s">
        <v>23</v>
      </c>
      <c r="K246" s="2">
        <v>62402</v>
      </c>
      <c r="L246" s="2">
        <v>66738</v>
      </c>
      <c r="M246" t="s">
        <v>38</v>
      </c>
      <c r="N246">
        <v>38</v>
      </c>
      <c r="O246" t="s">
        <v>25</v>
      </c>
      <c r="P246">
        <v>6</v>
      </c>
      <c r="Q246" s="1">
        <v>31.99</v>
      </c>
      <c r="R246" s="2">
        <f t="shared" si="12"/>
        <v>4336</v>
      </c>
      <c r="S246" s="1">
        <f t="shared" si="13"/>
        <v>6.9484952405371629</v>
      </c>
      <c r="T246" t="str">
        <f t="shared" si="14"/>
        <v>Beginner</v>
      </c>
      <c r="U246" t="str">
        <f t="shared" si="15"/>
        <v>Medium Impact</v>
      </c>
    </row>
    <row r="247" spans="1:21" x14ac:dyDescent="0.3">
      <c r="A247" t="s">
        <v>1425</v>
      </c>
      <c r="B247">
        <v>23</v>
      </c>
      <c r="C247" t="s">
        <v>18</v>
      </c>
      <c r="D247" t="s">
        <v>19</v>
      </c>
      <c r="E247" t="s">
        <v>20</v>
      </c>
      <c r="F247" t="s">
        <v>118</v>
      </c>
      <c r="G247">
        <v>0</v>
      </c>
      <c r="H247" t="s">
        <v>31</v>
      </c>
      <c r="I247" t="s">
        <v>22</v>
      </c>
      <c r="J247" t="s">
        <v>23</v>
      </c>
      <c r="K247" s="2">
        <v>66735</v>
      </c>
      <c r="L247" s="2">
        <v>65685</v>
      </c>
      <c r="M247" t="s">
        <v>32</v>
      </c>
      <c r="N247">
        <v>52</v>
      </c>
      <c r="O247" t="s">
        <v>23</v>
      </c>
      <c r="P247">
        <v>9</v>
      </c>
      <c r="Q247" s="1">
        <v>31.99</v>
      </c>
      <c r="R247" s="2">
        <f t="shared" si="12"/>
        <v>-1050</v>
      </c>
      <c r="S247" s="1">
        <f t="shared" si="13"/>
        <v>-1.5733872780400091</v>
      </c>
      <c r="T247" t="str">
        <f t="shared" si="14"/>
        <v>Beginner</v>
      </c>
      <c r="U247" t="str">
        <f t="shared" si="15"/>
        <v>Low Impact</v>
      </c>
    </row>
    <row r="248" spans="1:21" x14ac:dyDescent="0.3">
      <c r="A248" t="s">
        <v>1021</v>
      </c>
      <c r="B248">
        <v>26</v>
      </c>
      <c r="C248" t="s">
        <v>54</v>
      </c>
      <c r="D248" t="s">
        <v>28</v>
      </c>
      <c r="E248" t="s">
        <v>29</v>
      </c>
      <c r="F248" t="s">
        <v>104</v>
      </c>
      <c r="G248">
        <v>3</v>
      </c>
      <c r="H248" t="s">
        <v>22</v>
      </c>
      <c r="I248" t="s">
        <v>31</v>
      </c>
      <c r="J248" t="s">
        <v>23</v>
      </c>
      <c r="K248" s="2">
        <v>100821</v>
      </c>
      <c r="L248" s="2">
        <v>85814</v>
      </c>
      <c r="M248" t="s">
        <v>32</v>
      </c>
      <c r="N248">
        <v>53</v>
      </c>
      <c r="O248" t="s">
        <v>25</v>
      </c>
      <c r="P248">
        <v>9</v>
      </c>
      <c r="Q248" s="1">
        <v>31.97</v>
      </c>
      <c r="R248" s="2">
        <f t="shared" si="12"/>
        <v>-15007</v>
      </c>
      <c r="S248" s="1">
        <f t="shared" si="13"/>
        <v>-14.884795826266354</v>
      </c>
      <c r="T248" t="str">
        <f t="shared" si="14"/>
        <v>Beginner</v>
      </c>
      <c r="U248" t="str">
        <f t="shared" si="15"/>
        <v>Low Impact</v>
      </c>
    </row>
    <row r="249" spans="1:21" x14ac:dyDescent="0.3">
      <c r="A249" t="s">
        <v>148</v>
      </c>
      <c r="B249">
        <v>26</v>
      </c>
      <c r="C249" t="s">
        <v>18</v>
      </c>
      <c r="D249" t="s">
        <v>19</v>
      </c>
      <c r="E249" t="s">
        <v>44</v>
      </c>
      <c r="F249" t="s">
        <v>57</v>
      </c>
      <c r="G249">
        <v>4</v>
      </c>
      <c r="H249" t="s">
        <v>31</v>
      </c>
      <c r="I249" t="s">
        <v>37</v>
      </c>
      <c r="J249" t="s">
        <v>23</v>
      </c>
      <c r="K249" s="2">
        <v>95545</v>
      </c>
      <c r="L249" s="2">
        <v>104135</v>
      </c>
      <c r="M249" t="s">
        <v>38</v>
      </c>
      <c r="N249">
        <v>47</v>
      </c>
      <c r="O249" t="s">
        <v>23</v>
      </c>
      <c r="P249">
        <v>7</v>
      </c>
      <c r="Q249" s="1">
        <v>31.96</v>
      </c>
      <c r="R249" s="2">
        <f t="shared" si="12"/>
        <v>8590</v>
      </c>
      <c r="S249" s="1">
        <f t="shared" si="13"/>
        <v>8.9905280234444493</v>
      </c>
      <c r="T249" t="str">
        <f t="shared" si="14"/>
        <v>Beginner</v>
      </c>
      <c r="U249" t="str">
        <f t="shared" si="15"/>
        <v>Medium Impact</v>
      </c>
    </row>
    <row r="250" spans="1:21" x14ac:dyDescent="0.3">
      <c r="A250" t="s">
        <v>711</v>
      </c>
      <c r="B250">
        <v>48</v>
      </c>
      <c r="C250" t="s">
        <v>18</v>
      </c>
      <c r="D250" t="s">
        <v>28</v>
      </c>
      <c r="E250" t="s">
        <v>20</v>
      </c>
      <c r="F250" t="s">
        <v>21</v>
      </c>
      <c r="G250">
        <v>26</v>
      </c>
      <c r="H250" t="s">
        <v>37</v>
      </c>
      <c r="I250" t="s">
        <v>22</v>
      </c>
      <c r="J250" t="s">
        <v>23</v>
      </c>
      <c r="K250" s="2">
        <v>79422</v>
      </c>
      <c r="L250" s="2">
        <v>82497</v>
      </c>
      <c r="M250" t="s">
        <v>32</v>
      </c>
      <c r="N250">
        <v>46</v>
      </c>
      <c r="O250" t="s">
        <v>25</v>
      </c>
      <c r="P250">
        <v>4</v>
      </c>
      <c r="Q250" s="1">
        <v>31.9</v>
      </c>
      <c r="R250" s="2">
        <f t="shared" si="12"/>
        <v>3075</v>
      </c>
      <c r="S250" s="1">
        <f t="shared" si="13"/>
        <v>3.871723200120873</v>
      </c>
      <c r="T250" t="str">
        <f t="shared" si="14"/>
        <v>Expert</v>
      </c>
      <c r="U250" t="str">
        <f t="shared" si="15"/>
        <v>Low Impact</v>
      </c>
    </row>
    <row r="251" spans="1:21" x14ac:dyDescent="0.3">
      <c r="A251" t="s">
        <v>895</v>
      </c>
      <c r="B251">
        <v>55</v>
      </c>
      <c r="C251" t="s">
        <v>27</v>
      </c>
      <c r="D251" t="s">
        <v>19</v>
      </c>
      <c r="E251" t="s">
        <v>20</v>
      </c>
      <c r="F251" t="s">
        <v>88</v>
      </c>
      <c r="G251">
        <v>31</v>
      </c>
      <c r="H251" t="s">
        <v>22</v>
      </c>
      <c r="I251" t="s">
        <v>22</v>
      </c>
      <c r="J251" t="s">
        <v>23</v>
      </c>
      <c r="K251" s="2">
        <v>48300</v>
      </c>
      <c r="L251" s="2">
        <v>39878</v>
      </c>
      <c r="M251" t="s">
        <v>24</v>
      </c>
      <c r="N251">
        <v>40</v>
      </c>
      <c r="O251" t="s">
        <v>23</v>
      </c>
      <c r="P251">
        <v>7</v>
      </c>
      <c r="Q251" s="1">
        <v>31.88</v>
      </c>
      <c r="R251" s="2">
        <f t="shared" si="12"/>
        <v>-8422</v>
      </c>
      <c r="S251" s="1">
        <f t="shared" si="13"/>
        <v>-17.436853002070393</v>
      </c>
      <c r="T251" t="str">
        <f t="shared" si="14"/>
        <v>Expert</v>
      </c>
      <c r="U251" t="str">
        <f t="shared" si="15"/>
        <v>High Impact</v>
      </c>
    </row>
    <row r="252" spans="1:21" x14ac:dyDescent="0.3">
      <c r="A252" t="s">
        <v>1439</v>
      </c>
      <c r="B252">
        <v>38</v>
      </c>
      <c r="C252" t="s">
        <v>54</v>
      </c>
      <c r="D252" t="s">
        <v>34</v>
      </c>
      <c r="E252" t="s">
        <v>35</v>
      </c>
      <c r="F252" t="s">
        <v>36</v>
      </c>
      <c r="G252">
        <v>13</v>
      </c>
      <c r="H252" t="s">
        <v>22</v>
      </c>
      <c r="I252" t="s">
        <v>37</v>
      </c>
      <c r="J252" t="s">
        <v>23</v>
      </c>
      <c r="K252" s="2">
        <v>76146</v>
      </c>
      <c r="L252" s="2">
        <v>99904</v>
      </c>
      <c r="M252" t="s">
        <v>38</v>
      </c>
      <c r="N252">
        <v>49</v>
      </c>
      <c r="O252" t="s">
        <v>23</v>
      </c>
      <c r="P252">
        <v>3</v>
      </c>
      <c r="Q252" s="1">
        <v>31.81</v>
      </c>
      <c r="R252" s="2">
        <f t="shared" si="12"/>
        <v>23758</v>
      </c>
      <c r="S252" s="1">
        <f t="shared" si="13"/>
        <v>31.200588343445485</v>
      </c>
      <c r="T252" t="str">
        <f t="shared" si="14"/>
        <v>Intermediate</v>
      </c>
      <c r="U252" t="str">
        <f t="shared" si="15"/>
        <v>Medium Impact</v>
      </c>
    </row>
    <row r="253" spans="1:21" x14ac:dyDescent="0.3">
      <c r="A253" t="s">
        <v>493</v>
      </c>
      <c r="B253">
        <v>38</v>
      </c>
      <c r="C253" t="s">
        <v>27</v>
      </c>
      <c r="D253" t="s">
        <v>19</v>
      </c>
      <c r="E253" t="s">
        <v>41</v>
      </c>
      <c r="F253" t="s">
        <v>49</v>
      </c>
      <c r="G253">
        <v>14</v>
      </c>
      <c r="H253" t="s">
        <v>22</v>
      </c>
      <c r="I253" t="s">
        <v>31</v>
      </c>
      <c r="J253" t="s">
        <v>23</v>
      </c>
      <c r="K253" s="2">
        <v>90011</v>
      </c>
      <c r="L253" s="2">
        <v>98115</v>
      </c>
      <c r="M253" t="s">
        <v>32</v>
      </c>
      <c r="N253">
        <v>38</v>
      </c>
      <c r="O253" t="s">
        <v>23</v>
      </c>
      <c r="P253">
        <v>8</v>
      </c>
      <c r="Q253" s="1">
        <v>31.81</v>
      </c>
      <c r="R253" s="2">
        <f t="shared" si="12"/>
        <v>8104</v>
      </c>
      <c r="S253" s="1">
        <f t="shared" si="13"/>
        <v>9.0033440357289667</v>
      </c>
      <c r="T253" t="str">
        <f t="shared" si="14"/>
        <v>Intermediate</v>
      </c>
      <c r="U253" t="str">
        <f t="shared" si="15"/>
        <v>Low Impact</v>
      </c>
    </row>
    <row r="254" spans="1:21" x14ac:dyDescent="0.3">
      <c r="A254" t="s">
        <v>1283</v>
      </c>
      <c r="B254">
        <v>31</v>
      </c>
      <c r="C254" t="s">
        <v>27</v>
      </c>
      <c r="D254" t="s">
        <v>28</v>
      </c>
      <c r="E254" t="s">
        <v>35</v>
      </c>
      <c r="F254" t="s">
        <v>132</v>
      </c>
      <c r="G254">
        <v>6</v>
      </c>
      <c r="H254" t="s">
        <v>37</v>
      </c>
      <c r="I254" t="s">
        <v>31</v>
      </c>
      <c r="J254" t="s">
        <v>25</v>
      </c>
      <c r="K254" s="2">
        <v>57624</v>
      </c>
      <c r="L254" s="2">
        <v>59713</v>
      </c>
      <c r="M254" t="s">
        <v>32</v>
      </c>
      <c r="N254">
        <v>52</v>
      </c>
      <c r="O254" t="s">
        <v>25</v>
      </c>
      <c r="P254">
        <v>8</v>
      </c>
      <c r="Q254" s="1">
        <v>31.81</v>
      </c>
      <c r="R254" s="2">
        <f t="shared" si="12"/>
        <v>2089</v>
      </c>
      <c r="S254" s="1">
        <f t="shared" si="13"/>
        <v>3.6252256004442596</v>
      </c>
      <c r="T254" t="str">
        <f t="shared" si="14"/>
        <v>Intermediate</v>
      </c>
      <c r="U254" t="str">
        <f t="shared" si="15"/>
        <v>Low Impact</v>
      </c>
    </row>
    <row r="255" spans="1:21" x14ac:dyDescent="0.3">
      <c r="A255" t="s">
        <v>622</v>
      </c>
      <c r="B255">
        <v>44</v>
      </c>
      <c r="C255" t="s">
        <v>18</v>
      </c>
      <c r="D255" t="s">
        <v>19</v>
      </c>
      <c r="E255" t="s">
        <v>29</v>
      </c>
      <c r="F255" t="s">
        <v>104</v>
      </c>
      <c r="G255">
        <v>18</v>
      </c>
      <c r="H255" t="s">
        <v>37</v>
      </c>
      <c r="I255" t="s">
        <v>31</v>
      </c>
      <c r="J255" t="s">
        <v>25</v>
      </c>
      <c r="K255" s="2">
        <v>35520</v>
      </c>
      <c r="L255" s="2">
        <v>39860</v>
      </c>
      <c r="M255" t="s">
        <v>32</v>
      </c>
      <c r="N255">
        <v>39</v>
      </c>
      <c r="O255" t="s">
        <v>25</v>
      </c>
      <c r="P255">
        <v>8</v>
      </c>
      <c r="Q255" s="1">
        <v>31.78</v>
      </c>
      <c r="R255" s="2">
        <f t="shared" si="12"/>
        <v>4340</v>
      </c>
      <c r="S255" s="1">
        <f t="shared" si="13"/>
        <v>12.218468468468469</v>
      </c>
      <c r="T255" t="str">
        <f t="shared" si="14"/>
        <v>Expert</v>
      </c>
      <c r="U255" t="str">
        <f t="shared" si="15"/>
        <v>Low Impact</v>
      </c>
    </row>
    <row r="256" spans="1:21" x14ac:dyDescent="0.3">
      <c r="A256" t="s">
        <v>465</v>
      </c>
      <c r="B256">
        <v>47</v>
      </c>
      <c r="C256" t="s">
        <v>27</v>
      </c>
      <c r="D256" t="s">
        <v>28</v>
      </c>
      <c r="E256" t="s">
        <v>29</v>
      </c>
      <c r="F256" t="s">
        <v>30</v>
      </c>
      <c r="G256">
        <v>22</v>
      </c>
      <c r="H256" t="s">
        <v>31</v>
      </c>
      <c r="I256" t="s">
        <v>22</v>
      </c>
      <c r="J256" t="s">
        <v>23</v>
      </c>
      <c r="K256" s="2">
        <v>33321</v>
      </c>
      <c r="L256" s="2">
        <v>35260</v>
      </c>
      <c r="M256" t="s">
        <v>32</v>
      </c>
      <c r="N256">
        <v>48</v>
      </c>
      <c r="O256" t="s">
        <v>23</v>
      </c>
      <c r="P256">
        <v>9</v>
      </c>
      <c r="Q256" s="1">
        <v>31.77</v>
      </c>
      <c r="R256" s="2">
        <f t="shared" si="12"/>
        <v>1939</v>
      </c>
      <c r="S256" s="1">
        <f t="shared" si="13"/>
        <v>5.8191530866420571</v>
      </c>
      <c r="T256" t="str">
        <f t="shared" si="14"/>
        <v>Expert</v>
      </c>
      <c r="U256" t="str">
        <f t="shared" si="15"/>
        <v>Low Impact</v>
      </c>
    </row>
    <row r="257" spans="1:21" x14ac:dyDescent="0.3">
      <c r="A257" t="s">
        <v>1363</v>
      </c>
      <c r="B257">
        <v>43</v>
      </c>
      <c r="C257" t="s">
        <v>27</v>
      </c>
      <c r="D257" t="s">
        <v>34</v>
      </c>
      <c r="E257" t="s">
        <v>44</v>
      </c>
      <c r="F257" t="s">
        <v>47</v>
      </c>
      <c r="G257">
        <v>17</v>
      </c>
      <c r="H257" t="s">
        <v>22</v>
      </c>
      <c r="I257" t="s">
        <v>31</v>
      </c>
      <c r="J257" t="s">
        <v>23</v>
      </c>
      <c r="K257" s="2">
        <v>36806</v>
      </c>
      <c r="L257" s="2">
        <v>42021</v>
      </c>
      <c r="M257" t="s">
        <v>32</v>
      </c>
      <c r="N257">
        <v>41</v>
      </c>
      <c r="O257" t="s">
        <v>23</v>
      </c>
      <c r="P257">
        <v>3</v>
      </c>
      <c r="Q257" s="1">
        <v>31.67</v>
      </c>
      <c r="R257" s="2">
        <f t="shared" si="12"/>
        <v>5215</v>
      </c>
      <c r="S257" s="1">
        <f t="shared" si="13"/>
        <v>14.16888550779764</v>
      </c>
      <c r="T257" t="str">
        <f t="shared" si="14"/>
        <v>Expert</v>
      </c>
      <c r="U257" t="str">
        <f t="shared" si="15"/>
        <v>Low Impact</v>
      </c>
    </row>
    <row r="258" spans="1:21" x14ac:dyDescent="0.3">
      <c r="A258" t="s">
        <v>952</v>
      </c>
      <c r="B258">
        <v>32</v>
      </c>
      <c r="C258" t="s">
        <v>18</v>
      </c>
      <c r="D258" t="s">
        <v>34</v>
      </c>
      <c r="E258" t="s">
        <v>20</v>
      </c>
      <c r="F258" t="s">
        <v>118</v>
      </c>
      <c r="G258">
        <v>7</v>
      </c>
      <c r="H258" t="s">
        <v>37</v>
      </c>
      <c r="I258" t="s">
        <v>22</v>
      </c>
      <c r="J258" t="s">
        <v>25</v>
      </c>
      <c r="K258" s="2">
        <v>34763</v>
      </c>
      <c r="L258" s="2">
        <v>36843</v>
      </c>
      <c r="M258" t="s">
        <v>32</v>
      </c>
      <c r="N258">
        <v>46</v>
      </c>
      <c r="O258" t="s">
        <v>25</v>
      </c>
      <c r="P258">
        <v>4</v>
      </c>
      <c r="Q258" s="1">
        <v>31.64</v>
      </c>
      <c r="R258" s="2">
        <f t="shared" ref="R258:R321" si="16">L258-K258</f>
        <v>2080</v>
      </c>
      <c r="S258" s="1">
        <f t="shared" ref="S258:S321" si="17">(L258-K258)/K258*100</f>
        <v>5.9833731266001209</v>
      </c>
      <c r="T258" t="str">
        <f t="shared" ref="T258:T321" si="18">IF(G258&lt;5,"Beginner",IF(G258&lt;15,"Intermediate","Expert"))</f>
        <v>Intermediate</v>
      </c>
      <c r="U258" t="str">
        <f t="shared" ref="U258:U321" si="19">IF(M258="Replaced","High Impact",IF(M258="Modified","Medium Impact","Low Impact"))</f>
        <v>Low Impact</v>
      </c>
    </row>
    <row r="259" spans="1:21" x14ac:dyDescent="0.3">
      <c r="A259" t="s">
        <v>1838</v>
      </c>
      <c r="B259">
        <v>41</v>
      </c>
      <c r="C259" t="s">
        <v>54</v>
      </c>
      <c r="D259" t="s">
        <v>28</v>
      </c>
      <c r="E259" t="s">
        <v>29</v>
      </c>
      <c r="F259" t="s">
        <v>30</v>
      </c>
      <c r="G259">
        <v>16</v>
      </c>
      <c r="H259" t="s">
        <v>31</v>
      </c>
      <c r="I259" t="s">
        <v>31</v>
      </c>
      <c r="J259" t="s">
        <v>25</v>
      </c>
      <c r="K259" s="2">
        <v>82948</v>
      </c>
      <c r="L259" s="2">
        <v>82914</v>
      </c>
      <c r="M259" t="s">
        <v>32</v>
      </c>
      <c r="N259">
        <v>37</v>
      </c>
      <c r="O259" t="s">
        <v>23</v>
      </c>
      <c r="P259">
        <v>8</v>
      </c>
      <c r="Q259" s="1">
        <v>31.63</v>
      </c>
      <c r="R259" s="2">
        <f t="shared" si="16"/>
        <v>-34</v>
      </c>
      <c r="S259" s="1">
        <f t="shared" si="17"/>
        <v>-4.0989535612673003E-2</v>
      </c>
      <c r="T259" t="str">
        <f t="shared" si="18"/>
        <v>Expert</v>
      </c>
      <c r="U259" t="str">
        <f t="shared" si="19"/>
        <v>Low Impact</v>
      </c>
    </row>
    <row r="260" spans="1:21" x14ac:dyDescent="0.3">
      <c r="A260" t="s">
        <v>1503</v>
      </c>
      <c r="B260">
        <v>44</v>
      </c>
      <c r="C260" t="s">
        <v>54</v>
      </c>
      <c r="D260" t="s">
        <v>28</v>
      </c>
      <c r="E260" t="s">
        <v>51</v>
      </c>
      <c r="F260" t="s">
        <v>130</v>
      </c>
      <c r="G260">
        <v>21</v>
      </c>
      <c r="H260" t="s">
        <v>31</v>
      </c>
      <c r="I260" t="s">
        <v>22</v>
      </c>
      <c r="J260" t="s">
        <v>23</v>
      </c>
      <c r="K260" s="2">
        <v>91009</v>
      </c>
      <c r="L260" s="2">
        <v>95194</v>
      </c>
      <c r="M260" t="s">
        <v>32</v>
      </c>
      <c r="N260">
        <v>37</v>
      </c>
      <c r="O260" t="s">
        <v>23</v>
      </c>
      <c r="P260">
        <v>4</v>
      </c>
      <c r="Q260" s="1">
        <v>31.62</v>
      </c>
      <c r="R260" s="2">
        <f t="shared" si="16"/>
        <v>4185</v>
      </c>
      <c r="S260" s="1">
        <f t="shared" si="17"/>
        <v>4.5984463075080484</v>
      </c>
      <c r="T260" t="str">
        <f t="shared" si="18"/>
        <v>Expert</v>
      </c>
      <c r="U260" t="str">
        <f t="shared" si="19"/>
        <v>Low Impact</v>
      </c>
    </row>
    <row r="261" spans="1:21" x14ac:dyDescent="0.3">
      <c r="A261" t="s">
        <v>1746</v>
      </c>
      <c r="B261">
        <v>31</v>
      </c>
      <c r="C261" t="s">
        <v>27</v>
      </c>
      <c r="D261" t="s">
        <v>19</v>
      </c>
      <c r="E261" t="s">
        <v>44</v>
      </c>
      <c r="F261" t="s">
        <v>47</v>
      </c>
      <c r="G261">
        <v>5</v>
      </c>
      <c r="H261" t="s">
        <v>22</v>
      </c>
      <c r="I261" t="s">
        <v>37</v>
      </c>
      <c r="J261" t="s">
        <v>25</v>
      </c>
      <c r="K261" s="2">
        <v>48413</v>
      </c>
      <c r="L261" s="2">
        <v>44192</v>
      </c>
      <c r="M261" t="s">
        <v>38</v>
      </c>
      <c r="N261">
        <v>40</v>
      </c>
      <c r="O261" t="s">
        <v>23</v>
      </c>
      <c r="P261">
        <v>4</v>
      </c>
      <c r="Q261" s="1">
        <v>31.58</v>
      </c>
      <c r="R261" s="2">
        <f t="shared" si="16"/>
        <v>-4221</v>
      </c>
      <c r="S261" s="1">
        <f t="shared" si="17"/>
        <v>-8.7187325718298805</v>
      </c>
      <c r="T261" t="str">
        <f t="shared" si="18"/>
        <v>Intermediate</v>
      </c>
      <c r="U261" t="str">
        <f t="shared" si="19"/>
        <v>Medium Impact</v>
      </c>
    </row>
    <row r="262" spans="1:21" x14ac:dyDescent="0.3">
      <c r="A262" t="s">
        <v>522</v>
      </c>
      <c r="B262">
        <v>39</v>
      </c>
      <c r="C262" t="s">
        <v>18</v>
      </c>
      <c r="D262" t="s">
        <v>28</v>
      </c>
      <c r="E262" t="s">
        <v>41</v>
      </c>
      <c r="F262" t="s">
        <v>42</v>
      </c>
      <c r="G262">
        <v>15</v>
      </c>
      <c r="H262" t="s">
        <v>22</v>
      </c>
      <c r="I262" t="s">
        <v>22</v>
      </c>
      <c r="J262" t="s">
        <v>25</v>
      </c>
      <c r="K262" s="2">
        <v>35355</v>
      </c>
      <c r="L262" s="2">
        <v>28345</v>
      </c>
      <c r="M262" t="s">
        <v>38</v>
      </c>
      <c r="N262">
        <v>47</v>
      </c>
      <c r="O262" t="s">
        <v>23</v>
      </c>
      <c r="P262">
        <v>4</v>
      </c>
      <c r="Q262" s="1">
        <v>31.54</v>
      </c>
      <c r="R262" s="2">
        <f t="shared" si="16"/>
        <v>-7010</v>
      </c>
      <c r="S262" s="1">
        <f t="shared" si="17"/>
        <v>-19.827464290765096</v>
      </c>
      <c r="T262" t="str">
        <f t="shared" si="18"/>
        <v>Expert</v>
      </c>
      <c r="U262" t="str">
        <f t="shared" si="19"/>
        <v>Medium Impact</v>
      </c>
    </row>
    <row r="263" spans="1:21" x14ac:dyDescent="0.3">
      <c r="A263" t="s">
        <v>1281</v>
      </c>
      <c r="B263">
        <v>38</v>
      </c>
      <c r="C263" t="s">
        <v>18</v>
      </c>
      <c r="D263" t="s">
        <v>19</v>
      </c>
      <c r="E263" t="s">
        <v>20</v>
      </c>
      <c r="F263" t="s">
        <v>88</v>
      </c>
      <c r="G263">
        <v>13</v>
      </c>
      <c r="H263" t="s">
        <v>37</v>
      </c>
      <c r="I263" t="s">
        <v>31</v>
      </c>
      <c r="J263" t="s">
        <v>23</v>
      </c>
      <c r="K263" s="2">
        <v>119792</v>
      </c>
      <c r="L263" s="2">
        <v>118943</v>
      </c>
      <c r="M263" t="s">
        <v>32</v>
      </c>
      <c r="N263">
        <v>47</v>
      </c>
      <c r="O263" t="s">
        <v>23</v>
      </c>
      <c r="P263">
        <v>9</v>
      </c>
      <c r="Q263" s="1">
        <v>31.53</v>
      </c>
      <c r="R263" s="2">
        <f t="shared" si="16"/>
        <v>-849</v>
      </c>
      <c r="S263" s="1">
        <f t="shared" si="17"/>
        <v>-0.70872846266862555</v>
      </c>
      <c r="T263" t="str">
        <f t="shared" si="18"/>
        <v>Intermediate</v>
      </c>
      <c r="U263" t="str">
        <f t="shared" si="19"/>
        <v>Low Impact</v>
      </c>
    </row>
    <row r="264" spans="1:21" x14ac:dyDescent="0.3">
      <c r="A264" t="s">
        <v>1260</v>
      </c>
      <c r="B264">
        <v>39</v>
      </c>
      <c r="C264" t="s">
        <v>27</v>
      </c>
      <c r="D264" t="s">
        <v>19</v>
      </c>
      <c r="E264" t="s">
        <v>44</v>
      </c>
      <c r="F264" t="s">
        <v>47</v>
      </c>
      <c r="G264">
        <v>17</v>
      </c>
      <c r="H264" t="s">
        <v>22</v>
      </c>
      <c r="I264" t="s">
        <v>37</v>
      </c>
      <c r="J264" t="s">
        <v>25</v>
      </c>
      <c r="K264" s="2">
        <v>74990</v>
      </c>
      <c r="L264" s="2">
        <v>90613</v>
      </c>
      <c r="M264" t="s">
        <v>38</v>
      </c>
      <c r="N264">
        <v>42</v>
      </c>
      <c r="O264" t="s">
        <v>23</v>
      </c>
      <c r="P264">
        <v>9</v>
      </c>
      <c r="Q264" s="1">
        <v>31.53</v>
      </c>
      <c r="R264" s="2">
        <f t="shared" si="16"/>
        <v>15623</v>
      </c>
      <c r="S264" s="1">
        <f t="shared" si="17"/>
        <v>20.833444459261237</v>
      </c>
      <c r="T264" t="str">
        <f t="shared" si="18"/>
        <v>Expert</v>
      </c>
      <c r="U264" t="str">
        <f t="shared" si="19"/>
        <v>Medium Impact</v>
      </c>
    </row>
    <row r="265" spans="1:21" x14ac:dyDescent="0.3">
      <c r="A265" t="s">
        <v>620</v>
      </c>
      <c r="B265">
        <v>26</v>
      </c>
      <c r="C265" t="s">
        <v>18</v>
      </c>
      <c r="D265" t="s">
        <v>34</v>
      </c>
      <c r="E265" t="s">
        <v>35</v>
      </c>
      <c r="F265" t="s">
        <v>36</v>
      </c>
      <c r="G265">
        <v>3</v>
      </c>
      <c r="H265" t="s">
        <v>37</v>
      </c>
      <c r="I265" t="s">
        <v>37</v>
      </c>
      <c r="J265" t="s">
        <v>23</v>
      </c>
      <c r="K265" s="2">
        <v>62854</v>
      </c>
      <c r="L265" s="2">
        <v>72368</v>
      </c>
      <c r="M265" t="s">
        <v>38</v>
      </c>
      <c r="N265">
        <v>37</v>
      </c>
      <c r="O265" t="s">
        <v>25</v>
      </c>
      <c r="P265">
        <v>8</v>
      </c>
      <c r="Q265" s="1">
        <v>31.53</v>
      </c>
      <c r="R265" s="2">
        <f t="shared" si="16"/>
        <v>9514</v>
      </c>
      <c r="S265" s="1">
        <f t="shared" si="17"/>
        <v>15.1366659242053</v>
      </c>
      <c r="T265" t="str">
        <f t="shared" si="18"/>
        <v>Beginner</v>
      </c>
      <c r="U265" t="str">
        <f t="shared" si="19"/>
        <v>Medium Impact</v>
      </c>
    </row>
    <row r="266" spans="1:21" x14ac:dyDescent="0.3">
      <c r="A266" t="s">
        <v>1221</v>
      </c>
      <c r="B266">
        <v>26</v>
      </c>
      <c r="C266" t="s">
        <v>18</v>
      </c>
      <c r="D266" t="s">
        <v>28</v>
      </c>
      <c r="E266" t="s">
        <v>51</v>
      </c>
      <c r="F266" t="s">
        <v>52</v>
      </c>
      <c r="G266">
        <v>2</v>
      </c>
      <c r="H266" t="s">
        <v>22</v>
      </c>
      <c r="I266" t="s">
        <v>22</v>
      </c>
      <c r="J266" t="s">
        <v>23</v>
      </c>
      <c r="K266" s="2">
        <v>65771</v>
      </c>
      <c r="L266" s="2">
        <v>57814</v>
      </c>
      <c r="M266" t="s">
        <v>38</v>
      </c>
      <c r="N266">
        <v>47</v>
      </c>
      <c r="O266" t="s">
        <v>23</v>
      </c>
      <c r="P266">
        <v>8</v>
      </c>
      <c r="Q266" s="1">
        <v>31.52</v>
      </c>
      <c r="R266" s="2">
        <f t="shared" si="16"/>
        <v>-7957</v>
      </c>
      <c r="S266" s="1">
        <f t="shared" si="17"/>
        <v>-12.098037128825775</v>
      </c>
      <c r="T266" t="str">
        <f t="shared" si="18"/>
        <v>Beginner</v>
      </c>
      <c r="U266" t="str">
        <f t="shared" si="19"/>
        <v>Medium Impact</v>
      </c>
    </row>
    <row r="267" spans="1:21" x14ac:dyDescent="0.3">
      <c r="A267" t="s">
        <v>749</v>
      </c>
      <c r="B267">
        <v>39</v>
      </c>
      <c r="C267" t="s">
        <v>27</v>
      </c>
      <c r="D267" t="s">
        <v>34</v>
      </c>
      <c r="E267" t="s">
        <v>41</v>
      </c>
      <c r="F267" t="s">
        <v>55</v>
      </c>
      <c r="G267">
        <v>15</v>
      </c>
      <c r="H267" t="s">
        <v>37</v>
      </c>
      <c r="I267" t="s">
        <v>31</v>
      </c>
      <c r="J267" t="s">
        <v>25</v>
      </c>
      <c r="K267" s="2">
        <v>54816</v>
      </c>
      <c r="L267" s="2">
        <v>49493</v>
      </c>
      <c r="M267" t="s">
        <v>32</v>
      </c>
      <c r="N267">
        <v>50</v>
      </c>
      <c r="O267" t="s">
        <v>23</v>
      </c>
      <c r="P267">
        <v>8</v>
      </c>
      <c r="Q267" s="1">
        <v>31.48</v>
      </c>
      <c r="R267" s="2">
        <f t="shared" si="16"/>
        <v>-5323</v>
      </c>
      <c r="S267" s="1">
        <f t="shared" si="17"/>
        <v>-9.7106684179801519</v>
      </c>
      <c r="T267" t="str">
        <f t="shared" si="18"/>
        <v>Expert</v>
      </c>
      <c r="U267" t="str">
        <f t="shared" si="19"/>
        <v>Low Impact</v>
      </c>
    </row>
    <row r="268" spans="1:21" x14ac:dyDescent="0.3">
      <c r="A268" t="s">
        <v>1504</v>
      </c>
      <c r="B268">
        <v>44</v>
      </c>
      <c r="C268" t="s">
        <v>54</v>
      </c>
      <c r="D268" t="s">
        <v>19</v>
      </c>
      <c r="E268" t="s">
        <v>20</v>
      </c>
      <c r="F268" t="s">
        <v>118</v>
      </c>
      <c r="G268">
        <v>20</v>
      </c>
      <c r="H268" t="s">
        <v>31</v>
      </c>
      <c r="I268" t="s">
        <v>31</v>
      </c>
      <c r="J268" t="s">
        <v>25</v>
      </c>
      <c r="K268" s="2">
        <v>108424</v>
      </c>
      <c r="L268" s="2">
        <v>115147</v>
      </c>
      <c r="M268" t="s">
        <v>32</v>
      </c>
      <c r="N268">
        <v>54</v>
      </c>
      <c r="O268" t="s">
        <v>23</v>
      </c>
      <c r="P268">
        <v>9</v>
      </c>
      <c r="Q268" s="1">
        <v>31.47</v>
      </c>
      <c r="R268" s="2">
        <f t="shared" si="16"/>
        <v>6723</v>
      </c>
      <c r="S268" s="1">
        <f t="shared" si="17"/>
        <v>6.2006566811775992</v>
      </c>
      <c r="T268" t="str">
        <f t="shared" si="18"/>
        <v>Expert</v>
      </c>
      <c r="U268" t="str">
        <f t="shared" si="19"/>
        <v>Low Impact</v>
      </c>
    </row>
    <row r="269" spans="1:21" x14ac:dyDescent="0.3">
      <c r="A269" t="s">
        <v>1061</v>
      </c>
      <c r="B269">
        <v>41</v>
      </c>
      <c r="C269" t="s">
        <v>27</v>
      </c>
      <c r="D269" t="s">
        <v>34</v>
      </c>
      <c r="E269" t="s">
        <v>29</v>
      </c>
      <c r="F269" t="s">
        <v>30</v>
      </c>
      <c r="G269">
        <v>18</v>
      </c>
      <c r="H269" t="s">
        <v>37</v>
      </c>
      <c r="I269" t="s">
        <v>22</v>
      </c>
      <c r="J269" t="s">
        <v>25</v>
      </c>
      <c r="K269" s="2">
        <v>47138</v>
      </c>
      <c r="L269" s="2">
        <v>45586</v>
      </c>
      <c r="M269" t="s">
        <v>32</v>
      </c>
      <c r="N269">
        <v>52</v>
      </c>
      <c r="O269" t="s">
        <v>25</v>
      </c>
      <c r="P269">
        <v>6</v>
      </c>
      <c r="Q269" s="1">
        <v>31.43</v>
      </c>
      <c r="R269" s="2">
        <f t="shared" si="16"/>
        <v>-1552</v>
      </c>
      <c r="S269" s="1">
        <f t="shared" si="17"/>
        <v>-3.2924604353175781</v>
      </c>
      <c r="T269" t="str">
        <f t="shared" si="18"/>
        <v>Expert</v>
      </c>
      <c r="U269" t="str">
        <f t="shared" si="19"/>
        <v>Low Impact</v>
      </c>
    </row>
    <row r="270" spans="1:21" x14ac:dyDescent="0.3">
      <c r="A270" t="s">
        <v>1251</v>
      </c>
      <c r="B270">
        <v>25</v>
      </c>
      <c r="C270" t="s">
        <v>54</v>
      </c>
      <c r="D270" t="s">
        <v>34</v>
      </c>
      <c r="E270" t="s">
        <v>41</v>
      </c>
      <c r="F270" t="s">
        <v>55</v>
      </c>
      <c r="G270">
        <v>0</v>
      </c>
      <c r="H270" t="s">
        <v>22</v>
      </c>
      <c r="I270" t="s">
        <v>22</v>
      </c>
      <c r="J270" t="s">
        <v>25</v>
      </c>
      <c r="K270" s="2">
        <v>81644</v>
      </c>
      <c r="L270" s="2">
        <v>84971</v>
      </c>
      <c r="M270" t="s">
        <v>38</v>
      </c>
      <c r="N270">
        <v>49</v>
      </c>
      <c r="O270" t="s">
        <v>23</v>
      </c>
      <c r="P270">
        <v>9</v>
      </c>
      <c r="Q270" s="1">
        <v>31.3</v>
      </c>
      <c r="R270" s="2">
        <f t="shared" si="16"/>
        <v>3327</v>
      </c>
      <c r="S270" s="1">
        <f t="shared" si="17"/>
        <v>4.0750085738082404</v>
      </c>
      <c r="T270" t="str">
        <f t="shared" si="18"/>
        <v>Beginner</v>
      </c>
      <c r="U270" t="str">
        <f t="shared" si="19"/>
        <v>Medium Impact</v>
      </c>
    </row>
    <row r="271" spans="1:21" x14ac:dyDescent="0.3">
      <c r="A271" t="s">
        <v>1191</v>
      </c>
      <c r="B271">
        <v>25</v>
      </c>
      <c r="C271" t="s">
        <v>54</v>
      </c>
      <c r="D271" t="s">
        <v>19</v>
      </c>
      <c r="E271" t="s">
        <v>35</v>
      </c>
      <c r="F271" t="s">
        <v>98</v>
      </c>
      <c r="G271">
        <v>0</v>
      </c>
      <c r="H271" t="s">
        <v>22</v>
      </c>
      <c r="I271" t="s">
        <v>37</v>
      </c>
      <c r="J271" t="s">
        <v>23</v>
      </c>
      <c r="K271" s="2">
        <v>98827</v>
      </c>
      <c r="L271" s="2">
        <v>133325</v>
      </c>
      <c r="M271" t="s">
        <v>38</v>
      </c>
      <c r="N271">
        <v>44</v>
      </c>
      <c r="O271" t="s">
        <v>23</v>
      </c>
      <c r="P271">
        <v>7</v>
      </c>
      <c r="Q271" s="1">
        <v>31.27</v>
      </c>
      <c r="R271" s="2">
        <f t="shared" si="16"/>
        <v>34498</v>
      </c>
      <c r="S271" s="1">
        <f t="shared" si="17"/>
        <v>34.907464559280363</v>
      </c>
      <c r="T271" t="str">
        <f t="shared" si="18"/>
        <v>Beginner</v>
      </c>
      <c r="U271" t="str">
        <f t="shared" si="19"/>
        <v>Medium Impact</v>
      </c>
    </row>
    <row r="272" spans="1:21" x14ac:dyDescent="0.3">
      <c r="A272" t="s">
        <v>1418</v>
      </c>
      <c r="B272">
        <v>33</v>
      </c>
      <c r="C272" t="s">
        <v>18</v>
      </c>
      <c r="D272" t="s">
        <v>34</v>
      </c>
      <c r="E272" t="s">
        <v>20</v>
      </c>
      <c r="F272" t="s">
        <v>88</v>
      </c>
      <c r="G272">
        <v>7</v>
      </c>
      <c r="H272" t="s">
        <v>37</v>
      </c>
      <c r="I272" t="s">
        <v>22</v>
      </c>
      <c r="J272" t="s">
        <v>25</v>
      </c>
      <c r="K272" s="2">
        <v>117710</v>
      </c>
      <c r="L272" s="2">
        <v>131345</v>
      </c>
      <c r="M272" t="s">
        <v>32</v>
      </c>
      <c r="N272">
        <v>46</v>
      </c>
      <c r="O272" t="s">
        <v>23</v>
      </c>
      <c r="P272">
        <v>5</v>
      </c>
      <c r="Q272" s="1">
        <v>31.27</v>
      </c>
      <c r="R272" s="2">
        <f t="shared" si="16"/>
        <v>13635</v>
      </c>
      <c r="S272" s="1">
        <f t="shared" si="17"/>
        <v>11.5835527992524</v>
      </c>
      <c r="T272" t="str">
        <f t="shared" si="18"/>
        <v>Intermediate</v>
      </c>
      <c r="U272" t="str">
        <f t="shared" si="19"/>
        <v>Low Impact</v>
      </c>
    </row>
    <row r="273" spans="1:21" x14ac:dyDescent="0.3">
      <c r="A273" t="s">
        <v>274</v>
      </c>
      <c r="B273">
        <v>50</v>
      </c>
      <c r="C273" t="s">
        <v>18</v>
      </c>
      <c r="D273" t="s">
        <v>34</v>
      </c>
      <c r="E273" t="s">
        <v>51</v>
      </c>
      <c r="F273" t="s">
        <v>52</v>
      </c>
      <c r="G273">
        <v>25</v>
      </c>
      <c r="H273" t="s">
        <v>31</v>
      </c>
      <c r="I273" t="s">
        <v>37</v>
      </c>
      <c r="J273" t="s">
        <v>25</v>
      </c>
      <c r="K273" s="2">
        <v>44288</v>
      </c>
      <c r="L273" s="2">
        <v>42752</v>
      </c>
      <c r="M273" t="s">
        <v>38</v>
      </c>
      <c r="N273">
        <v>49</v>
      </c>
      <c r="O273" t="s">
        <v>25</v>
      </c>
      <c r="P273">
        <v>9</v>
      </c>
      <c r="Q273" s="1">
        <v>31.25</v>
      </c>
      <c r="R273" s="2">
        <f t="shared" si="16"/>
        <v>-1536</v>
      </c>
      <c r="S273" s="1">
        <f t="shared" si="17"/>
        <v>-3.4682080924855487</v>
      </c>
      <c r="T273" t="str">
        <f t="shared" si="18"/>
        <v>Expert</v>
      </c>
      <c r="U273" t="str">
        <f t="shared" si="19"/>
        <v>Medium Impact</v>
      </c>
    </row>
    <row r="274" spans="1:21" x14ac:dyDescent="0.3">
      <c r="A274" t="s">
        <v>460</v>
      </c>
      <c r="B274">
        <v>41</v>
      </c>
      <c r="C274" t="s">
        <v>27</v>
      </c>
      <c r="D274" t="s">
        <v>40</v>
      </c>
      <c r="E274" t="s">
        <v>51</v>
      </c>
      <c r="F274" t="s">
        <v>52</v>
      </c>
      <c r="G274">
        <v>19</v>
      </c>
      <c r="H274" t="s">
        <v>22</v>
      </c>
      <c r="I274" t="s">
        <v>31</v>
      </c>
      <c r="J274" t="s">
        <v>23</v>
      </c>
      <c r="K274" s="2">
        <v>36796</v>
      </c>
      <c r="L274" s="2">
        <v>41292</v>
      </c>
      <c r="M274" t="s">
        <v>32</v>
      </c>
      <c r="N274">
        <v>51</v>
      </c>
      <c r="O274" t="s">
        <v>23</v>
      </c>
      <c r="P274">
        <v>8</v>
      </c>
      <c r="Q274" s="1">
        <v>31.25</v>
      </c>
      <c r="R274" s="2">
        <f t="shared" si="16"/>
        <v>4496</v>
      </c>
      <c r="S274" s="1">
        <f t="shared" si="17"/>
        <v>12.218719426024569</v>
      </c>
      <c r="T274" t="str">
        <f t="shared" si="18"/>
        <v>Expert</v>
      </c>
      <c r="U274" t="str">
        <f t="shared" si="19"/>
        <v>Low Impact</v>
      </c>
    </row>
    <row r="275" spans="1:21" x14ac:dyDescent="0.3">
      <c r="A275" t="s">
        <v>1595</v>
      </c>
      <c r="B275">
        <v>51</v>
      </c>
      <c r="C275" t="s">
        <v>54</v>
      </c>
      <c r="D275" t="s">
        <v>19</v>
      </c>
      <c r="E275" t="s">
        <v>29</v>
      </c>
      <c r="F275" t="s">
        <v>30</v>
      </c>
      <c r="G275">
        <v>25</v>
      </c>
      <c r="H275" t="s">
        <v>37</v>
      </c>
      <c r="I275" t="s">
        <v>31</v>
      </c>
      <c r="J275" t="s">
        <v>25</v>
      </c>
      <c r="K275" s="2">
        <v>61912</v>
      </c>
      <c r="L275" s="2">
        <v>66372</v>
      </c>
      <c r="M275" t="s">
        <v>32</v>
      </c>
      <c r="N275">
        <v>36</v>
      </c>
      <c r="O275" t="s">
        <v>23</v>
      </c>
      <c r="P275">
        <v>6</v>
      </c>
      <c r="Q275" s="1">
        <v>31.22</v>
      </c>
      <c r="R275" s="2">
        <f t="shared" si="16"/>
        <v>4460</v>
      </c>
      <c r="S275" s="1">
        <f t="shared" si="17"/>
        <v>7.2037730972993934</v>
      </c>
      <c r="T275" t="str">
        <f t="shared" si="18"/>
        <v>Expert</v>
      </c>
      <c r="U275" t="str">
        <f t="shared" si="19"/>
        <v>Low Impact</v>
      </c>
    </row>
    <row r="276" spans="1:21" x14ac:dyDescent="0.3">
      <c r="A276" t="s">
        <v>992</v>
      </c>
      <c r="B276">
        <v>57</v>
      </c>
      <c r="C276" t="s">
        <v>18</v>
      </c>
      <c r="D276" t="s">
        <v>34</v>
      </c>
      <c r="E276" t="s">
        <v>51</v>
      </c>
      <c r="F276" t="s">
        <v>75</v>
      </c>
      <c r="G276">
        <v>31</v>
      </c>
      <c r="H276" t="s">
        <v>22</v>
      </c>
      <c r="I276" t="s">
        <v>22</v>
      </c>
      <c r="J276" t="s">
        <v>25</v>
      </c>
      <c r="K276" s="2">
        <v>82611</v>
      </c>
      <c r="L276" s="2">
        <v>114537</v>
      </c>
      <c r="M276" t="s">
        <v>24</v>
      </c>
      <c r="N276">
        <v>46</v>
      </c>
      <c r="O276" t="s">
        <v>23</v>
      </c>
      <c r="P276">
        <v>6</v>
      </c>
      <c r="Q276" s="1">
        <v>31.2</v>
      </c>
      <c r="R276" s="2">
        <f t="shared" si="16"/>
        <v>31926</v>
      </c>
      <c r="S276" s="1">
        <f t="shared" si="17"/>
        <v>38.646185132730508</v>
      </c>
      <c r="T276" t="str">
        <f t="shared" si="18"/>
        <v>Expert</v>
      </c>
      <c r="U276" t="str">
        <f t="shared" si="19"/>
        <v>High Impact</v>
      </c>
    </row>
    <row r="277" spans="1:21" x14ac:dyDescent="0.3">
      <c r="A277" t="s">
        <v>902</v>
      </c>
      <c r="B277">
        <v>48</v>
      </c>
      <c r="C277" t="s">
        <v>27</v>
      </c>
      <c r="D277" t="s">
        <v>28</v>
      </c>
      <c r="E277" t="s">
        <v>59</v>
      </c>
      <c r="F277" t="s">
        <v>60</v>
      </c>
      <c r="G277">
        <v>25</v>
      </c>
      <c r="H277" t="s">
        <v>37</v>
      </c>
      <c r="I277" t="s">
        <v>22</v>
      </c>
      <c r="J277" t="s">
        <v>25</v>
      </c>
      <c r="K277" s="2">
        <v>69886</v>
      </c>
      <c r="L277" s="2">
        <v>77565</v>
      </c>
      <c r="M277" t="s">
        <v>32</v>
      </c>
      <c r="N277">
        <v>39</v>
      </c>
      <c r="O277" t="s">
        <v>23</v>
      </c>
      <c r="P277">
        <v>7</v>
      </c>
      <c r="Q277" s="1">
        <v>31.18</v>
      </c>
      <c r="R277" s="2">
        <f t="shared" si="16"/>
        <v>7679</v>
      </c>
      <c r="S277" s="1">
        <f t="shared" si="17"/>
        <v>10.987894571158744</v>
      </c>
      <c r="T277" t="str">
        <f t="shared" si="18"/>
        <v>Expert</v>
      </c>
      <c r="U277" t="str">
        <f t="shared" si="19"/>
        <v>Low Impact</v>
      </c>
    </row>
    <row r="278" spans="1:21" x14ac:dyDescent="0.3">
      <c r="A278" t="s">
        <v>1923</v>
      </c>
      <c r="B278">
        <v>54</v>
      </c>
      <c r="C278" t="s">
        <v>18</v>
      </c>
      <c r="D278" t="s">
        <v>34</v>
      </c>
      <c r="E278" t="s">
        <v>44</v>
      </c>
      <c r="F278" t="s">
        <v>47</v>
      </c>
      <c r="G278">
        <v>29</v>
      </c>
      <c r="H278" t="s">
        <v>22</v>
      </c>
      <c r="I278" t="s">
        <v>37</v>
      </c>
      <c r="J278" t="s">
        <v>25</v>
      </c>
      <c r="K278" s="2">
        <v>49014</v>
      </c>
      <c r="L278" s="2">
        <v>49920</v>
      </c>
      <c r="M278" t="s">
        <v>38</v>
      </c>
      <c r="N278">
        <v>45</v>
      </c>
      <c r="O278" t="s">
        <v>25</v>
      </c>
      <c r="P278">
        <v>4</v>
      </c>
      <c r="Q278" s="1">
        <v>31.14</v>
      </c>
      <c r="R278" s="2">
        <f t="shared" si="16"/>
        <v>906</v>
      </c>
      <c r="S278" s="1">
        <f t="shared" si="17"/>
        <v>1.8484514628473496</v>
      </c>
      <c r="T278" t="str">
        <f t="shared" si="18"/>
        <v>Expert</v>
      </c>
      <c r="U278" t="str">
        <f t="shared" si="19"/>
        <v>Medium Impact</v>
      </c>
    </row>
    <row r="279" spans="1:21" x14ac:dyDescent="0.3">
      <c r="A279" t="s">
        <v>257</v>
      </c>
      <c r="B279">
        <v>49</v>
      </c>
      <c r="C279" t="s">
        <v>54</v>
      </c>
      <c r="D279" t="s">
        <v>34</v>
      </c>
      <c r="E279" t="s">
        <v>59</v>
      </c>
      <c r="F279" t="s">
        <v>60</v>
      </c>
      <c r="G279">
        <v>23</v>
      </c>
      <c r="H279" t="s">
        <v>37</v>
      </c>
      <c r="I279" t="s">
        <v>37</v>
      </c>
      <c r="J279" t="s">
        <v>25</v>
      </c>
      <c r="K279" s="2">
        <v>95160</v>
      </c>
      <c r="L279" s="2">
        <v>86910</v>
      </c>
      <c r="M279" t="s">
        <v>38</v>
      </c>
      <c r="N279">
        <v>44</v>
      </c>
      <c r="O279" t="s">
        <v>23</v>
      </c>
      <c r="P279">
        <v>3</v>
      </c>
      <c r="Q279" s="1">
        <v>31.13</v>
      </c>
      <c r="R279" s="2">
        <f t="shared" si="16"/>
        <v>-8250</v>
      </c>
      <c r="S279" s="1">
        <f t="shared" si="17"/>
        <v>-8.669609079445145</v>
      </c>
      <c r="T279" t="str">
        <f t="shared" si="18"/>
        <v>Expert</v>
      </c>
      <c r="U279" t="str">
        <f t="shared" si="19"/>
        <v>Medium Impact</v>
      </c>
    </row>
    <row r="280" spans="1:21" x14ac:dyDescent="0.3">
      <c r="A280" t="s">
        <v>951</v>
      </c>
      <c r="B280">
        <v>47</v>
      </c>
      <c r="C280" t="s">
        <v>18</v>
      </c>
      <c r="D280" t="s">
        <v>19</v>
      </c>
      <c r="E280" t="s">
        <v>41</v>
      </c>
      <c r="F280" t="s">
        <v>42</v>
      </c>
      <c r="G280">
        <v>21</v>
      </c>
      <c r="H280" t="s">
        <v>37</v>
      </c>
      <c r="I280" t="s">
        <v>31</v>
      </c>
      <c r="J280" t="s">
        <v>25</v>
      </c>
      <c r="K280" s="2">
        <v>55938</v>
      </c>
      <c r="L280" s="2">
        <v>56104</v>
      </c>
      <c r="M280" t="s">
        <v>32</v>
      </c>
      <c r="N280">
        <v>46</v>
      </c>
      <c r="O280" t="s">
        <v>25</v>
      </c>
      <c r="P280">
        <v>4</v>
      </c>
      <c r="Q280" s="1">
        <v>31.12</v>
      </c>
      <c r="R280" s="2">
        <f t="shared" si="16"/>
        <v>166</v>
      </c>
      <c r="S280" s="1">
        <f t="shared" si="17"/>
        <v>0.29675712395866849</v>
      </c>
      <c r="T280" t="str">
        <f t="shared" si="18"/>
        <v>Expert</v>
      </c>
      <c r="U280" t="str">
        <f t="shared" si="19"/>
        <v>Low Impact</v>
      </c>
    </row>
    <row r="281" spans="1:21" x14ac:dyDescent="0.3">
      <c r="A281" t="s">
        <v>930</v>
      </c>
      <c r="B281">
        <v>53</v>
      </c>
      <c r="C281" t="s">
        <v>18</v>
      </c>
      <c r="D281" t="s">
        <v>34</v>
      </c>
      <c r="E281" t="s">
        <v>41</v>
      </c>
      <c r="F281" t="s">
        <v>49</v>
      </c>
      <c r="G281">
        <v>29</v>
      </c>
      <c r="H281" t="s">
        <v>37</v>
      </c>
      <c r="I281" t="s">
        <v>37</v>
      </c>
      <c r="J281" t="s">
        <v>23</v>
      </c>
      <c r="K281" s="2">
        <v>64565</v>
      </c>
      <c r="L281" s="2">
        <v>62117</v>
      </c>
      <c r="M281" t="s">
        <v>38</v>
      </c>
      <c r="N281">
        <v>39</v>
      </c>
      <c r="O281" t="s">
        <v>23</v>
      </c>
      <c r="P281">
        <v>9</v>
      </c>
      <c r="Q281" s="1">
        <v>31.08</v>
      </c>
      <c r="R281" s="2">
        <f t="shared" si="16"/>
        <v>-2448</v>
      </c>
      <c r="S281" s="1">
        <f t="shared" si="17"/>
        <v>-3.7915279176024166</v>
      </c>
      <c r="T281" t="str">
        <f t="shared" si="18"/>
        <v>Expert</v>
      </c>
      <c r="U281" t="str">
        <f t="shared" si="19"/>
        <v>Medium Impact</v>
      </c>
    </row>
    <row r="282" spans="1:21" x14ac:dyDescent="0.3">
      <c r="A282" t="s">
        <v>1264</v>
      </c>
      <c r="B282">
        <v>51</v>
      </c>
      <c r="C282" t="s">
        <v>27</v>
      </c>
      <c r="D282" t="s">
        <v>40</v>
      </c>
      <c r="E282" t="s">
        <v>59</v>
      </c>
      <c r="F282" t="s">
        <v>93</v>
      </c>
      <c r="G282">
        <v>26</v>
      </c>
      <c r="H282" t="s">
        <v>22</v>
      </c>
      <c r="I282" t="s">
        <v>22</v>
      </c>
      <c r="J282" t="s">
        <v>25</v>
      </c>
      <c r="K282" s="2">
        <v>39967</v>
      </c>
      <c r="L282" s="2">
        <v>36102</v>
      </c>
      <c r="M282" t="s">
        <v>24</v>
      </c>
      <c r="N282">
        <v>38</v>
      </c>
      <c r="O282" t="s">
        <v>23</v>
      </c>
      <c r="P282">
        <v>5</v>
      </c>
      <c r="Q282" s="1">
        <v>31.03</v>
      </c>
      <c r="R282" s="2">
        <f t="shared" si="16"/>
        <v>-3865</v>
      </c>
      <c r="S282" s="1">
        <f t="shared" si="17"/>
        <v>-9.6704781444691879</v>
      </c>
      <c r="T282" t="str">
        <f t="shared" si="18"/>
        <v>Expert</v>
      </c>
      <c r="U282" t="str">
        <f t="shared" si="19"/>
        <v>High Impact</v>
      </c>
    </row>
    <row r="283" spans="1:21" x14ac:dyDescent="0.3">
      <c r="A283" t="s">
        <v>152</v>
      </c>
      <c r="B283">
        <v>44</v>
      </c>
      <c r="C283" t="s">
        <v>54</v>
      </c>
      <c r="D283" t="s">
        <v>28</v>
      </c>
      <c r="E283" t="s">
        <v>41</v>
      </c>
      <c r="F283" t="s">
        <v>42</v>
      </c>
      <c r="G283">
        <v>18</v>
      </c>
      <c r="H283" t="s">
        <v>22</v>
      </c>
      <c r="I283" t="s">
        <v>22</v>
      </c>
      <c r="J283" t="s">
        <v>23</v>
      </c>
      <c r="K283" s="2">
        <v>99172</v>
      </c>
      <c r="L283" s="2">
        <v>135554</v>
      </c>
      <c r="M283" t="s">
        <v>38</v>
      </c>
      <c r="N283">
        <v>51</v>
      </c>
      <c r="O283" t="s">
        <v>23</v>
      </c>
      <c r="P283">
        <v>7</v>
      </c>
      <c r="Q283" s="1">
        <v>30.98</v>
      </c>
      <c r="R283" s="2">
        <f t="shared" si="16"/>
        <v>36382</v>
      </c>
      <c r="S283" s="1">
        <f t="shared" si="17"/>
        <v>36.685758076876539</v>
      </c>
      <c r="T283" t="str">
        <f t="shared" si="18"/>
        <v>Expert</v>
      </c>
      <c r="U283" t="str">
        <f t="shared" si="19"/>
        <v>Medium Impact</v>
      </c>
    </row>
    <row r="284" spans="1:21" x14ac:dyDescent="0.3">
      <c r="A284" t="s">
        <v>911</v>
      </c>
      <c r="B284">
        <v>45</v>
      </c>
      <c r="C284" t="s">
        <v>27</v>
      </c>
      <c r="D284" t="s">
        <v>40</v>
      </c>
      <c r="E284" t="s">
        <v>20</v>
      </c>
      <c r="F284" t="s">
        <v>118</v>
      </c>
      <c r="G284">
        <v>23</v>
      </c>
      <c r="H284" t="s">
        <v>37</v>
      </c>
      <c r="I284" t="s">
        <v>37</v>
      </c>
      <c r="J284" t="s">
        <v>23</v>
      </c>
      <c r="K284" s="2">
        <v>61376</v>
      </c>
      <c r="L284" s="2">
        <v>59502</v>
      </c>
      <c r="M284" t="s">
        <v>38</v>
      </c>
      <c r="N284">
        <v>43</v>
      </c>
      <c r="O284" t="s">
        <v>25</v>
      </c>
      <c r="P284">
        <v>6</v>
      </c>
      <c r="Q284" s="1">
        <v>30.94</v>
      </c>
      <c r="R284" s="2">
        <f t="shared" si="16"/>
        <v>-1874</v>
      </c>
      <c r="S284" s="1">
        <f t="shared" si="17"/>
        <v>-3.0533107403545361</v>
      </c>
      <c r="T284" t="str">
        <f t="shared" si="18"/>
        <v>Expert</v>
      </c>
      <c r="U284" t="str">
        <f t="shared" si="19"/>
        <v>Medium Impact</v>
      </c>
    </row>
    <row r="285" spans="1:21" x14ac:dyDescent="0.3">
      <c r="A285" t="s">
        <v>634</v>
      </c>
      <c r="B285">
        <v>53</v>
      </c>
      <c r="C285" t="s">
        <v>18</v>
      </c>
      <c r="D285" t="s">
        <v>34</v>
      </c>
      <c r="E285" t="s">
        <v>51</v>
      </c>
      <c r="F285" t="s">
        <v>52</v>
      </c>
      <c r="G285">
        <v>28</v>
      </c>
      <c r="H285" t="s">
        <v>22</v>
      </c>
      <c r="I285" t="s">
        <v>37</v>
      </c>
      <c r="J285" t="s">
        <v>25</v>
      </c>
      <c r="K285" s="2">
        <v>85480</v>
      </c>
      <c r="L285" s="2">
        <v>106495</v>
      </c>
      <c r="M285" t="s">
        <v>38</v>
      </c>
      <c r="N285">
        <v>54</v>
      </c>
      <c r="O285" t="s">
        <v>25</v>
      </c>
      <c r="P285">
        <v>3</v>
      </c>
      <c r="Q285" s="1">
        <v>30.88</v>
      </c>
      <c r="R285" s="2">
        <f t="shared" si="16"/>
        <v>21015</v>
      </c>
      <c r="S285" s="1">
        <f t="shared" si="17"/>
        <v>24.584698175011699</v>
      </c>
      <c r="T285" t="str">
        <f t="shared" si="18"/>
        <v>Expert</v>
      </c>
      <c r="U285" t="str">
        <f t="shared" si="19"/>
        <v>Medium Impact</v>
      </c>
    </row>
    <row r="286" spans="1:21" x14ac:dyDescent="0.3">
      <c r="A286" t="s">
        <v>2040</v>
      </c>
      <c r="B286">
        <v>29</v>
      </c>
      <c r="C286" t="s">
        <v>54</v>
      </c>
      <c r="D286" t="s">
        <v>28</v>
      </c>
      <c r="E286" t="s">
        <v>59</v>
      </c>
      <c r="F286" t="s">
        <v>77</v>
      </c>
      <c r="G286">
        <v>6</v>
      </c>
      <c r="H286" t="s">
        <v>31</v>
      </c>
      <c r="I286" t="s">
        <v>22</v>
      </c>
      <c r="J286" t="s">
        <v>25</v>
      </c>
      <c r="K286" s="2">
        <v>108533</v>
      </c>
      <c r="L286" s="2">
        <v>103974</v>
      </c>
      <c r="M286" t="s">
        <v>32</v>
      </c>
      <c r="N286">
        <v>39</v>
      </c>
      <c r="O286" t="s">
        <v>23</v>
      </c>
      <c r="P286">
        <v>9</v>
      </c>
      <c r="Q286" s="1">
        <v>30.85</v>
      </c>
      <c r="R286" s="2">
        <f t="shared" si="16"/>
        <v>-4559</v>
      </c>
      <c r="S286" s="1">
        <f t="shared" si="17"/>
        <v>-4.2005657265532141</v>
      </c>
      <c r="T286" t="str">
        <f t="shared" si="18"/>
        <v>Intermediate</v>
      </c>
      <c r="U286" t="str">
        <f t="shared" si="19"/>
        <v>Low Impact</v>
      </c>
    </row>
    <row r="287" spans="1:21" x14ac:dyDescent="0.3">
      <c r="A287" t="s">
        <v>1743</v>
      </c>
      <c r="B287">
        <v>45</v>
      </c>
      <c r="C287" t="s">
        <v>18</v>
      </c>
      <c r="D287" t="s">
        <v>40</v>
      </c>
      <c r="E287" t="s">
        <v>29</v>
      </c>
      <c r="F287" t="s">
        <v>104</v>
      </c>
      <c r="G287">
        <v>23</v>
      </c>
      <c r="H287" t="s">
        <v>31</v>
      </c>
      <c r="I287" t="s">
        <v>31</v>
      </c>
      <c r="J287" t="s">
        <v>23</v>
      </c>
      <c r="K287" s="2">
        <v>31218</v>
      </c>
      <c r="L287" s="2">
        <v>31499</v>
      </c>
      <c r="M287" t="s">
        <v>32</v>
      </c>
      <c r="N287">
        <v>37</v>
      </c>
      <c r="O287" t="s">
        <v>25</v>
      </c>
      <c r="P287">
        <v>5</v>
      </c>
      <c r="Q287" s="1">
        <v>30.79</v>
      </c>
      <c r="R287" s="2">
        <f t="shared" si="16"/>
        <v>281</v>
      </c>
      <c r="S287" s="1">
        <f t="shared" si="17"/>
        <v>0.90012172464603757</v>
      </c>
      <c r="T287" t="str">
        <f t="shared" si="18"/>
        <v>Expert</v>
      </c>
      <c r="U287" t="str">
        <f t="shared" si="19"/>
        <v>Low Impact</v>
      </c>
    </row>
    <row r="288" spans="1:21" x14ac:dyDescent="0.3">
      <c r="A288" t="s">
        <v>1369</v>
      </c>
      <c r="B288">
        <v>24</v>
      </c>
      <c r="C288" t="s">
        <v>54</v>
      </c>
      <c r="D288" t="s">
        <v>19</v>
      </c>
      <c r="E288" t="s">
        <v>41</v>
      </c>
      <c r="F288" t="s">
        <v>55</v>
      </c>
      <c r="G288">
        <v>1</v>
      </c>
      <c r="H288" t="s">
        <v>37</v>
      </c>
      <c r="I288" t="s">
        <v>31</v>
      </c>
      <c r="J288" t="s">
        <v>25</v>
      </c>
      <c r="K288" s="2">
        <v>106256</v>
      </c>
      <c r="L288" s="2">
        <v>104365</v>
      </c>
      <c r="M288" t="s">
        <v>32</v>
      </c>
      <c r="N288">
        <v>36</v>
      </c>
      <c r="O288" t="s">
        <v>23</v>
      </c>
      <c r="P288">
        <v>9</v>
      </c>
      <c r="Q288" s="1">
        <v>30.76</v>
      </c>
      <c r="R288" s="2">
        <f t="shared" si="16"/>
        <v>-1891</v>
      </c>
      <c r="S288" s="1">
        <f t="shared" si="17"/>
        <v>-1.7796642071977113</v>
      </c>
      <c r="T288" t="str">
        <f t="shared" si="18"/>
        <v>Beginner</v>
      </c>
      <c r="U288" t="str">
        <f t="shared" si="19"/>
        <v>Low Impact</v>
      </c>
    </row>
    <row r="289" spans="1:21" x14ac:dyDescent="0.3">
      <c r="A289" t="s">
        <v>1093</v>
      </c>
      <c r="B289">
        <v>57</v>
      </c>
      <c r="C289" t="s">
        <v>18</v>
      </c>
      <c r="D289" t="s">
        <v>34</v>
      </c>
      <c r="E289" t="s">
        <v>20</v>
      </c>
      <c r="F289" t="s">
        <v>88</v>
      </c>
      <c r="G289">
        <v>33</v>
      </c>
      <c r="H289" t="s">
        <v>31</v>
      </c>
      <c r="I289" t="s">
        <v>37</v>
      </c>
      <c r="J289" t="s">
        <v>25</v>
      </c>
      <c r="K289" s="2">
        <v>39718</v>
      </c>
      <c r="L289" s="2">
        <v>42501</v>
      </c>
      <c r="M289" t="s">
        <v>38</v>
      </c>
      <c r="N289">
        <v>50</v>
      </c>
      <c r="O289" t="s">
        <v>23</v>
      </c>
      <c r="P289">
        <v>8</v>
      </c>
      <c r="Q289" s="1">
        <v>30.74</v>
      </c>
      <c r="R289" s="2">
        <f t="shared" si="16"/>
        <v>2783</v>
      </c>
      <c r="S289" s="1">
        <f t="shared" si="17"/>
        <v>7.0068986353794243</v>
      </c>
      <c r="T289" t="str">
        <f t="shared" si="18"/>
        <v>Expert</v>
      </c>
      <c r="U289" t="str">
        <f t="shared" si="19"/>
        <v>Medium Impact</v>
      </c>
    </row>
    <row r="290" spans="1:21" x14ac:dyDescent="0.3">
      <c r="A290" t="s">
        <v>56</v>
      </c>
      <c r="B290">
        <v>52</v>
      </c>
      <c r="C290" t="s">
        <v>27</v>
      </c>
      <c r="D290" t="s">
        <v>28</v>
      </c>
      <c r="E290" t="s">
        <v>44</v>
      </c>
      <c r="F290" t="s">
        <v>57</v>
      </c>
      <c r="G290">
        <v>27</v>
      </c>
      <c r="H290" t="s">
        <v>22</v>
      </c>
      <c r="I290" t="s">
        <v>31</v>
      </c>
      <c r="J290" t="s">
        <v>23</v>
      </c>
      <c r="K290" s="2">
        <v>31016</v>
      </c>
      <c r="L290" s="2">
        <v>42699</v>
      </c>
      <c r="M290" t="s">
        <v>32</v>
      </c>
      <c r="N290">
        <v>47</v>
      </c>
      <c r="O290" t="s">
        <v>23</v>
      </c>
      <c r="P290">
        <v>4</v>
      </c>
      <c r="Q290" s="1">
        <v>30.67</v>
      </c>
      <c r="R290" s="2">
        <f t="shared" si="16"/>
        <v>11683</v>
      </c>
      <c r="S290" s="1">
        <f t="shared" si="17"/>
        <v>37.667655403662629</v>
      </c>
      <c r="T290" t="str">
        <f t="shared" si="18"/>
        <v>Expert</v>
      </c>
      <c r="U290" t="str">
        <f t="shared" si="19"/>
        <v>Low Impact</v>
      </c>
    </row>
    <row r="291" spans="1:21" x14ac:dyDescent="0.3">
      <c r="A291" t="s">
        <v>169</v>
      </c>
      <c r="B291">
        <v>35</v>
      </c>
      <c r="C291" t="s">
        <v>27</v>
      </c>
      <c r="D291" t="s">
        <v>19</v>
      </c>
      <c r="E291" t="s">
        <v>29</v>
      </c>
      <c r="F291" t="s">
        <v>104</v>
      </c>
      <c r="G291">
        <v>11</v>
      </c>
      <c r="H291" t="s">
        <v>37</v>
      </c>
      <c r="I291" t="s">
        <v>37</v>
      </c>
      <c r="J291" t="s">
        <v>25</v>
      </c>
      <c r="K291" s="2">
        <v>35126</v>
      </c>
      <c r="L291" s="2">
        <v>38854</v>
      </c>
      <c r="M291" t="s">
        <v>38</v>
      </c>
      <c r="N291">
        <v>45</v>
      </c>
      <c r="O291" t="s">
        <v>23</v>
      </c>
      <c r="P291">
        <v>9</v>
      </c>
      <c r="Q291" s="1">
        <v>30.67</v>
      </c>
      <c r="R291" s="2">
        <f t="shared" si="16"/>
        <v>3728</v>
      </c>
      <c r="S291" s="1">
        <f t="shared" si="17"/>
        <v>10.613220975915276</v>
      </c>
      <c r="T291" t="str">
        <f t="shared" si="18"/>
        <v>Intermediate</v>
      </c>
      <c r="U291" t="str">
        <f t="shared" si="19"/>
        <v>Medium Impact</v>
      </c>
    </row>
    <row r="292" spans="1:21" x14ac:dyDescent="0.3">
      <c r="A292" t="s">
        <v>739</v>
      </c>
      <c r="B292">
        <v>25</v>
      </c>
      <c r="C292" t="s">
        <v>18</v>
      </c>
      <c r="D292" t="s">
        <v>40</v>
      </c>
      <c r="E292" t="s">
        <v>20</v>
      </c>
      <c r="F292" t="s">
        <v>118</v>
      </c>
      <c r="G292">
        <v>0</v>
      </c>
      <c r="H292" t="s">
        <v>22</v>
      </c>
      <c r="I292" t="s">
        <v>22</v>
      </c>
      <c r="J292" t="s">
        <v>25</v>
      </c>
      <c r="K292" s="2">
        <v>113973</v>
      </c>
      <c r="L292" s="2">
        <v>108354</v>
      </c>
      <c r="M292" t="s">
        <v>38</v>
      </c>
      <c r="N292">
        <v>42</v>
      </c>
      <c r="O292" t="s">
        <v>25</v>
      </c>
      <c r="P292">
        <v>4</v>
      </c>
      <c r="Q292" s="1">
        <v>30.65</v>
      </c>
      <c r="R292" s="2">
        <f t="shared" si="16"/>
        <v>-5619</v>
      </c>
      <c r="S292" s="1">
        <f t="shared" si="17"/>
        <v>-4.9301150272432945</v>
      </c>
      <c r="T292" t="str">
        <f t="shared" si="18"/>
        <v>Beginner</v>
      </c>
      <c r="U292" t="str">
        <f t="shared" si="19"/>
        <v>Medium Impact</v>
      </c>
    </row>
    <row r="293" spans="1:21" x14ac:dyDescent="0.3">
      <c r="A293" t="s">
        <v>1698</v>
      </c>
      <c r="B293">
        <v>51</v>
      </c>
      <c r="C293" t="s">
        <v>54</v>
      </c>
      <c r="D293" t="s">
        <v>34</v>
      </c>
      <c r="E293" t="s">
        <v>35</v>
      </c>
      <c r="F293" t="s">
        <v>98</v>
      </c>
      <c r="G293">
        <v>29</v>
      </c>
      <c r="H293" t="s">
        <v>37</v>
      </c>
      <c r="I293" t="s">
        <v>37</v>
      </c>
      <c r="J293" t="s">
        <v>25</v>
      </c>
      <c r="K293" s="2">
        <v>38507</v>
      </c>
      <c r="L293" s="2">
        <v>37953</v>
      </c>
      <c r="M293" t="s">
        <v>38</v>
      </c>
      <c r="N293">
        <v>54</v>
      </c>
      <c r="O293" t="s">
        <v>25</v>
      </c>
      <c r="P293">
        <v>4</v>
      </c>
      <c r="Q293" s="1">
        <v>30.65</v>
      </c>
      <c r="R293" s="2">
        <f t="shared" si="16"/>
        <v>-554</v>
      </c>
      <c r="S293" s="1">
        <f t="shared" si="17"/>
        <v>-1.4386994572415406</v>
      </c>
      <c r="T293" t="str">
        <f t="shared" si="18"/>
        <v>Expert</v>
      </c>
      <c r="U293" t="str">
        <f t="shared" si="19"/>
        <v>Medium Impact</v>
      </c>
    </row>
    <row r="294" spans="1:21" x14ac:dyDescent="0.3">
      <c r="A294" t="s">
        <v>1152</v>
      </c>
      <c r="B294">
        <v>29</v>
      </c>
      <c r="C294" t="s">
        <v>18</v>
      </c>
      <c r="D294" t="s">
        <v>34</v>
      </c>
      <c r="E294" t="s">
        <v>35</v>
      </c>
      <c r="F294" t="s">
        <v>132</v>
      </c>
      <c r="G294">
        <v>3</v>
      </c>
      <c r="H294" t="s">
        <v>22</v>
      </c>
      <c r="I294" t="s">
        <v>37</v>
      </c>
      <c r="J294" t="s">
        <v>23</v>
      </c>
      <c r="K294" s="2">
        <v>111653</v>
      </c>
      <c r="L294" s="2">
        <v>113745</v>
      </c>
      <c r="M294" t="s">
        <v>38</v>
      </c>
      <c r="N294">
        <v>46</v>
      </c>
      <c r="O294" t="s">
        <v>23</v>
      </c>
      <c r="P294">
        <v>9</v>
      </c>
      <c r="Q294" s="1">
        <v>30.62</v>
      </c>
      <c r="R294" s="2">
        <f t="shared" si="16"/>
        <v>2092</v>
      </c>
      <c r="S294" s="1">
        <f t="shared" si="17"/>
        <v>1.8736621496959329</v>
      </c>
      <c r="T294" t="str">
        <f t="shared" si="18"/>
        <v>Beginner</v>
      </c>
      <c r="U294" t="str">
        <f t="shared" si="19"/>
        <v>Medium Impact</v>
      </c>
    </row>
    <row r="295" spans="1:21" x14ac:dyDescent="0.3">
      <c r="A295" t="s">
        <v>438</v>
      </c>
      <c r="B295">
        <v>44</v>
      </c>
      <c r="C295" t="s">
        <v>27</v>
      </c>
      <c r="D295" t="s">
        <v>19</v>
      </c>
      <c r="E295" t="s">
        <v>51</v>
      </c>
      <c r="F295" t="s">
        <v>52</v>
      </c>
      <c r="G295">
        <v>22</v>
      </c>
      <c r="H295" t="s">
        <v>31</v>
      </c>
      <c r="I295" t="s">
        <v>22</v>
      </c>
      <c r="J295" t="s">
        <v>25</v>
      </c>
      <c r="K295" s="2">
        <v>102516</v>
      </c>
      <c r="L295" s="2">
        <v>109787</v>
      </c>
      <c r="M295" t="s">
        <v>32</v>
      </c>
      <c r="N295">
        <v>37</v>
      </c>
      <c r="O295" t="s">
        <v>25</v>
      </c>
      <c r="P295">
        <v>3</v>
      </c>
      <c r="Q295" s="1">
        <v>30.62</v>
      </c>
      <c r="R295" s="2">
        <f t="shared" si="16"/>
        <v>7271</v>
      </c>
      <c r="S295" s="1">
        <f t="shared" si="17"/>
        <v>7.0925514066097</v>
      </c>
      <c r="T295" t="str">
        <f t="shared" si="18"/>
        <v>Expert</v>
      </c>
      <c r="U295" t="str">
        <f t="shared" si="19"/>
        <v>Low Impact</v>
      </c>
    </row>
    <row r="296" spans="1:21" x14ac:dyDescent="0.3">
      <c r="A296" t="s">
        <v>1681</v>
      </c>
      <c r="B296">
        <v>24</v>
      </c>
      <c r="C296" t="s">
        <v>27</v>
      </c>
      <c r="D296" t="s">
        <v>40</v>
      </c>
      <c r="E296" t="s">
        <v>44</v>
      </c>
      <c r="F296" t="s">
        <v>45</v>
      </c>
      <c r="G296">
        <v>0</v>
      </c>
      <c r="H296" t="s">
        <v>37</v>
      </c>
      <c r="I296" t="s">
        <v>37</v>
      </c>
      <c r="J296" t="s">
        <v>23</v>
      </c>
      <c r="K296" s="2">
        <v>71552</v>
      </c>
      <c r="L296" s="2">
        <v>85376</v>
      </c>
      <c r="M296" t="s">
        <v>38</v>
      </c>
      <c r="N296">
        <v>52</v>
      </c>
      <c r="O296" t="s">
        <v>25</v>
      </c>
      <c r="P296">
        <v>8</v>
      </c>
      <c r="Q296" s="1">
        <v>30.62</v>
      </c>
      <c r="R296" s="2">
        <f t="shared" si="16"/>
        <v>13824</v>
      </c>
      <c r="S296" s="1">
        <f t="shared" si="17"/>
        <v>19.320214669051879</v>
      </c>
      <c r="T296" t="str">
        <f t="shared" si="18"/>
        <v>Beginner</v>
      </c>
      <c r="U296" t="str">
        <f t="shared" si="19"/>
        <v>Medium Impact</v>
      </c>
    </row>
    <row r="297" spans="1:21" x14ac:dyDescent="0.3">
      <c r="A297" t="s">
        <v>160</v>
      </c>
      <c r="B297">
        <v>38</v>
      </c>
      <c r="C297" t="s">
        <v>18</v>
      </c>
      <c r="D297" t="s">
        <v>34</v>
      </c>
      <c r="E297" t="s">
        <v>59</v>
      </c>
      <c r="F297" t="s">
        <v>60</v>
      </c>
      <c r="G297">
        <v>12</v>
      </c>
      <c r="H297" t="s">
        <v>22</v>
      </c>
      <c r="I297" t="s">
        <v>37</v>
      </c>
      <c r="J297" t="s">
        <v>25</v>
      </c>
      <c r="K297" s="2">
        <v>69811</v>
      </c>
      <c r="L297" s="2">
        <v>75089</v>
      </c>
      <c r="M297" t="s">
        <v>38</v>
      </c>
      <c r="N297">
        <v>51</v>
      </c>
      <c r="O297" t="s">
        <v>25</v>
      </c>
      <c r="P297">
        <v>6</v>
      </c>
      <c r="Q297" s="1">
        <v>30.53</v>
      </c>
      <c r="R297" s="2">
        <f t="shared" si="16"/>
        <v>5278</v>
      </c>
      <c r="S297" s="1">
        <f t="shared" si="17"/>
        <v>7.5604131154116114</v>
      </c>
      <c r="T297" t="str">
        <f t="shared" si="18"/>
        <v>Intermediate</v>
      </c>
      <c r="U297" t="str">
        <f t="shared" si="19"/>
        <v>Medium Impact</v>
      </c>
    </row>
    <row r="298" spans="1:21" x14ac:dyDescent="0.3">
      <c r="A298" t="s">
        <v>1955</v>
      </c>
      <c r="B298">
        <v>26</v>
      </c>
      <c r="C298" t="s">
        <v>18</v>
      </c>
      <c r="D298" t="s">
        <v>34</v>
      </c>
      <c r="E298" t="s">
        <v>35</v>
      </c>
      <c r="F298" t="s">
        <v>98</v>
      </c>
      <c r="G298">
        <v>4</v>
      </c>
      <c r="H298" t="s">
        <v>22</v>
      </c>
      <c r="I298" t="s">
        <v>22</v>
      </c>
      <c r="J298" t="s">
        <v>23</v>
      </c>
      <c r="K298" s="2">
        <v>41094</v>
      </c>
      <c r="L298" s="2">
        <v>43095</v>
      </c>
      <c r="M298" t="s">
        <v>38</v>
      </c>
      <c r="N298">
        <v>45</v>
      </c>
      <c r="O298" t="s">
        <v>25</v>
      </c>
      <c r="P298">
        <v>9</v>
      </c>
      <c r="Q298" s="1">
        <v>30.53</v>
      </c>
      <c r="R298" s="2">
        <f t="shared" si="16"/>
        <v>2001</v>
      </c>
      <c r="S298" s="1">
        <f t="shared" si="17"/>
        <v>4.8693239889034894</v>
      </c>
      <c r="T298" t="str">
        <f t="shared" si="18"/>
        <v>Beginner</v>
      </c>
      <c r="U298" t="str">
        <f t="shared" si="19"/>
        <v>Medium Impact</v>
      </c>
    </row>
    <row r="299" spans="1:21" x14ac:dyDescent="0.3">
      <c r="A299" t="s">
        <v>506</v>
      </c>
      <c r="B299">
        <v>59</v>
      </c>
      <c r="C299" t="s">
        <v>18</v>
      </c>
      <c r="D299" t="s">
        <v>40</v>
      </c>
      <c r="E299" t="s">
        <v>51</v>
      </c>
      <c r="F299" t="s">
        <v>75</v>
      </c>
      <c r="G299">
        <v>36</v>
      </c>
      <c r="H299" t="s">
        <v>31</v>
      </c>
      <c r="I299" t="s">
        <v>22</v>
      </c>
      <c r="J299" t="s">
        <v>25</v>
      </c>
      <c r="K299" s="2">
        <v>110807</v>
      </c>
      <c r="L299" s="2">
        <v>107143</v>
      </c>
      <c r="M299" t="s">
        <v>32</v>
      </c>
      <c r="N299">
        <v>50</v>
      </c>
      <c r="O299" t="s">
        <v>25</v>
      </c>
      <c r="P299">
        <v>8</v>
      </c>
      <c r="Q299" s="1">
        <v>30.52</v>
      </c>
      <c r="R299" s="2">
        <f t="shared" si="16"/>
        <v>-3664</v>
      </c>
      <c r="S299" s="1">
        <f t="shared" si="17"/>
        <v>-3.306650301876235</v>
      </c>
      <c r="T299" t="str">
        <f t="shared" si="18"/>
        <v>Expert</v>
      </c>
      <c r="U299" t="str">
        <f t="shared" si="19"/>
        <v>Low Impact</v>
      </c>
    </row>
    <row r="300" spans="1:21" x14ac:dyDescent="0.3">
      <c r="A300" t="s">
        <v>1500</v>
      </c>
      <c r="B300">
        <v>45</v>
      </c>
      <c r="C300" t="s">
        <v>27</v>
      </c>
      <c r="D300" t="s">
        <v>28</v>
      </c>
      <c r="E300" t="s">
        <v>35</v>
      </c>
      <c r="F300" t="s">
        <v>132</v>
      </c>
      <c r="G300">
        <v>19</v>
      </c>
      <c r="H300" t="s">
        <v>31</v>
      </c>
      <c r="I300" t="s">
        <v>31</v>
      </c>
      <c r="J300" t="s">
        <v>23</v>
      </c>
      <c r="K300" s="2">
        <v>30036</v>
      </c>
      <c r="L300" s="2">
        <v>32009</v>
      </c>
      <c r="M300" t="s">
        <v>32</v>
      </c>
      <c r="N300">
        <v>37</v>
      </c>
      <c r="O300" t="s">
        <v>25</v>
      </c>
      <c r="P300">
        <v>7</v>
      </c>
      <c r="Q300" s="1">
        <v>30.49</v>
      </c>
      <c r="R300" s="2">
        <f t="shared" si="16"/>
        <v>1973</v>
      </c>
      <c r="S300" s="1">
        <f t="shared" si="17"/>
        <v>6.5687841257158084</v>
      </c>
      <c r="T300" t="str">
        <f t="shared" si="18"/>
        <v>Expert</v>
      </c>
      <c r="U300" t="str">
        <f t="shared" si="19"/>
        <v>Low Impact</v>
      </c>
    </row>
    <row r="301" spans="1:21" x14ac:dyDescent="0.3">
      <c r="A301" t="s">
        <v>893</v>
      </c>
      <c r="B301">
        <v>50</v>
      </c>
      <c r="C301" t="s">
        <v>18</v>
      </c>
      <c r="D301" t="s">
        <v>19</v>
      </c>
      <c r="E301" t="s">
        <v>41</v>
      </c>
      <c r="F301" t="s">
        <v>49</v>
      </c>
      <c r="G301">
        <v>26</v>
      </c>
      <c r="H301" t="s">
        <v>37</v>
      </c>
      <c r="I301" t="s">
        <v>31</v>
      </c>
      <c r="J301" t="s">
        <v>23</v>
      </c>
      <c r="K301" s="2">
        <v>102104</v>
      </c>
      <c r="L301" s="2">
        <v>108343</v>
      </c>
      <c r="M301" t="s">
        <v>32</v>
      </c>
      <c r="N301">
        <v>50</v>
      </c>
      <c r="O301" t="s">
        <v>25</v>
      </c>
      <c r="P301">
        <v>4</v>
      </c>
      <c r="Q301" s="1">
        <v>30.4</v>
      </c>
      <c r="R301" s="2">
        <f t="shared" si="16"/>
        <v>6239</v>
      </c>
      <c r="S301" s="1">
        <f t="shared" si="17"/>
        <v>6.1104364177701171</v>
      </c>
      <c r="T301" t="str">
        <f t="shared" si="18"/>
        <v>Expert</v>
      </c>
      <c r="U301" t="str">
        <f t="shared" si="19"/>
        <v>Low Impact</v>
      </c>
    </row>
    <row r="302" spans="1:21" x14ac:dyDescent="0.3">
      <c r="A302" t="s">
        <v>179</v>
      </c>
      <c r="B302">
        <v>23</v>
      </c>
      <c r="C302" t="s">
        <v>27</v>
      </c>
      <c r="D302" t="s">
        <v>40</v>
      </c>
      <c r="E302" t="s">
        <v>51</v>
      </c>
      <c r="F302" t="s">
        <v>130</v>
      </c>
      <c r="G302">
        <v>0</v>
      </c>
      <c r="H302" t="s">
        <v>22</v>
      </c>
      <c r="I302" t="s">
        <v>37</v>
      </c>
      <c r="J302" t="s">
        <v>23</v>
      </c>
      <c r="K302" s="2">
        <v>109239</v>
      </c>
      <c r="L302" s="2">
        <v>118630</v>
      </c>
      <c r="M302" t="s">
        <v>38</v>
      </c>
      <c r="N302">
        <v>39</v>
      </c>
      <c r="O302" t="s">
        <v>25</v>
      </c>
      <c r="P302">
        <v>8</v>
      </c>
      <c r="Q302" s="1">
        <v>30.31</v>
      </c>
      <c r="R302" s="2">
        <f t="shared" si="16"/>
        <v>9391</v>
      </c>
      <c r="S302" s="1">
        <f t="shared" si="17"/>
        <v>8.5967465831799998</v>
      </c>
      <c r="T302" t="str">
        <f t="shared" si="18"/>
        <v>Beginner</v>
      </c>
      <c r="U302" t="str">
        <f t="shared" si="19"/>
        <v>Medium Impact</v>
      </c>
    </row>
    <row r="303" spans="1:21" x14ac:dyDescent="0.3">
      <c r="A303" t="s">
        <v>606</v>
      </c>
      <c r="B303">
        <v>37</v>
      </c>
      <c r="C303" t="s">
        <v>27</v>
      </c>
      <c r="D303" t="s">
        <v>34</v>
      </c>
      <c r="E303" t="s">
        <v>44</v>
      </c>
      <c r="F303" t="s">
        <v>45</v>
      </c>
      <c r="G303">
        <v>14</v>
      </c>
      <c r="H303" t="s">
        <v>37</v>
      </c>
      <c r="I303" t="s">
        <v>22</v>
      </c>
      <c r="J303" t="s">
        <v>23</v>
      </c>
      <c r="K303" s="2">
        <v>64397</v>
      </c>
      <c r="L303" s="2">
        <v>76339</v>
      </c>
      <c r="M303" t="s">
        <v>32</v>
      </c>
      <c r="N303">
        <v>40</v>
      </c>
      <c r="O303" t="s">
        <v>23</v>
      </c>
      <c r="P303">
        <v>9</v>
      </c>
      <c r="Q303" s="1">
        <v>30.31</v>
      </c>
      <c r="R303" s="2">
        <f t="shared" si="16"/>
        <v>11942</v>
      </c>
      <c r="S303" s="1">
        <f t="shared" si="17"/>
        <v>18.544342127738869</v>
      </c>
      <c r="T303" t="str">
        <f t="shared" si="18"/>
        <v>Intermediate</v>
      </c>
      <c r="U303" t="str">
        <f t="shared" si="19"/>
        <v>Low Impact</v>
      </c>
    </row>
    <row r="304" spans="1:21" x14ac:dyDescent="0.3">
      <c r="A304" t="s">
        <v>1293</v>
      </c>
      <c r="B304">
        <v>52</v>
      </c>
      <c r="C304" t="s">
        <v>18</v>
      </c>
      <c r="D304" t="s">
        <v>40</v>
      </c>
      <c r="E304" t="s">
        <v>59</v>
      </c>
      <c r="F304" t="s">
        <v>60</v>
      </c>
      <c r="G304">
        <v>27</v>
      </c>
      <c r="H304" t="s">
        <v>37</v>
      </c>
      <c r="I304" t="s">
        <v>37</v>
      </c>
      <c r="J304" t="s">
        <v>23</v>
      </c>
      <c r="K304" s="2">
        <v>93294</v>
      </c>
      <c r="L304" s="2">
        <v>92923</v>
      </c>
      <c r="M304" t="s">
        <v>38</v>
      </c>
      <c r="N304">
        <v>49</v>
      </c>
      <c r="O304" t="s">
        <v>25</v>
      </c>
      <c r="P304">
        <v>8</v>
      </c>
      <c r="Q304" s="1">
        <v>30.3</v>
      </c>
      <c r="R304" s="2">
        <f t="shared" si="16"/>
        <v>-371</v>
      </c>
      <c r="S304" s="1">
        <f t="shared" si="17"/>
        <v>-0.39766758848371819</v>
      </c>
      <c r="T304" t="str">
        <f t="shared" si="18"/>
        <v>Expert</v>
      </c>
      <c r="U304" t="str">
        <f t="shared" si="19"/>
        <v>Medium Impact</v>
      </c>
    </row>
    <row r="305" spans="1:21" x14ac:dyDescent="0.3">
      <c r="A305" t="s">
        <v>2025</v>
      </c>
      <c r="B305">
        <v>42</v>
      </c>
      <c r="C305" t="s">
        <v>27</v>
      </c>
      <c r="D305" t="s">
        <v>40</v>
      </c>
      <c r="E305" t="s">
        <v>41</v>
      </c>
      <c r="F305" t="s">
        <v>49</v>
      </c>
      <c r="G305">
        <v>16</v>
      </c>
      <c r="H305" t="s">
        <v>22</v>
      </c>
      <c r="I305" t="s">
        <v>22</v>
      </c>
      <c r="J305" t="s">
        <v>25</v>
      </c>
      <c r="K305" s="2">
        <v>80281</v>
      </c>
      <c r="L305" s="2">
        <v>71091</v>
      </c>
      <c r="M305" t="s">
        <v>38</v>
      </c>
      <c r="N305">
        <v>37</v>
      </c>
      <c r="O305" t="s">
        <v>25</v>
      </c>
      <c r="P305">
        <v>3</v>
      </c>
      <c r="Q305" s="1">
        <v>30.3</v>
      </c>
      <c r="R305" s="2">
        <f t="shared" si="16"/>
        <v>-9190</v>
      </c>
      <c r="S305" s="1">
        <f t="shared" si="17"/>
        <v>-11.447291388996153</v>
      </c>
      <c r="T305" t="str">
        <f t="shared" si="18"/>
        <v>Expert</v>
      </c>
      <c r="U305" t="str">
        <f t="shared" si="19"/>
        <v>Medium Impact</v>
      </c>
    </row>
    <row r="306" spans="1:21" x14ac:dyDescent="0.3">
      <c r="A306" t="s">
        <v>780</v>
      </c>
      <c r="B306">
        <v>35</v>
      </c>
      <c r="C306" t="s">
        <v>54</v>
      </c>
      <c r="D306" t="s">
        <v>19</v>
      </c>
      <c r="E306" t="s">
        <v>41</v>
      </c>
      <c r="F306" t="s">
        <v>42</v>
      </c>
      <c r="G306">
        <v>10</v>
      </c>
      <c r="H306" t="s">
        <v>37</v>
      </c>
      <c r="I306" t="s">
        <v>22</v>
      </c>
      <c r="J306" t="s">
        <v>23</v>
      </c>
      <c r="K306" s="2">
        <v>88255</v>
      </c>
      <c r="L306" s="2">
        <v>103329</v>
      </c>
      <c r="M306" t="s">
        <v>32</v>
      </c>
      <c r="N306">
        <v>41</v>
      </c>
      <c r="O306" t="s">
        <v>23</v>
      </c>
      <c r="P306">
        <v>8</v>
      </c>
      <c r="Q306" s="1">
        <v>30.24</v>
      </c>
      <c r="R306" s="2">
        <f t="shared" si="16"/>
        <v>15074</v>
      </c>
      <c r="S306" s="1">
        <f t="shared" si="17"/>
        <v>17.08005212169282</v>
      </c>
      <c r="T306" t="str">
        <f t="shared" si="18"/>
        <v>Intermediate</v>
      </c>
      <c r="U306" t="str">
        <f t="shared" si="19"/>
        <v>Low Impact</v>
      </c>
    </row>
    <row r="307" spans="1:21" x14ac:dyDescent="0.3">
      <c r="A307" t="s">
        <v>1936</v>
      </c>
      <c r="B307">
        <v>26</v>
      </c>
      <c r="C307" t="s">
        <v>54</v>
      </c>
      <c r="D307" t="s">
        <v>34</v>
      </c>
      <c r="E307" t="s">
        <v>35</v>
      </c>
      <c r="F307" t="s">
        <v>98</v>
      </c>
      <c r="G307">
        <v>4</v>
      </c>
      <c r="H307" t="s">
        <v>22</v>
      </c>
      <c r="I307" t="s">
        <v>22</v>
      </c>
      <c r="J307" t="s">
        <v>25</v>
      </c>
      <c r="K307" s="2">
        <v>108229</v>
      </c>
      <c r="L307" s="2">
        <v>109390</v>
      </c>
      <c r="M307" t="s">
        <v>38</v>
      </c>
      <c r="N307">
        <v>50</v>
      </c>
      <c r="O307" t="s">
        <v>25</v>
      </c>
      <c r="P307">
        <v>5</v>
      </c>
      <c r="Q307" s="1">
        <v>30.23</v>
      </c>
      <c r="R307" s="2">
        <f t="shared" si="16"/>
        <v>1161</v>
      </c>
      <c r="S307" s="1">
        <f t="shared" si="17"/>
        <v>1.0727254247937243</v>
      </c>
      <c r="T307" t="str">
        <f t="shared" si="18"/>
        <v>Beginner</v>
      </c>
      <c r="U307" t="str">
        <f t="shared" si="19"/>
        <v>Medium Impact</v>
      </c>
    </row>
    <row r="308" spans="1:21" x14ac:dyDescent="0.3">
      <c r="A308" t="s">
        <v>1125</v>
      </c>
      <c r="B308">
        <v>43</v>
      </c>
      <c r="C308" t="s">
        <v>54</v>
      </c>
      <c r="D308" t="s">
        <v>19</v>
      </c>
      <c r="E308" t="s">
        <v>20</v>
      </c>
      <c r="F308" t="s">
        <v>88</v>
      </c>
      <c r="G308">
        <v>19</v>
      </c>
      <c r="H308" t="s">
        <v>37</v>
      </c>
      <c r="I308" t="s">
        <v>37</v>
      </c>
      <c r="J308" t="s">
        <v>23</v>
      </c>
      <c r="K308" s="2">
        <v>82066</v>
      </c>
      <c r="L308" s="2">
        <v>83298</v>
      </c>
      <c r="M308" t="s">
        <v>38</v>
      </c>
      <c r="N308">
        <v>51</v>
      </c>
      <c r="O308" t="s">
        <v>25</v>
      </c>
      <c r="P308">
        <v>9</v>
      </c>
      <c r="Q308" s="1">
        <v>30.23</v>
      </c>
      <c r="R308" s="2">
        <f t="shared" si="16"/>
        <v>1232</v>
      </c>
      <c r="S308" s="1">
        <f t="shared" si="17"/>
        <v>1.5012307167401846</v>
      </c>
      <c r="T308" t="str">
        <f t="shared" si="18"/>
        <v>Expert</v>
      </c>
      <c r="U308" t="str">
        <f t="shared" si="19"/>
        <v>Medium Impact</v>
      </c>
    </row>
    <row r="309" spans="1:21" x14ac:dyDescent="0.3">
      <c r="A309" t="s">
        <v>1657</v>
      </c>
      <c r="B309">
        <v>57</v>
      </c>
      <c r="C309" t="s">
        <v>18</v>
      </c>
      <c r="D309" t="s">
        <v>40</v>
      </c>
      <c r="E309" t="s">
        <v>44</v>
      </c>
      <c r="F309" t="s">
        <v>47</v>
      </c>
      <c r="G309">
        <v>32</v>
      </c>
      <c r="H309" t="s">
        <v>37</v>
      </c>
      <c r="I309" t="s">
        <v>37</v>
      </c>
      <c r="J309" t="s">
        <v>23</v>
      </c>
      <c r="K309" s="2">
        <v>63289</v>
      </c>
      <c r="L309" s="2">
        <v>72335</v>
      </c>
      <c r="M309" t="s">
        <v>38</v>
      </c>
      <c r="N309">
        <v>46</v>
      </c>
      <c r="O309" t="s">
        <v>25</v>
      </c>
      <c r="P309">
        <v>8</v>
      </c>
      <c r="Q309" s="1">
        <v>30.23</v>
      </c>
      <c r="R309" s="2">
        <f t="shared" si="16"/>
        <v>9046</v>
      </c>
      <c r="S309" s="1">
        <f t="shared" si="17"/>
        <v>14.293163108913081</v>
      </c>
      <c r="T309" t="str">
        <f t="shared" si="18"/>
        <v>Expert</v>
      </c>
      <c r="U309" t="str">
        <f t="shared" si="19"/>
        <v>Medium Impact</v>
      </c>
    </row>
    <row r="310" spans="1:21" x14ac:dyDescent="0.3">
      <c r="A310" t="s">
        <v>440</v>
      </c>
      <c r="B310">
        <v>27</v>
      </c>
      <c r="C310" t="s">
        <v>18</v>
      </c>
      <c r="D310" t="s">
        <v>34</v>
      </c>
      <c r="E310" t="s">
        <v>20</v>
      </c>
      <c r="F310" t="s">
        <v>88</v>
      </c>
      <c r="G310">
        <v>5</v>
      </c>
      <c r="H310" t="s">
        <v>37</v>
      </c>
      <c r="I310" t="s">
        <v>31</v>
      </c>
      <c r="J310" t="s">
        <v>23</v>
      </c>
      <c r="K310" s="2">
        <v>68547</v>
      </c>
      <c r="L310" s="2">
        <v>66364</v>
      </c>
      <c r="M310" t="s">
        <v>32</v>
      </c>
      <c r="N310">
        <v>37</v>
      </c>
      <c r="O310" t="s">
        <v>25</v>
      </c>
      <c r="P310">
        <v>6</v>
      </c>
      <c r="Q310" s="1">
        <v>30.22</v>
      </c>
      <c r="R310" s="2">
        <f t="shared" si="16"/>
        <v>-2183</v>
      </c>
      <c r="S310" s="1">
        <f t="shared" si="17"/>
        <v>-3.1846762075656123</v>
      </c>
      <c r="T310" t="str">
        <f t="shared" si="18"/>
        <v>Intermediate</v>
      </c>
      <c r="U310" t="str">
        <f t="shared" si="19"/>
        <v>Low Impact</v>
      </c>
    </row>
    <row r="311" spans="1:21" x14ac:dyDescent="0.3">
      <c r="A311" t="s">
        <v>870</v>
      </c>
      <c r="B311">
        <v>28</v>
      </c>
      <c r="C311" t="s">
        <v>18</v>
      </c>
      <c r="D311" t="s">
        <v>19</v>
      </c>
      <c r="E311" t="s">
        <v>35</v>
      </c>
      <c r="F311" t="s">
        <v>98</v>
      </c>
      <c r="G311">
        <v>3</v>
      </c>
      <c r="H311" t="s">
        <v>31</v>
      </c>
      <c r="I311" t="s">
        <v>37</v>
      </c>
      <c r="J311" t="s">
        <v>25</v>
      </c>
      <c r="K311" s="2">
        <v>98694</v>
      </c>
      <c r="L311" s="2">
        <v>96250</v>
      </c>
      <c r="M311" t="s">
        <v>38</v>
      </c>
      <c r="N311">
        <v>35</v>
      </c>
      <c r="O311" t="s">
        <v>23</v>
      </c>
      <c r="P311">
        <v>4</v>
      </c>
      <c r="Q311" s="1">
        <v>30.19</v>
      </c>
      <c r="R311" s="2">
        <f t="shared" si="16"/>
        <v>-2444</v>
      </c>
      <c r="S311" s="1">
        <f t="shared" si="17"/>
        <v>-2.4763410136381139</v>
      </c>
      <c r="T311" t="str">
        <f t="shared" si="18"/>
        <v>Beginner</v>
      </c>
      <c r="U311" t="str">
        <f t="shared" si="19"/>
        <v>Medium Impact</v>
      </c>
    </row>
    <row r="312" spans="1:21" x14ac:dyDescent="0.3">
      <c r="A312" t="s">
        <v>1134</v>
      </c>
      <c r="B312">
        <v>29</v>
      </c>
      <c r="C312" t="s">
        <v>54</v>
      </c>
      <c r="D312" t="s">
        <v>40</v>
      </c>
      <c r="E312" t="s">
        <v>59</v>
      </c>
      <c r="F312" t="s">
        <v>93</v>
      </c>
      <c r="G312">
        <v>5</v>
      </c>
      <c r="H312" t="s">
        <v>31</v>
      </c>
      <c r="I312" t="s">
        <v>22</v>
      </c>
      <c r="J312" t="s">
        <v>25</v>
      </c>
      <c r="K312" s="2">
        <v>81952</v>
      </c>
      <c r="L312" s="2">
        <v>78524</v>
      </c>
      <c r="M312" t="s">
        <v>32</v>
      </c>
      <c r="N312">
        <v>36</v>
      </c>
      <c r="O312" t="s">
        <v>25</v>
      </c>
      <c r="P312">
        <v>8</v>
      </c>
      <c r="Q312" s="1">
        <v>30.19</v>
      </c>
      <c r="R312" s="2">
        <f t="shared" si="16"/>
        <v>-3428</v>
      </c>
      <c r="S312" s="1">
        <f t="shared" si="17"/>
        <v>-4.182936352987114</v>
      </c>
      <c r="T312" t="str">
        <f t="shared" si="18"/>
        <v>Intermediate</v>
      </c>
      <c r="U312" t="str">
        <f t="shared" si="19"/>
        <v>Low Impact</v>
      </c>
    </row>
    <row r="313" spans="1:21" x14ac:dyDescent="0.3">
      <c r="A313" t="s">
        <v>110</v>
      </c>
      <c r="B313">
        <v>47</v>
      </c>
      <c r="C313" t="s">
        <v>27</v>
      </c>
      <c r="D313" t="s">
        <v>40</v>
      </c>
      <c r="E313" t="s">
        <v>44</v>
      </c>
      <c r="F313" t="s">
        <v>47</v>
      </c>
      <c r="G313">
        <v>21</v>
      </c>
      <c r="H313" t="s">
        <v>22</v>
      </c>
      <c r="I313" t="s">
        <v>22</v>
      </c>
      <c r="J313" t="s">
        <v>23</v>
      </c>
      <c r="K313" s="2">
        <v>62217</v>
      </c>
      <c r="L313" s="2">
        <v>85709</v>
      </c>
      <c r="M313" t="s">
        <v>38</v>
      </c>
      <c r="N313">
        <v>43</v>
      </c>
      <c r="O313" t="s">
        <v>23</v>
      </c>
      <c r="P313">
        <v>6</v>
      </c>
      <c r="Q313" s="1">
        <v>30.16</v>
      </c>
      <c r="R313" s="2">
        <f t="shared" si="16"/>
        <v>23492</v>
      </c>
      <c r="S313" s="1">
        <f t="shared" si="17"/>
        <v>37.758168989183019</v>
      </c>
      <c r="T313" t="str">
        <f t="shared" si="18"/>
        <v>Expert</v>
      </c>
      <c r="U313" t="str">
        <f t="shared" si="19"/>
        <v>Medium Impact</v>
      </c>
    </row>
    <row r="314" spans="1:21" x14ac:dyDescent="0.3">
      <c r="A314" t="s">
        <v>300</v>
      </c>
      <c r="B314">
        <v>33</v>
      </c>
      <c r="C314" t="s">
        <v>18</v>
      </c>
      <c r="D314" t="s">
        <v>19</v>
      </c>
      <c r="E314" t="s">
        <v>35</v>
      </c>
      <c r="F314" t="s">
        <v>36</v>
      </c>
      <c r="G314">
        <v>9</v>
      </c>
      <c r="H314" t="s">
        <v>31</v>
      </c>
      <c r="I314" t="s">
        <v>31</v>
      </c>
      <c r="J314" t="s">
        <v>23</v>
      </c>
      <c r="K314" s="2">
        <v>78364</v>
      </c>
      <c r="L314" s="2">
        <v>79921</v>
      </c>
      <c r="M314" t="s">
        <v>32</v>
      </c>
      <c r="N314">
        <v>35</v>
      </c>
      <c r="O314" t="s">
        <v>23</v>
      </c>
      <c r="P314">
        <v>5</v>
      </c>
      <c r="Q314" s="1">
        <v>30.16</v>
      </c>
      <c r="R314" s="2">
        <f t="shared" si="16"/>
        <v>1557</v>
      </c>
      <c r="S314" s="1">
        <f t="shared" si="17"/>
        <v>1.9868817314072789</v>
      </c>
      <c r="T314" t="str">
        <f t="shared" si="18"/>
        <v>Intermediate</v>
      </c>
      <c r="U314" t="str">
        <f t="shared" si="19"/>
        <v>Low Impact</v>
      </c>
    </row>
    <row r="315" spans="1:21" x14ac:dyDescent="0.3">
      <c r="A315" t="s">
        <v>1620</v>
      </c>
      <c r="B315">
        <v>32</v>
      </c>
      <c r="C315" t="s">
        <v>18</v>
      </c>
      <c r="D315" t="s">
        <v>28</v>
      </c>
      <c r="E315" t="s">
        <v>41</v>
      </c>
      <c r="F315" t="s">
        <v>49</v>
      </c>
      <c r="G315">
        <v>7</v>
      </c>
      <c r="H315" t="s">
        <v>22</v>
      </c>
      <c r="I315" t="s">
        <v>31</v>
      </c>
      <c r="J315" t="s">
        <v>23</v>
      </c>
      <c r="K315" s="2">
        <v>49323</v>
      </c>
      <c r="L315" s="2">
        <v>60231</v>
      </c>
      <c r="M315" t="s">
        <v>32</v>
      </c>
      <c r="N315">
        <v>52</v>
      </c>
      <c r="O315" t="s">
        <v>23</v>
      </c>
      <c r="P315">
        <v>7</v>
      </c>
      <c r="Q315" s="1">
        <v>30.14</v>
      </c>
      <c r="R315" s="2">
        <f t="shared" si="16"/>
        <v>10908</v>
      </c>
      <c r="S315" s="1">
        <f t="shared" si="17"/>
        <v>22.115443099568154</v>
      </c>
      <c r="T315" t="str">
        <f t="shared" si="18"/>
        <v>Intermediate</v>
      </c>
      <c r="U315" t="str">
        <f t="shared" si="19"/>
        <v>Low Impact</v>
      </c>
    </row>
    <row r="316" spans="1:21" x14ac:dyDescent="0.3">
      <c r="A316" t="s">
        <v>1151</v>
      </c>
      <c r="B316">
        <v>51</v>
      </c>
      <c r="C316" t="s">
        <v>54</v>
      </c>
      <c r="D316" t="s">
        <v>34</v>
      </c>
      <c r="E316" t="s">
        <v>29</v>
      </c>
      <c r="F316" t="s">
        <v>102</v>
      </c>
      <c r="G316">
        <v>28</v>
      </c>
      <c r="H316" t="s">
        <v>22</v>
      </c>
      <c r="I316" t="s">
        <v>31</v>
      </c>
      <c r="J316" t="s">
        <v>23</v>
      </c>
      <c r="K316" s="2">
        <v>87089</v>
      </c>
      <c r="L316" s="2">
        <v>93329</v>
      </c>
      <c r="M316" t="s">
        <v>32</v>
      </c>
      <c r="N316">
        <v>46</v>
      </c>
      <c r="O316" t="s">
        <v>25</v>
      </c>
      <c r="P316">
        <v>9</v>
      </c>
      <c r="Q316" s="1">
        <v>30.13</v>
      </c>
      <c r="R316" s="2">
        <f t="shared" si="16"/>
        <v>6240</v>
      </c>
      <c r="S316" s="1">
        <f t="shared" si="17"/>
        <v>7.165083994534327</v>
      </c>
      <c r="T316" t="str">
        <f t="shared" si="18"/>
        <v>Expert</v>
      </c>
      <c r="U316" t="str">
        <f t="shared" si="19"/>
        <v>Low Impact</v>
      </c>
    </row>
    <row r="317" spans="1:21" x14ac:dyDescent="0.3">
      <c r="A317" t="s">
        <v>1358</v>
      </c>
      <c r="B317">
        <v>37</v>
      </c>
      <c r="C317" t="s">
        <v>27</v>
      </c>
      <c r="D317" t="s">
        <v>34</v>
      </c>
      <c r="E317" t="s">
        <v>35</v>
      </c>
      <c r="F317" t="s">
        <v>98</v>
      </c>
      <c r="G317">
        <v>15</v>
      </c>
      <c r="H317" t="s">
        <v>22</v>
      </c>
      <c r="I317" t="s">
        <v>31</v>
      </c>
      <c r="J317" t="s">
        <v>25</v>
      </c>
      <c r="K317" s="2">
        <v>116348</v>
      </c>
      <c r="L317" s="2">
        <v>153705</v>
      </c>
      <c r="M317" t="s">
        <v>32</v>
      </c>
      <c r="N317">
        <v>53</v>
      </c>
      <c r="O317" t="s">
        <v>23</v>
      </c>
      <c r="P317">
        <v>8</v>
      </c>
      <c r="Q317" s="1">
        <v>30.07</v>
      </c>
      <c r="R317" s="2">
        <f t="shared" si="16"/>
        <v>37357</v>
      </c>
      <c r="S317" s="1">
        <f t="shared" si="17"/>
        <v>32.107986385670571</v>
      </c>
      <c r="T317" t="str">
        <f t="shared" si="18"/>
        <v>Expert</v>
      </c>
      <c r="U317" t="str">
        <f t="shared" si="19"/>
        <v>Low Impact</v>
      </c>
    </row>
    <row r="318" spans="1:21" x14ac:dyDescent="0.3">
      <c r="A318" t="s">
        <v>1509</v>
      </c>
      <c r="B318">
        <v>55</v>
      </c>
      <c r="C318" t="s">
        <v>54</v>
      </c>
      <c r="D318" t="s">
        <v>40</v>
      </c>
      <c r="E318" t="s">
        <v>44</v>
      </c>
      <c r="F318" t="s">
        <v>47</v>
      </c>
      <c r="G318">
        <v>30</v>
      </c>
      <c r="H318" t="s">
        <v>37</v>
      </c>
      <c r="I318" t="s">
        <v>37</v>
      </c>
      <c r="J318" t="s">
        <v>25</v>
      </c>
      <c r="K318" s="2">
        <v>96957</v>
      </c>
      <c r="L318" s="2">
        <v>115251</v>
      </c>
      <c r="M318" t="s">
        <v>38</v>
      </c>
      <c r="N318">
        <v>44</v>
      </c>
      <c r="O318" t="s">
        <v>23</v>
      </c>
      <c r="P318">
        <v>3</v>
      </c>
      <c r="Q318" s="1">
        <v>30.05</v>
      </c>
      <c r="R318" s="2">
        <f t="shared" si="16"/>
        <v>18294</v>
      </c>
      <c r="S318" s="1">
        <f t="shared" si="17"/>
        <v>18.868158049444599</v>
      </c>
      <c r="T318" t="str">
        <f t="shared" si="18"/>
        <v>Expert</v>
      </c>
      <c r="U318" t="str">
        <f t="shared" si="19"/>
        <v>Medium Impact</v>
      </c>
    </row>
    <row r="319" spans="1:21" x14ac:dyDescent="0.3">
      <c r="A319" t="s">
        <v>1330</v>
      </c>
      <c r="B319">
        <v>38</v>
      </c>
      <c r="C319" t="s">
        <v>18</v>
      </c>
      <c r="D319" t="s">
        <v>34</v>
      </c>
      <c r="E319" t="s">
        <v>29</v>
      </c>
      <c r="F319" t="s">
        <v>30</v>
      </c>
      <c r="G319">
        <v>16</v>
      </c>
      <c r="H319" t="s">
        <v>22</v>
      </c>
      <c r="I319" t="s">
        <v>31</v>
      </c>
      <c r="J319" t="s">
        <v>25</v>
      </c>
      <c r="K319" s="2">
        <v>117483</v>
      </c>
      <c r="L319" s="2">
        <v>158394</v>
      </c>
      <c r="M319" t="s">
        <v>32</v>
      </c>
      <c r="N319">
        <v>52</v>
      </c>
      <c r="O319" t="s">
        <v>23</v>
      </c>
      <c r="P319">
        <v>6</v>
      </c>
      <c r="Q319" s="1">
        <v>29.98</v>
      </c>
      <c r="R319" s="2">
        <f t="shared" si="16"/>
        <v>40911</v>
      </c>
      <c r="S319" s="1">
        <f t="shared" si="17"/>
        <v>34.822910548760241</v>
      </c>
      <c r="T319" t="str">
        <f t="shared" si="18"/>
        <v>Expert</v>
      </c>
      <c r="U319" t="str">
        <f t="shared" si="19"/>
        <v>Low Impact</v>
      </c>
    </row>
    <row r="320" spans="1:21" x14ac:dyDescent="0.3">
      <c r="A320" t="s">
        <v>1573</v>
      </c>
      <c r="B320">
        <v>55</v>
      </c>
      <c r="C320" t="s">
        <v>18</v>
      </c>
      <c r="D320" t="s">
        <v>19</v>
      </c>
      <c r="E320" t="s">
        <v>41</v>
      </c>
      <c r="F320" t="s">
        <v>42</v>
      </c>
      <c r="G320">
        <v>30</v>
      </c>
      <c r="H320" t="s">
        <v>37</v>
      </c>
      <c r="I320" t="s">
        <v>31</v>
      </c>
      <c r="J320" t="s">
        <v>23</v>
      </c>
      <c r="K320" s="2">
        <v>64875</v>
      </c>
      <c r="L320" s="2">
        <v>72346</v>
      </c>
      <c r="M320" t="s">
        <v>32</v>
      </c>
      <c r="N320">
        <v>37</v>
      </c>
      <c r="O320" t="s">
        <v>25</v>
      </c>
      <c r="P320">
        <v>4</v>
      </c>
      <c r="Q320" s="1">
        <v>29.98</v>
      </c>
      <c r="R320" s="2">
        <f t="shared" si="16"/>
        <v>7471</v>
      </c>
      <c r="S320" s="1">
        <f t="shared" si="17"/>
        <v>11.515992292870905</v>
      </c>
      <c r="T320" t="str">
        <f t="shared" si="18"/>
        <v>Expert</v>
      </c>
      <c r="U320" t="str">
        <f t="shared" si="19"/>
        <v>Low Impact</v>
      </c>
    </row>
    <row r="321" spans="1:21" x14ac:dyDescent="0.3">
      <c r="A321" t="s">
        <v>738</v>
      </c>
      <c r="B321">
        <v>55</v>
      </c>
      <c r="C321" t="s">
        <v>27</v>
      </c>
      <c r="D321" t="s">
        <v>28</v>
      </c>
      <c r="E321" t="s">
        <v>51</v>
      </c>
      <c r="F321" t="s">
        <v>75</v>
      </c>
      <c r="G321">
        <v>31</v>
      </c>
      <c r="H321" t="s">
        <v>22</v>
      </c>
      <c r="I321" t="s">
        <v>31</v>
      </c>
      <c r="J321" t="s">
        <v>23</v>
      </c>
      <c r="K321" s="2">
        <v>70317</v>
      </c>
      <c r="L321" s="2">
        <v>62431</v>
      </c>
      <c r="M321" t="s">
        <v>32</v>
      </c>
      <c r="N321">
        <v>40</v>
      </c>
      <c r="O321" t="s">
        <v>25</v>
      </c>
      <c r="P321">
        <v>4</v>
      </c>
      <c r="Q321" s="1">
        <v>29.98</v>
      </c>
      <c r="R321" s="2">
        <f t="shared" si="16"/>
        <v>-7886</v>
      </c>
      <c r="S321" s="1">
        <f t="shared" si="17"/>
        <v>-11.214926689136339</v>
      </c>
      <c r="T321" t="str">
        <f t="shared" si="18"/>
        <v>Expert</v>
      </c>
      <c r="U321" t="str">
        <f t="shared" si="19"/>
        <v>Low Impact</v>
      </c>
    </row>
    <row r="322" spans="1:21" x14ac:dyDescent="0.3">
      <c r="A322" t="s">
        <v>1599</v>
      </c>
      <c r="B322">
        <v>47</v>
      </c>
      <c r="C322" t="s">
        <v>27</v>
      </c>
      <c r="D322" t="s">
        <v>40</v>
      </c>
      <c r="E322" t="s">
        <v>29</v>
      </c>
      <c r="F322" t="s">
        <v>102</v>
      </c>
      <c r="G322">
        <v>22</v>
      </c>
      <c r="H322" t="s">
        <v>31</v>
      </c>
      <c r="I322" t="s">
        <v>37</v>
      </c>
      <c r="J322" t="s">
        <v>25</v>
      </c>
      <c r="K322" s="2">
        <v>30557</v>
      </c>
      <c r="L322" s="2">
        <v>32345</v>
      </c>
      <c r="M322" t="s">
        <v>38</v>
      </c>
      <c r="N322">
        <v>42</v>
      </c>
      <c r="O322" t="s">
        <v>23</v>
      </c>
      <c r="P322">
        <v>5</v>
      </c>
      <c r="Q322" s="1">
        <v>29.96</v>
      </c>
      <c r="R322" s="2">
        <f t="shared" ref="R322:R385" si="20">L322-K322</f>
        <v>1788</v>
      </c>
      <c r="S322" s="1">
        <f t="shared" ref="S322:S385" si="21">(L322-K322)/K322*100</f>
        <v>5.8513597539025426</v>
      </c>
      <c r="T322" t="str">
        <f t="shared" ref="T322:T385" si="22">IF(G322&lt;5,"Beginner",IF(G322&lt;15,"Intermediate","Expert"))</f>
        <v>Expert</v>
      </c>
      <c r="U322" t="str">
        <f t="shared" ref="U322:U385" si="23">IF(M322="Replaced","High Impact",IF(M322="Modified","Medium Impact","Low Impact"))</f>
        <v>Medium Impact</v>
      </c>
    </row>
    <row r="323" spans="1:21" x14ac:dyDescent="0.3">
      <c r="A323" t="s">
        <v>794</v>
      </c>
      <c r="B323">
        <v>49</v>
      </c>
      <c r="C323" t="s">
        <v>18</v>
      </c>
      <c r="D323" t="s">
        <v>40</v>
      </c>
      <c r="E323" t="s">
        <v>35</v>
      </c>
      <c r="F323" t="s">
        <v>132</v>
      </c>
      <c r="G323">
        <v>27</v>
      </c>
      <c r="H323" t="s">
        <v>31</v>
      </c>
      <c r="I323" t="s">
        <v>37</v>
      </c>
      <c r="J323" t="s">
        <v>23</v>
      </c>
      <c r="K323" s="2">
        <v>43331</v>
      </c>
      <c r="L323" s="2">
        <v>45401</v>
      </c>
      <c r="M323" t="s">
        <v>38</v>
      </c>
      <c r="N323">
        <v>53</v>
      </c>
      <c r="O323" t="s">
        <v>23</v>
      </c>
      <c r="P323">
        <v>6</v>
      </c>
      <c r="Q323" s="1">
        <v>29.95</v>
      </c>
      <c r="R323" s="2">
        <f t="shared" si="20"/>
        <v>2070</v>
      </c>
      <c r="S323" s="1">
        <f t="shared" si="21"/>
        <v>4.7771803097089842</v>
      </c>
      <c r="T323" t="str">
        <f t="shared" si="22"/>
        <v>Expert</v>
      </c>
      <c r="U323" t="str">
        <f t="shared" si="23"/>
        <v>Medium Impact</v>
      </c>
    </row>
    <row r="324" spans="1:21" x14ac:dyDescent="0.3">
      <c r="A324" t="s">
        <v>1752</v>
      </c>
      <c r="B324">
        <v>25</v>
      </c>
      <c r="C324" t="s">
        <v>27</v>
      </c>
      <c r="D324" t="s">
        <v>34</v>
      </c>
      <c r="E324" t="s">
        <v>59</v>
      </c>
      <c r="F324" t="s">
        <v>60</v>
      </c>
      <c r="G324">
        <v>0</v>
      </c>
      <c r="H324" t="s">
        <v>31</v>
      </c>
      <c r="I324" t="s">
        <v>22</v>
      </c>
      <c r="J324" t="s">
        <v>23</v>
      </c>
      <c r="K324" s="2">
        <v>117211</v>
      </c>
      <c r="L324" s="2">
        <v>120452</v>
      </c>
      <c r="M324" t="s">
        <v>32</v>
      </c>
      <c r="N324">
        <v>44</v>
      </c>
      <c r="O324" t="s">
        <v>25</v>
      </c>
      <c r="P324">
        <v>8</v>
      </c>
      <c r="Q324" s="1">
        <v>29.91</v>
      </c>
      <c r="R324" s="2">
        <f t="shared" si="20"/>
        <v>3241</v>
      </c>
      <c r="S324" s="1">
        <f t="shared" si="21"/>
        <v>2.7650988388461832</v>
      </c>
      <c r="T324" t="str">
        <f t="shared" si="22"/>
        <v>Beginner</v>
      </c>
      <c r="U324" t="str">
        <f t="shared" si="23"/>
        <v>Low Impact</v>
      </c>
    </row>
    <row r="325" spans="1:21" x14ac:dyDescent="0.3">
      <c r="A325" t="s">
        <v>155</v>
      </c>
      <c r="B325">
        <v>47</v>
      </c>
      <c r="C325" t="s">
        <v>18</v>
      </c>
      <c r="D325" t="s">
        <v>40</v>
      </c>
      <c r="E325" t="s">
        <v>20</v>
      </c>
      <c r="F325" t="s">
        <v>88</v>
      </c>
      <c r="G325">
        <v>24</v>
      </c>
      <c r="H325" t="s">
        <v>31</v>
      </c>
      <c r="I325" t="s">
        <v>37</v>
      </c>
      <c r="J325" t="s">
        <v>23</v>
      </c>
      <c r="K325" s="2">
        <v>88017</v>
      </c>
      <c r="L325" s="2">
        <v>89903</v>
      </c>
      <c r="M325" t="s">
        <v>38</v>
      </c>
      <c r="N325">
        <v>52</v>
      </c>
      <c r="O325" t="s">
        <v>25</v>
      </c>
      <c r="P325">
        <v>6</v>
      </c>
      <c r="Q325" s="1">
        <v>29.88</v>
      </c>
      <c r="R325" s="2">
        <f t="shared" si="20"/>
        <v>1886</v>
      </c>
      <c r="S325" s="1">
        <f t="shared" si="21"/>
        <v>2.1427678743879022</v>
      </c>
      <c r="T325" t="str">
        <f t="shared" si="22"/>
        <v>Expert</v>
      </c>
      <c r="U325" t="str">
        <f t="shared" si="23"/>
        <v>Medium Impact</v>
      </c>
    </row>
    <row r="326" spans="1:21" x14ac:dyDescent="0.3">
      <c r="A326" t="s">
        <v>637</v>
      </c>
      <c r="B326">
        <v>32</v>
      </c>
      <c r="C326" t="s">
        <v>27</v>
      </c>
      <c r="D326" t="s">
        <v>40</v>
      </c>
      <c r="E326" t="s">
        <v>20</v>
      </c>
      <c r="F326" t="s">
        <v>88</v>
      </c>
      <c r="G326">
        <v>9</v>
      </c>
      <c r="H326" t="s">
        <v>31</v>
      </c>
      <c r="I326" t="s">
        <v>31</v>
      </c>
      <c r="J326" t="s">
        <v>23</v>
      </c>
      <c r="K326" s="2">
        <v>38026</v>
      </c>
      <c r="L326" s="2">
        <v>38287</v>
      </c>
      <c r="M326" t="s">
        <v>32</v>
      </c>
      <c r="N326">
        <v>51</v>
      </c>
      <c r="O326" t="s">
        <v>25</v>
      </c>
      <c r="P326">
        <v>3</v>
      </c>
      <c r="Q326" s="1">
        <v>29.88</v>
      </c>
      <c r="R326" s="2">
        <f t="shared" si="20"/>
        <v>261</v>
      </c>
      <c r="S326" s="1">
        <f t="shared" si="21"/>
        <v>0.68637248198600953</v>
      </c>
      <c r="T326" t="str">
        <f t="shared" si="22"/>
        <v>Intermediate</v>
      </c>
      <c r="U326" t="str">
        <f t="shared" si="23"/>
        <v>Low Impact</v>
      </c>
    </row>
    <row r="327" spans="1:21" x14ac:dyDescent="0.3">
      <c r="A327" t="s">
        <v>184</v>
      </c>
      <c r="B327">
        <v>32</v>
      </c>
      <c r="C327" t="s">
        <v>54</v>
      </c>
      <c r="D327" t="s">
        <v>28</v>
      </c>
      <c r="E327" t="s">
        <v>51</v>
      </c>
      <c r="F327" t="s">
        <v>130</v>
      </c>
      <c r="G327">
        <v>8</v>
      </c>
      <c r="H327" t="s">
        <v>31</v>
      </c>
      <c r="I327" t="s">
        <v>37</v>
      </c>
      <c r="J327" t="s">
        <v>23</v>
      </c>
      <c r="K327" s="2">
        <v>72078</v>
      </c>
      <c r="L327" s="2">
        <v>78523</v>
      </c>
      <c r="M327" t="s">
        <v>38</v>
      </c>
      <c r="N327">
        <v>46</v>
      </c>
      <c r="O327" t="s">
        <v>25</v>
      </c>
      <c r="P327">
        <v>4</v>
      </c>
      <c r="Q327" s="1">
        <v>29.84</v>
      </c>
      <c r="R327" s="2">
        <f t="shared" si="20"/>
        <v>6445</v>
      </c>
      <c r="S327" s="1">
        <f t="shared" si="21"/>
        <v>8.9417020450067977</v>
      </c>
      <c r="T327" t="str">
        <f t="shared" si="22"/>
        <v>Intermediate</v>
      </c>
      <c r="U327" t="str">
        <f t="shared" si="23"/>
        <v>Medium Impact</v>
      </c>
    </row>
    <row r="328" spans="1:21" x14ac:dyDescent="0.3">
      <c r="A328" t="s">
        <v>1792</v>
      </c>
      <c r="B328">
        <v>58</v>
      </c>
      <c r="C328" t="s">
        <v>18</v>
      </c>
      <c r="D328" t="s">
        <v>40</v>
      </c>
      <c r="E328" t="s">
        <v>51</v>
      </c>
      <c r="F328" t="s">
        <v>52</v>
      </c>
      <c r="G328">
        <v>33</v>
      </c>
      <c r="H328" t="s">
        <v>37</v>
      </c>
      <c r="I328" t="s">
        <v>31</v>
      </c>
      <c r="J328" t="s">
        <v>23</v>
      </c>
      <c r="K328" s="2">
        <v>43665</v>
      </c>
      <c r="L328" s="2">
        <v>45656</v>
      </c>
      <c r="M328" t="s">
        <v>32</v>
      </c>
      <c r="N328">
        <v>53</v>
      </c>
      <c r="O328" t="s">
        <v>25</v>
      </c>
      <c r="P328">
        <v>6</v>
      </c>
      <c r="Q328" s="1">
        <v>29.81</v>
      </c>
      <c r="R328" s="2">
        <f t="shared" si="20"/>
        <v>1991</v>
      </c>
      <c r="S328" s="1">
        <f t="shared" si="21"/>
        <v>4.5597160196954079</v>
      </c>
      <c r="T328" t="str">
        <f t="shared" si="22"/>
        <v>Expert</v>
      </c>
      <c r="U328" t="str">
        <f t="shared" si="23"/>
        <v>Low Impact</v>
      </c>
    </row>
    <row r="329" spans="1:21" x14ac:dyDescent="0.3">
      <c r="A329" t="s">
        <v>1858</v>
      </c>
      <c r="B329">
        <v>51</v>
      </c>
      <c r="C329" t="s">
        <v>27</v>
      </c>
      <c r="D329" t="s">
        <v>40</v>
      </c>
      <c r="E329" t="s">
        <v>59</v>
      </c>
      <c r="F329" t="s">
        <v>93</v>
      </c>
      <c r="G329">
        <v>29</v>
      </c>
      <c r="H329" t="s">
        <v>37</v>
      </c>
      <c r="I329" t="s">
        <v>31</v>
      </c>
      <c r="J329" t="s">
        <v>23</v>
      </c>
      <c r="K329" s="2">
        <v>39821</v>
      </c>
      <c r="L329" s="2">
        <v>41280</v>
      </c>
      <c r="M329" t="s">
        <v>32</v>
      </c>
      <c r="N329">
        <v>51</v>
      </c>
      <c r="O329" t="s">
        <v>23</v>
      </c>
      <c r="P329">
        <v>4</v>
      </c>
      <c r="Q329" s="1">
        <v>29.77</v>
      </c>
      <c r="R329" s="2">
        <f t="shared" si="20"/>
        <v>1459</v>
      </c>
      <c r="S329" s="1">
        <f t="shared" si="21"/>
        <v>3.6638959343060198</v>
      </c>
      <c r="T329" t="str">
        <f t="shared" si="22"/>
        <v>Expert</v>
      </c>
      <c r="U329" t="str">
        <f t="shared" si="23"/>
        <v>Low Impact</v>
      </c>
    </row>
    <row r="330" spans="1:21" x14ac:dyDescent="0.3">
      <c r="A330" t="s">
        <v>2016</v>
      </c>
      <c r="B330">
        <v>51</v>
      </c>
      <c r="C330" t="s">
        <v>18</v>
      </c>
      <c r="D330" t="s">
        <v>28</v>
      </c>
      <c r="E330" t="s">
        <v>59</v>
      </c>
      <c r="F330" t="s">
        <v>77</v>
      </c>
      <c r="G330">
        <v>25</v>
      </c>
      <c r="H330" t="s">
        <v>22</v>
      </c>
      <c r="I330" t="s">
        <v>31</v>
      </c>
      <c r="J330" t="s">
        <v>23</v>
      </c>
      <c r="K330" s="2">
        <v>47408</v>
      </c>
      <c r="L330" s="2">
        <v>48337</v>
      </c>
      <c r="M330" t="s">
        <v>32</v>
      </c>
      <c r="N330">
        <v>42</v>
      </c>
      <c r="O330" t="s">
        <v>23</v>
      </c>
      <c r="P330">
        <v>7</v>
      </c>
      <c r="Q330" s="1">
        <v>29.75</v>
      </c>
      <c r="R330" s="2">
        <f t="shared" si="20"/>
        <v>929</v>
      </c>
      <c r="S330" s="1">
        <f t="shared" si="21"/>
        <v>1.9595848801889977</v>
      </c>
      <c r="T330" t="str">
        <f t="shared" si="22"/>
        <v>Expert</v>
      </c>
      <c r="U330" t="str">
        <f t="shared" si="23"/>
        <v>Low Impact</v>
      </c>
    </row>
    <row r="331" spans="1:21" x14ac:dyDescent="0.3">
      <c r="A331" t="s">
        <v>619</v>
      </c>
      <c r="B331">
        <v>42</v>
      </c>
      <c r="C331" t="s">
        <v>18</v>
      </c>
      <c r="D331" t="s">
        <v>28</v>
      </c>
      <c r="E331" t="s">
        <v>35</v>
      </c>
      <c r="F331" t="s">
        <v>132</v>
      </c>
      <c r="G331">
        <v>16</v>
      </c>
      <c r="H331" t="s">
        <v>22</v>
      </c>
      <c r="I331" t="s">
        <v>37</v>
      </c>
      <c r="J331" t="s">
        <v>25</v>
      </c>
      <c r="K331" s="2">
        <v>30136</v>
      </c>
      <c r="L331" s="2">
        <v>25512</v>
      </c>
      <c r="M331" t="s">
        <v>38</v>
      </c>
      <c r="N331">
        <v>41</v>
      </c>
      <c r="O331" t="s">
        <v>23</v>
      </c>
      <c r="P331">
        <v>8</v>
      </c>
      <c r="Q331" s="1">
        <v>29.73</v>
      </c>
      <c r="R331" s="2">
        <f t="shared" si="20"/>
        <v>-4624</v>
      </c>
      <c r="S331" s="1">
        <f t="shared" si="21"/>
        <v>-15.343774887178126</v>
      </c>
      <c r="T331" t="str">
        <f t="shared" si="22"/>
        <v>Expert</v>
      </c>
      <c r="U331" t="str">
        <f t="shared" si="23"/>
        <v>Medium Impact</v>
      </c>
    </row>
    <row r="332" spans="1:21" x14ac:dyDescent="0.3">
      <c r="A332" t="s">
        <v>617</v>
      </c>
      <c r="B332">
        <v>46</v>
      </c>
      <c r="C332" t="s">
        <v>54</v>
      </c>
      <c r="D332" t="s">
        <v>34</v>
      </c>
      <c r="E332" t="s">
        <v>44</v>
      </c>
      <c r="F332" t="s">
        <v>45</v>
      </c>
      <c r="G332">
        <v>20</v>
      </c>
      <c r="H332" t="s">
        <v>22</v>
      </c>
      <c r="I332" t="s">
        <v>31</v>
      </c>
      <c r="J332" t="s">
        <v>25</v>
      </c>
      <c r="K332" s="2">
        <v>62828</v>
      </c>
      <c r="L332" s="2">
        <v>63599</v>
      </c>
      <c r="M332" t="s">
        <v>32</v>
      </c>
      <c r="N332">
        <v>47</v>
      </c>
      <c r="O332" t="s">
        <v>23</v>
      </c>
      <c r="P332">
        <v>9</v>
      </c>
      <c r="Q332" s="1">
        <v>29.71</v>
      </c>
      <c r="R332" s="2">
        <f t="shared" si="20"/>
        <v>771</v>
      </c>
      <c r="S332" s="1">
        <f t="shared" si="21"/>
        <v>1.2271598650283313</v>
      </c>
      <c r="T332" t="str">
        <f t="shared" si="22"/>
        <v>Expert</v>
      </c>
      <c r="U332" t="str">
        <f t="shared" si="23"/>
        <v>Low Impact</v>
      </c>
    </row>
    <row r="333" spans="1:21" x14ac:dyDescent="0.3">
      <c r="A333" t="s">
        <v>810</v>
      </c>
      <c r="B333">
        <v>38</v>
      </c>
      <c r="C333" t="s">
        <v>27</v>
      </c>
      <c r="D333" t="s">
        <v>40</v>
      </c>
      <c r="E333" t="s">
        <v>35</v>
      </c>
      <c r="F333" t="s">
        <v>98</v>
      </c>
      <c r="G333">
        <v>15</v>
      </c>
      <c r="H333" t="s">
        <v>22</v>
      </c>
      <c r="I333" t="s">
        <v>22</v>
      </c>
      <c r="J333" t="s">
        <v>23</v>
      </c>
      <c r="K333" s="2">
        <v>54495</v>
      </c>
      <c r="L333" s="2">
        <v>62776</v>
      </c>
      <c r="M333" t="s">
        <v>24</v>
      </c>
      <c r="N333">
        <v>45</v>
      </c>
      <c r="O333" t="s">
        <v>25</v>
      </c>
      <c r="P333">
        <v>4</v>
      </c>
      <c r="Q333" s="1">
        <v>29.71</v>
      </c>
      <c r="R333" s="2">
        <f t="shared" si="20"/>
        <v>8281</v>
      </c>
      <c r="S333" s="1">
        <f t="shared" si="21"/>
        <v>15.195889531149648</v>
      </c>
      <c r="T333" t="str">
        <f t="shared" si="22"/>
        <v>Expert</v>
      </c>
      <c r="U333" t="str">
        <f t="shared" si="23"/>
        <v>High Impact</v>
      </c>
    </row>
    <row r="334" spans="1:21" x14ac:dyDescent="0.3">
      <c r="A334" t="s">
        <v>186</v>
      </c>
      <c r="B334">
        <v>22</v>
      </c>
      <c r="C334" t="s">
        <v>27</v>
      </c>
      <c r="D334" t="s">
        <v>19</v>
      </c>
      <c r="E334" t="s">
        <v>29</v>
      </c>
      <c r="F334" t="s">
        <v>102</v>
      </c>
      <c r="G334">
        <v>0</v>
      </c>
      <c r="H334" t="s">
        <v>31</v>
      </c>
      <c r="I334" t="s">
        <v>37</v>
      </c>
      <c r="J334" t="s">
        <v>23</v>
      </c>
      <c r="K334" s="2">
        <v>35951</v>
      </c>
      <c r="L334" s="2">
        <v>38367</v>
      </c>
      <c r="M334" t="s">
        <v>38</v>
      </c>
      <c r="N334">
        <v>39</v>
      </c>
      <c r="O334" t="s">
        <v>25</v>
      </c>
      <c r="P334">
        <v>8</v>
      </c>
      <c r="Q334" s="1">
        <v>29.68</v>
      </c>
      <c r="R334" s="2">
        <f t="shared" si="20"/>
        <v>2416</v>
      </c>
      <c r="S334" s="1">
        <f t="shared" si="21"/>
        <v>6.7202581291201904</v>
      </c>
      <c r="T334" t="str">
        <f t="shared" si="22"/>
        <v>Beginner</v>
      </c>
      <c r="U334" t="str">
        <f t="shared" si="23"/>
        <v>Medium Impact</v>
      </c>
    </row>
    <row r="335" spans="1:21" x14ac:dyDescent="0.3">
      <c r="A335" t="s">
        <v>1821</v>
      </c>
      <c r="B335">
        <v>57</v>
      </c>
      <c r="C335" t="s">
        <v>54</v>
      </c>
      <c r="D335" t="s">
        <v>34</v>
      </c>
      <c r="E335" t="s">
        <v>41</v>
      </c>
      <c r="F335" t="s">
        <v>42</v>
      </c>
      <c r="G335">
        <v>35</v>
      </c>
      <c r="H335" t="s">
        <v>22</v>
      </c>
      <c r="I335" t="s">
        <v>22</v>
      </c>
      <c r="J335" t="s">
        <v>23</v>
      </c>
      <c r="K335" s="2">
        <v>52787</v>
      </c>
      <c r="L335" s="2">
        <v>62031</v>
      </c>
      <c r="M335" t="s">
        <v>24</v>
      </c>
      <c r="N335">
        <v>48</v>
      </c>
      <c r="O335" t="s">
        <v>25</v>
      </c>
      <c r="P335">
        <v>9</v>
      </c>
      <c r="Q335" s="1">
        <v>29.64</v>
      </c>
      <c r="R335" s="2">
        <f t="shared" si="20"/>
        <v>9244</v>
      </c>
      <c r="S335" s="1">
        <f t="shared" si="21"/>
        <v>17.511887396518084</v>
      </c>
      <c r="T335" t="str">
        <f t="shared" si="22"/>
        <v>Expert</v>
      </c>
      <c r="U335" t="str">
        <f t="shared" si="23"/>
        <v>High Impact</v>
      </c>
    </row>
    <row r="336" spans="1:21" x14ac:dyDescent="0.3">
      <c r="A336" t="s">
        <v>816</v>
      </c>
      <c r="B336">
        <v>54</v>
      </c>
      <c r="C336" t="s">
        <v>54</v>
      </c>
      <c r="D336" t="s">
        <v>34</v>
      </c>
      <c r="E336" t="s">
        <v>29</v>
      </c>
      <c r="F336" t="s">
        <v>102</v>
      </c>
      <c r="G336">
        <v>29</v>
      </c>
      <c r="H336" t="s">
        <v>31</v>
      </c>
      <c r="I336" t="s">
        <v>31</v>
      </c>
      <c r="J336" t="s">
        <v>23</v>
      </c>
      <c r="K336" s="2">
        <v>111502</v>
      </c>
      <c r="L336" s="2">
        <v>119649</v>
      </c>
      <c r="M336" t="s">
        <v>32</v>
      </c>
      <c r="N336">
        <v>52</v>
      </c>
      <c r="O336" t="s">
        <v>25</v>
      </c>
      <c r="P336">
        <v>6</v>
      </c>
      <c r="Q336" s="1">
        <v>29.58</v>
      </c>
      <c r="R336" s="2">
        <f t="shared" si="20"/>
        <v>8147</v>
      </c>
      <c r="S336" s="1">
        <f t="shared" si="21"/>
        <v>7.3065953973919751</v>
      </c>
      <c r="T336" t="str">
        <f t="shared" si="22"/>
        <v>Expert</v>
      </c>
      <c r="U336" t="str">
        <f t="shared" si="23"/>
        <v>Low Impact</v>
      </c>
    </row>
    <row r="337" spans="1:21" x14ac:dyDescent="0.3">
      <c r="A337" t="s">
        <v>253</v>
      </c>
      <c r="B337">
        <v>47</v>
      </c>
      <c r="C337" t="s">
        <v>54</v>
      </c>
      <c r="D337" t="s">
        <v>28</v>
      </c>
      <c r="E337" t="s">
        <v>59</v>
      </c>
      <c r="F337" t="s">
        <v>60</v>
      </c>
      <c r="G337">
        <v>25</v>
      </c>
      <c r="H337" t="s">
        <v>22</v>
      </c>
      <c r="I337" t="s">
        <v>22</v>
      </c>
      <c r="J337" t="s">
        <v>23</v>
      </c>
      <c r="K337" s="2">
        <v>57376</v>
      </c>
      <c r="L337" s="2">
        <v>78855</v>
      </c>
      <c r="M337" t="s">
        <v>24</v>
      </c>
      <c r="N337">
        <v>39</v>
      </c>
      <c r="O337" t="s">
        <v>23</v>
      </c>
      <c r="P337">
        <v>7</v>
      </c>
      <c r="Q337" s="1">
        <v>29.57</v>
      </c>
      <c r="R337" s="2">
        <f t="shared" si="20"/>
        <v>21479</v>
      </c>
      <c r="S337" s="1">
        <f t="shared" si="21"/>
        <v>37.435513106525377</v>
      </c>
      <c r="T337" t="str">
        <f t="shared" si="22"/>
        <v>Expert</v>
      </c>
      <c r="U337" t="str">
        <f t="shared" si="23"/>
        <v>High Impact</v>
      </c>
    </row>
    <row r="338" spans="1:21" x14ac:dyDescent="0.3">
      <c r="A338" t="s">
        <v>446</v>
      </c>
      <c r="B338">
        <v>43</v>
      </c>
      <c r="C338" t="s">
        <v>54</v>
      </c>
      <c r="D338" t="s">
        <v>28</v>
      </c>
      <c r="E338" t="s">
        <v>41</v>
      </c>
      <c r="F338" t="s">
        <v>49</v>
      </c>
      <c r="G338">
        <v>21</v>
      </c>
      <c r="H338" t="s">
        <v>37</v>
      </c>
      <c r="I338" t="s">
        <v>22</v>
      </c>
      <c r="J338" t="s">
        <v>25</v>
      </c>
      <c r="K338" s="2">
        <v>83330</v>
      </c>
      <c r="L338" s="2">
        <v>99315</v>
      </c>
      <c r="M338" t="s">
        <v>32</v>
      </c>
      <c r="N338">
        <v>53</v>
      </c>
      <c r="O338" t="s">
        <v>23</v>
      </c>
      <c r="P338">
        <v>3</v>
      </c>
      <c r="Q338" s="1">
        <v>29.56</v>
      </c>
      <c r="R338" s="2">
        <f t="shared" si="20"/>
        <v>15985</v>
      </c>
      <c r="S338" s="1">
        <f t="shared" si="21"/>
        <v>19.182767310692427</v>
      </c>
      <c r="T338" t="str">
        <f t="shared" si="22"/>
        <v>Expert</v>
      </c>
      <c r="U338" t="str">
        <f t="shared" si="23"/>
        <v>Low Impact</v>
      </c>
    </row>
    <row r="339" spans="1:21" x14ac:dyDescent="0.3">
      <c r="A339" t="s">
        <v>1613</v>
      </c>
      <c r="B339">
        <v>44</v>
      </c>
      <c r="C339" t="s">
        <v>18</v>
      </c>
      <c r="D339" t="s">
        <v>40</v>
      </c>
      <c r="E339" t="s">
        <v>44</v>
      </c>
      <c r="F339" t="s">
        <v>57</v>
      </c>
      <c r="G339">
        <v>18</v>
      </c>
      <c r="H339" t="s">
        <v>37</v>
      </c>
      <c r="I339" t="s">
        <v>22</v>
      </c>
      <c r="J339" t="s">
        <v>23</v>
      </c>
      <c r="K339" s="2">
        <v>88806</v>
      </c>
      <c r="L339" s="2">
        <v>85656</v>
      </c>
      <c r="M339" t="s">
        <v>32</v>
      </c>
      <c r="N339">
        <v>47</v>
      </c>
      <c r="O339" t="s">
        <v>25</v>
      </c>
      <c r="P339">
        <v>6</v>
      </c>
      <c r="Q339" s="1">
        <v>29.52</v>
      </c>
      <c r="R339" s="2">
        <f t="shared" si="20"/>
        <v>-3150</v>
      </c>
      <c r="S339" s="1">
        <f t="shared" si="21"/>
        <v>-3.5470576312411324</v>
      </c>
      <c r="T339" t="str">
        <f t="shared" si="22"/>
        <v>Expert</v>
      </c>
      <c r="U339" t="str">
        <f t="shared" si="23"/>
        <v>Low Impact</v>
      </c>
    </row>
    <row r="340" spans="1:21" x14ac:dyDescent="0.3">
      <c r="A340" t="s">
        <v>1891</v>
      </c>
      <c r="B340">
        <v>39</v>
      </c>
      <c r="C340" t="s">
        <v>18</v>
      </c>
      <c r="D340" t="s">
        <v>28</v>
      </c>
      <c r="E340" t="s">
        <v>29</v>
      </c>
      <c r="F340" t="s">
        <v>102</v>
      </c>
      <c r="G340">
        <v>17</v>
      </c>
      <c r="H340" t="s">
        <v>31</v>
      </c>
      <c r="I340" t="s">
        <v>37</v>
      </c>
      <c r="J340" t="s">
        <v>25</v>
      </c>
      <c r="K340" s="2">
        <v>57044</v>
      </c>
      <c r="L340" s="2">
        <v>61204</v>
      </c>
      <c r="M340" t="s">
        <v>38</v>
      </c>
      <c r="N340">
        <v>50</v>
      </c>
      <c r="O340" t="s">
        <v>23</v>
      </c>
      <c r="P340">
        <v>6</v>
      </c>
      <c r="Q340" s="1">
        <v>29.52</v>
      </c>
      <c r="R340" s="2">
        <f t="shared" si="20"/>
        <v>4160</v>
      </c>
      <c r="S340" s="1">
        <f t="shared" si="21"/>
        <v>7.292616226071102</v>
      </c>
      <c r="T340" t="str">
        <f t="shared" si="22"/>
        <v>Expert</v>
      </c>
      <c r="U340" t="str">
        <f t="shared" si="23"/>
        <v>Medium Impact</v>
      </c>
    </row>
    <row r="341" spans="1:21" x14ac:dyDescent="0.3">
      <c r="A341" t="s">
        <v>358</v>
      </c>
      <c r="B341">
        <v>37</v>
      </c>
      <c r="C341" t="s">
        <v>54</v>
      </c>
      <c r="D341" t="s">
        <v>19</v>
      </c>
      <c r="E341" t="s">
        <v>35</v>
      </c>
      <c r="F341" t="s">
        <v>98</v>
      </c>
      <c r="G341">
        <v>11</v>
      </c>
      <c r="H341" t="s">
        <v>22</v>
      </c>
      <c r="I341" t="s">
        <v>22</v>
      </c>
      <c r="J341" t="s">
        <v>23</v>
      </c>
      <c r="K341" s="2">
        <v>41138</v>
      </c>
      <c r="L341" s="2">
        <v>56428</v>
      </c>
      <c r="M341" t="s">
        <v>38</v>
      </c>
      <c r="N341">
        <v>47</v>
      </c>
      <c r="O341" t="s">
        <v>25</v>
      </c>
      <c r="P341">
        <v>7</v>
      </c>
      <c r="Q341" s="1">
        <v>29.51</v>
      </c>
      <c r="R341" s="2">
        <f t="shared" si="20"/>
        <v>15290</v>
      </c>
      <c r="S341" s="1">
        <f t="shared" si="21"/>
        <v>37.167582284019637</v>
      </c>
      <c r="T341" t="str">
        <f t="shared" si="22"/>
        <v>Intermediate</v>
      </c>
      <c r="U341" t="str">
        <f t="shared" si="23"/>
        <v>Medium Impact</v>
      </c>
    </row>
    <row r="342" spans="1:21" x14ac:dyDescent="0.3">
      <c r="A342" t="s">
        <v>650</v>
      </c>
      <c r="B342">
        <v>43</v>
      </c>
      <c r="C342" t="s">
        <v>27</v>
      </c>
      <c r="D342" t="s">
        <v>40</v>
      </c>
      <c r="E342" t="s">
        <v>41</v>
      </c>
      <c r="F342" t="s">
        <v>55</v>
      </c>
      <c r="G342">
        <v>17</v>
      </c>
      <c r="H342" t="s">
        <v>37</v>
      </c>
      <c r="I342" t="s">
        <v>37</v>
      </c>
      <c r="J342" t="s">
        <v>25</v>
      </c>
      <c r="K342" s="2">
        <v>50884</v>
      </c>
      <c r="L342" s="2">
        <v>59358</v>
      </c>
      <c r="M342" t="s">
        <v>38</v>
      </c>
      <c r="N342">
        <v>48</v>
      </c>
      <c r="O342" t="s">
        <v>23</v>
      </c>
      <c r="P342">
        <v>4</v>
      </c>
      <c r="Q342" s="1">
        <v>29.46</v>
      </c>
      <c r="R342" s="2">
        <f t="shared" si="20"/>
        <v>8474</v>
      </c>
      <c r="S342" s="1">
        <f t="shared" si="21"/>
        <v>16.653564971307286</v>
      </c>
      <c r="T342" t="str">
        <f t="shared" si="22"/>
        <v>Expert</v>
      </c>
      <c r="U342" t="str">
        <f t="shared" si="23"/>
        <v>Medium Impact</v>
      </c>
    </row>
    <row r="343" spans="1:21" x14ac:dyDescent="0.3">
      <c r="A343" t="s">
        <v>908</v>
      </c>
      <c r="B343">
        <v>33</v>
      </c>
      <c r="C343" t="s">
        <v>54</v>
      </c>
      <c r="D343" t="s">
        <v>34</v>
      </c>
      <c r="E343" t="s">
        <v>29</v>
      </c>
      <c r="F343" t="s">
        <v>104</v>
      </c>
      <c r="G343">
        <v>11</v>
      </c>
      <c r="H343" t="s">
        <v>22</v>
      </c>
      <c r="I343" t="s">
        <v>31</v>
      </c>
      <c r="J343" t="s">
        <v>23</v>
      </c>
      <c r="K343" s="2">
        <v>118095</v>
      </c>
      <c r="L343" s="2">
        <v>120161</v>
      </c>
      <c r="M343" t="s">
        <v>32</v>
      </c>
      <c r="N343">
        <v>51</v>
      </c>
      <c r="O343" t="s">
        <v>25</v>
      </c>
      <c r="P343">
        <v>8</v>
      </c>
      <c r="Q343" s="1">
        <v>29.44</v>
      </c>
      <c r="R343" s="2">
        <f t="shared" si="20"/>
        <v>2066</v>
      </c>
      <c r="S343" s="1">
        <f t="shared" si="21"/>
        <v>1.7494390109657481</v>
      </c>
      <c r="T343" t="str">
        <f t="shared" si="22"/>
        <v>Intermediate</v>
      </c>
      <c r="U343" t="str">
        <f t="shared" si="23"/>
        <v>Low Impact</v>
      </c>
    </row>
    <row r="344" spans="1:21" x14ac:dyDescent="0.3">
      <c r="A344" t="s">
        <v>1553</v>
      </c>
      <c r="B344">
        <v>47</v>
      </c>
      <c r="C344" t="s">
        <v>18</v>
      </c>
      <c r="D344" t="s">
        <v>40</v>
      </c>
      <c r="E344" t="s">
        <v>35</v>
      </c>
      <c r="F344" t="s">
        <v>98</v>
      </c>
      <c r="G344">
        <v>21</v>
      </c>
      <c r="H344" t="s">
        <v>22</v>
      </c>
      <c r="I344" t="s">
        <v>22</v>
      </c>
      <c r="J344" t="s">
        <v>23</v>
      </c>
      <c r="K344" s="2">
        <v>78542</v>
      </c>
      <c r="L344" s="2">
        <v>98309</v>
      </c>
      <c r="M344" t="s">
        <v>24</v>
      </c>
      <c r="N344">
        <v>42</v>
      </c>
      <c r="O344" t="s">
        <v>25</v>
      </c>
      <c r="P344">
        <v>6</v>
      </c>
      <c r="Q344" s="1">
        <v>29.4</v>
      </c>
      <c r="R344" s="2">
        <f t="shared" si="20"/>
        <v>19767</v>
      </c>
      <c r="S344" s="1">
        <f t="shared" si="21"/>
        <v>25.167426345140182</v>
      </c>
      <c r="T344" t="str">
        <f t="shared" si="22"/>
        <v>Expert</v>
      </c>
      <c r="U344" t="str">
        <f t="shared" si="23"/>
        <v>High Impact</v>
      </c>
    </row>
    <row r="345" spans="1:21" x14ac:dyDescent="0.3">
      <c r="A345" t="s">
        <v>1784</v>
      </c>
      <c r="B345">
        <v>55</v>
      </c>
      <c r="C345" t="s">
        <v>54</v>
      </c>
      <c r="D345" t="s">
        <v>34</v>
      </c>
      <c r="E345" t="s">
        <v>41</v>
      </c>
      <c r="F345" t="s">
        <v>42</v>
      </c>
      <c r="G345">
        <v>33</v>
      </c>
      <c r="H345" t="s">
        <v>22</v>
      </c>
      <c r="I345" t="s">
        <v>37</v>
      </c>
      <c r="J345" t="s">
        <v>25</v>
      </c>
      <c r="K345" s="2">
        <v>54111</v>
      </c>
      <c r="L345" s="2">
        <v>72296</v>
      </c>
      <c r="M345" t="s">
        <v>38</v>
      </c>
      <c r="N345">
        <v>35</v>
      </c>
      <c r="O345" t="s">
        <v>25</v>
      </c>
      <c r="P345">
        <v>9</v>
      </c>
      <c r="Q345" s="1">
        <v>29.39</v>
      </c>
      <c r="R345" s="2">
        <f t="shared" si="20"/>
        <v>18185</v>
      </c>
      <c r="S345" s="1">
        <f t="shared" si="21"/>
        <v>33.606845188593816</v>
      </c>
      <c r="T345" t="str">
        <f t="shared" si="22"/>
        <v>Expert</v>
      </c>
      <c r="U345" t="str">
        <f t="shared" si="23"/>
        <v>Medium Impact</v>
      </c>
    </row>
    <row r="346" spans="1:21" x14ac:dyDescent="0.3">
      <c r="A346" t="s">
        <v>147</v>
      </c>
      <c r="B346">
        <v>49</v>
      </c>
      <c r="C346" t="s">
        <v>27</v>
      </c>
      <c r="D346" t="s">
        <v>28</v>
      </c>
      <c r="E346" t="s">
        <v>59</v>
      </c>
      <c r="F346" t="s">
        <v>77</v>
      </c>
      <c r="G346">
        <v>23</v>
      </c>
      <c r="H346" t="s">
        <v>37</v>
      </c>
      <c r="I346" t="s">
        <v>31</v>
      </c>
      <c r="J346" t="s">
        <v>25</v>
      </c>
      <c r="K346" s="2">
        <v>57532</v>
      </c>
      <c r="L346" s="2">
        <v>67501</v>
      </c>
      <c r="M346" t="s">
        <v>32</v>
      </c>
      <c r="N346">
        <v>52</v>
      </c>
      <c r="O346" t="s">
        <v>25</v>
      </c>
      <c r="P346">
        <v>5</v>
      </c>
      <c r="Q346" s="1">
        <v>29.35</v>
      </c>
      <c r="R346" s="2">
        <f t="shared" si="20"/>
        <v>9969</v>
      </c>
      <c r="S346" s="1">
        <f t="shared" si="21"/>
        <v>17.327748035875686</v>
      </c>
      <c r="T346" t="str">
        <f t="shared" si="22"/>
        <v>Expert</v>
      </c>
      <c r="U346" t="str">
        <f t="shared" si="23"/>
        <v>Low Impact</v>
      </c>
    </row>
    <row r="347" spans="1:21" x14ac:dyDescent="0.3">
      <c r="A347" t="s">
        <v>648</v>
      </c>
      <c r="B347">
        <v>43</v>
      </c>
      <c r="C347" t="s">
        <v>27</v>
      </c>
      <c r="D347" t="s">
        <v>34</v>
      </c>
      <c r="E347" t="s">
        <v>59</v>
      </c>
      <c r="F347" t="s">
        <v>60</v>
      </c>
      <c r="G347">
        <v>20</v>
      </c>
      <c r="H347" t="s">
        <v>31</v>
      </c>
      <c r="I347" t="s">
        <v>37</v>
      </c>
      <c r="J347" t="s">
        <v>25</v>
      </c>
      <c r="K347" s="2">
        <v>82198</v>
      </c>
      <c r="L347" s="2">
        <v>87665</v>
      </c>
      <c r="M347" t="s">
        <v>38</v>
      </c>
      <c r="N347">
        <v>40</v>
      </c>
      <c r="O347" t="s">
        <v>23</v>
      </c>
      <c r="P347">
        <v>6</v>
      </c>
      <c r="Q347" s="1">
        <v>29.3</v>
      </c>
      <c r="R347" s="2">
        <f t="shared" si="20"/>
        <v>5467</v>
      </c>
      <c r="S347" s="1">
        <f t="shared" si="21"/>
        <v>6.65101340665223</v>
      </c>
      <c r="T347" t="str">
        <f t="shared" si="22"/>
        <v>Expert</v>
      </c>
      <c r="U347" t="str">
        <f t="shared" si="23"/>
        <v>Medium Impact</v>
      </c>
    </row>
    <row r="348" spans="1:21" x14ac:dyDescent="0.3">
      <c r="A348" t="s">
        <v>1456</v>
      </c>
      <c r="B348">
        <v>55</v>
      </c>
      <c r="C348" t="s">
        <v>18</v>
      </c>
      <c r="D348" t="s">
        <v>28</v>
      </c>
      <c r="E348" t="s">
        <v>35</v>
      </c>
      <c r="F348" t="s">
        <v>36</v>
      </c>
      <c r="G348">
        <v>29</v>
      </c>
      <c r="H348" t="s">
        <v>22</v>
      </c>
      <c r="I348" t="s">
        <v>37</v>
      </c>
      <c r="J348" t="s">
        <v>25</v>
      </c>
      <c r="K348" s="2">
        <v>38252</v>
      </c>
      <c r="L348" s="2">
        <v>48424</v>
      </c>
      <c r="M348" t="s">
        <v>38</v>
      </c>
      <c r="N348">
        <v>45</v>
      </c>
      <c r="O348" t="s">
        <v>25</v>
      </c>
      <c r="P348">
        <v>6</v>
      </c>
      <c r="Q348" s="1">
        <v>29.3</v>
      </c>
      <c r="R348" s="2">
        <f t="shared" si="20"/>
        <v>10172</v>
      </c>
      <c r="S348" s="1">
        <f t="shared" si="21"/>
        <v>26.592073617065775</v>
      </c>
      <c r="T348" t="str">
        <f t="shared" si="22"/>
        <v>Expert</v>
      </c>
      <c r="U348" t="str">
        <f t="shared" si="23"/>
        <v>Medium Impact</v>
      </c>
    </row>
    <row r="349" spans="1:21" x14ac:dyDescent="0.3">
      <c r="A349" t="s">
        <v>120</v>
      </c>
      <c r="B349">
        <v>56</v>
      </c>
      <c r="C349" t="s">
        <v>27</v>
      </c>
      <c r="D349" t="s">
        <v>28</v>
      </c>
      <c r="E349" t="s">
        <v>20</v>
      </c>
      <c r="F349" t="s">
        <v>118</v>
      </c>
      <c r="G349">
        <v>31</v>
      </c>
      <c r="H349" t="s">
        <v>31</v>
      </c>
      <c r="I349" t="s">
        <v>37</v>
      </c>
      <c r="J349" t="s">
        <v>25</v>
      </c>
      <c r="K349" s="2">
        <v>34000</v>
      </c>
      <c r="L349" s="2">
        <v>36437</v>
      </c>
      <c r="M349" t="s">
        <v>38</v>
      </c>
      <c r="N349">
        <v>46</v>
      </c>
      <c r="O349" t="s">
        <v>25</v>
      </c>
      <c r="P349">
        <v>5</v>
      </c>
      <c r="Q349" s="1">
        <v>29.24</v>
      </c>
      <c r="R349" s="2">
        <f t="shared" si="20"/>
        <v>2437</v>
      </c>
      <c r="S349" s="1">
        <f t="shared" si="21"/>
        <v>7.1676470588235297</v>
      </c>
      <c r="T349" t="str">
        <f t="shared" si="22"/>
        <v>Expert</v>
      </c>
      <c r="U349" t="str">
        <f t="shared" si="23"/>
        <v>Medium Impact</v>
      </c>
    </row>
    <row r="350" spans="1:21" x14ac:dyDescent="0.3">
      <c r="A350" t="s">
        <v>471</v>
      </c>
      <c r="B350">
        <v>59</v>
      </c>
      <c r="C350" t="s">
        <v>18</v>
      </c>
      <c r="D350" t="s">
        <v>40</v>
      </c>
      <c r="E350" t="s">
        <v>51</v>
      </c>
      <c r="F350" t="s">
        <v>75</v>
      </c>
      <c r="G350">
        <v>35</v>
      </c>
      <c r="H350" t="s">
        <v>37</v>
      </c>
      <c r="I350" t="s">
        <v>22</v>
      </c>
      <c r="J350" t="s">
        <v>23</v>
      </c>
      <c r="K350" s="2">
        <v>36031</v>
      </c>
      <c r="L350" s="2">
        <v>43142</v>
      </c>
      <c r="M350" t="s">
        <v>32</v>
      </c>
      <c r="N350">
        <v>43</v>
      </c>
      <c r="O350" t="s">
        <v>25</v>
      </c>
      <c r="P350">
        <v>8</v>
      </c>
      <c r="Q350" s="1">
        <v>29.2</v>
      </c>
      <c r="R350" s="2">
        <f t="shared" si="20"/>
        <v>7111</v>
      </c>
      <c r="S350" s="1">
        <f t="shared" si="21"/>
        <v>19.735783075684825</v>
      </c>
      <c r="T350" t="str">
        <f t="shared" si="22"/>
        <v>Expert</v>
      </c>
      <c r="U350" t="str">
        <f t="shared" si="23"/>
        <v>Low Impact</v>
      </c>
    </row>
    <row r="351" spans="1:21" x14ac:dyDescent="0.3">
      <c r="A351" t="s">
        <v>1318</v>
      </c>
      <c r="B351">
        <v>35</v>
      </c>
      <c r="C351" t="s">
        <v>18</v>
      </c>
      <c r="D351" t="s">
        <v>34</v>
      </c>
      <c r="E351" t="s">
        <v>29</v>
      </c>
      <c r="F351" t="s">
        <v>104</v>
      </c>
      <c r="G351">
        <v>12</v>
      </c>
      <c r="H351" t="s">
        <v>22</v>
      </c>
      <c r="I351" t="s">
        <v>22</v>
      </c>
      <c r="J351" t="s">
        <v>23</v>
      </c>
      <c r="K351" s="2">
        <v>109064</v>
      </c>
      <c r="L351" s="2">
        <v>115654</v>
      </c>
      <c r="M351" t="s">
        <v>38</v>
      </c>
      <c r="N351">
        <v>50</v>
      </c>
      <c r="O351" t="s">
        <v>23</v>
      </c>
      <c r="P351">
        <v>9</v>
      </c>
      <c r="Q351" s="1">
        <v>29.17</v>
      </c>
      <c r="R351" s="2">
        <f t="shared" si="20"/>
        <v>6590</v>
      </c>
      <c r="S351" s="1">
        <f t="shared" si="21"/>
        <v>6.0423237731973884</v>
      </c>
      <c r="T351" t="str">
        <f t="shared" si="22"/>
        <v>Intermediate</v>
      </c>
      <c r="U351" t="str">
        <f t="shared" si="23"/>
        <v>Medium Impact</v>
      </c>
    </row>
    <row r="352" spans="1:21" x14ac:dyDescent="0.3">
      <c r="A352" t="s">
        <v>1104</v>
      </c>
      <c r="B352">
        <v>53</v>
      </c>
      <c r="C352" t="s">
        <v>54</v>
      </c>
      <c r="D352" t="s">
        <v>40</v>
      </c>
      <c r="E352" t="s">
        <v>51</v>
      </c>
      <c r="F352" t="s">
        <v>52</v>
      </c>
      <c r="G352">
        <v>30</v>
      </c>
      <c r="H352" t="s">
        <v>31</v>
      </c>
      <c r="I352" t="s">
        <v>37</v>
      </c>
      <c r="J352" t="s">
        <v>23</v>
      </c>
      <c r="K352" s="2">
        <v>30453</v>
      </c>
      <c r="L352" s="2">
        <v>30407</v>
      </c>
      <c r="M352" t="s">
        <v>38</v>
      </c>
      <c r="N352">
        <v>35</v>
      </c>
      <c r="O352" t="s">
        <v>23</v>
      </c>
      <c r="P352">
        <v>5</v>
      </c>
      <c r="Q352" s="1">
        <v>29.15</v>
      </c>
      <c r="R352" s="2">
        <f t="shared" si="20"/>
        <v>-46</v>
      </c>
      <c r="S352" s="1">
        <f t="shared" si="21"/>
        <v>-0.15105244146717894</v>
      </c>
      <c r="T352" t="str">
        <f t="shared" si="22"/>
        <v>Expert</v>
      </c>
      <c r="U352" t="str">
        <f t="shared" si="23"/>
        <v>Medium Impact</v>
      </c>
    </row>
    <row r="353" spans="1:21" x14ac:dyDescent="0.3">
      <c r="A353" t="s">
        <v>267</v>
      </c>
      <c r="B353">
        <v>38</v>
      </c>
      <c r="C353" t="s">
        <v>54</v>
      </c>
      <c r="D353" t="s">
        <v>40</v>
      </c>
      <c r="E353" t="s">
        <v>44</v>
      </c>
      <c r="F353" t="s">
        <v>57</v>
      </c>
      <c r="G353">
        <v>15</v>
      </c>
      <c r="H353" t="s">
        <v>31</v>
      </c>
      <c r="I353" t="s">
        <v>22</v>
      </c>
      <c r="J353" t="s">
        <v>25</v>
      </c>
      <c r="K353" s="2">
        <v>42987</v>
      </c>
      <c r="L353" s="2">
        <v>40896</v>
      </c>
      <c r="M353" t="s">
        <v>32</v>
      </c>
      <c r="N353">
        <v>50</v>
      </c>
      <c r="O353" t="s">
        <v>23</v>
      </c>
      <c r="P353">
        <v>8</v>
      </c>
      <c r="Q353" s="1">
        <v>29.12</v>
      </c>
      <c r="R353" s="2">
        <f t="shared" si="20"/>
        <v>-2091</v>
      </c>
      <c r="S353" s="1">
        <f t="shared" si="21"/>
        <v>-4.8642612882964622</v>
      </c>
      <c r="T353" t="str">
        <f t="shared" si="22"/>
        <v>Expert</v>
      </c>
      <c r="U353" t="str">
        <f t="shared" si="23"/>
        <v>Low Impact</v>
      </c>
    </row>
    <row r="354" spans="1:21" x14ac:dyDescent="0.3">
      <c r="A354" t="s">
        <v>1121</v>
      </c>
      <c r="B354">
        <v>54</v>
      </c>
      <c r="C354" t="s">
        <v>18</v>
      </c>
      <c r="D354" t="s">
        <v>34</v>
      </c>
      <c r="E354" t="s">
        <v>29</v>
      </c>
      <c r="F354" t="s">
        <v>30</v>
      </c>
      <c r="G354">
        <v>32</v>
      </c>
      <c r="H354" t="s">
        <v>37</v>
      </c>
      <c r="I354" t="s">
        <v>37</v>
      </c>
      <c r="J354" t="s">
        <v>25</v>
      </c>
      <c r="K354" s="2">
        <v>40702</v>
      </c>
      <c r="L354" s="2">
        <v>42280</v>
      </c>
      <c r="M354" t="s">
        <v>38</v>
      </c>
      <c r="N354">
        <v>41</v>
      </c>
      <c r="O354" t="s">
        <v>25</v>
      </c>
      <c r="P354">
        <v>8</v>
      </c>
      <c r="Q354" s="1">
        <v>29.1</v>
      </c>
      <c r="R354" s="2">
        <f t="shared" si="20"/>
        <v>1578</v>
      </c>
      <c r="S354" s="1">
        <f t="shared" si="21"/>
        <v>3.8769593631762564</v>
      </c>
      <c r="T354" t="str">
        <f t="shared" si="22"/>
        <v>Expert</v>
      </c>
      <c r="U354" t="str">
        <f t="shared" si="23"/>
        <v>Medium Impact</v>
      </c>
    </row>
    <row r="355" spans="1:21" x14ac:dyDescent="0.3">
      <c r="A355" t="s">
        <v>569</v>
      </c>
      <c r="B355">
        <v>34</v>
      </c>
      <c r="C355" t="s">
        <v>27</v>
      </c>
      <c r="D355" t="s">
        <v>28</v>
      </c>
      <c r="E355" t="s">
        <v>44</v>
      </c>
      <c r="F355" t="s">
        <v>57</v>
      </c>
      <c r="G355">
        <v>11</v>
      </c>
      <c r="H355" t="s">
        <v>37</v>
      </c>
      <c r="I355" t="s">
        <v>31</v>
      </c>
      <c r="J355" t="s">
        <v>23</v>
      </c>
      <c r="K355" s="2">
        <v>87649</v>
      </c>
      <c r="L355" s="2">
        <v>102445</v>
      </c>
      <c r="M355" t="s">
        <v>32</v>
      </c>
      <c r="N355">
        <v>50</v>
      </c>
      <c r="O355" t="s">
        <v>25</v>
      </c>
      <c r="P355">
        <v>5</v>
      </c>
      <c r="Q355" s="1">
        <v>29.08</v>
      </c>
      <c r="R355" s="2">
        <f t="shared" si="20"/>
        <v>14796</v>
      </c>
      <c r="S355" s="1">
        <f t="shared" si="21"/>
        <v>16.880968408082236</v>
      </c>
      <c r="T355" t="str">
        <f t="shared" si="22"/>
        <v>Intermediate</v>
      </c>
      <c r="U355" t="str">
        <f t="shared" si="23"/>
        <v>Low Impact</v>
      </c>
    </row>
    <row r="356" spans="1:21" x14ac:dyDescent="0.3">
      <c r="A356" t="s">
        <v>70</v>
      </c>
      <c r="B356">
        <v>54</v>
      </c>
      <c r="C356" t="s">
        <v>54</v>
      </c>
      <c r="D356" t="s">
        <v>28</v>
      </c>
      <c r="E356" t="s">
        <v>29</v>
      </c>
      <c r="F356" t="s">
        <v>30</v>
      </c>
      <c r="G356">
        <v>32</v>
      </c>
      <c r="H356" t="s">
        <v>31</v>
      </c>
      <c r="I356" t="s">
        <v>37</v>
      </c>
      <c r="J356" t="s">
        <v>23</v>
      </c>
      <c r="K356" s="2">
        <v>96842</v>
      </c>
      <c r="L356" s="2">
        <v>98204</v>
      </c>
      <c r="M356" t="s">
        <v>38</v>
      </c>
      <c r="N356">
        <v>43</v>
      </c>
      <c r="O356" t="s">
        <v>25</v>
      </c>
      <c r="P356">
        <v>5</v>
      </c>
      <c r="Q356" s="1">
        <v>29.08</v>
      </c>
      <c r="R356" s="2">
        <f t="shared" si="20"/>
        <v>1362</v>
      </c>
      <c r="S356" s="1">
        <f t="shared" si="21"/>
        <v>1.4064145721897525</v>
      </c>
      <c r="T356" t="str">
        <f t="shared" si="22"/>
        <v>Expert</v>
      </c>
      <c r="U356" t="str">
        <f t="shared" si="23"/>
        <v>Medium Impact</v>
      </c>
    </row>
    <row r="357" spans="1:21" x14ac:dyDescent="0.3">
      <c r="A357" t="s">
        <v>1226</v>
      </c>
      <c r="B357">
        <v>48</v>
      </c>
      <c r="C357" t="s">
        <v>27</v>
      </c>
      <c r="D357" t="s">
        <v>40</v>
      </c>
      <c r="E357" t="s">
        <v>35</v>
      </c>
      <c r="F357" t="s">
        <v>36</v>
      </c>
      <c r="G357">
        <v>26</v>
      </c>
      <c r="H357" t="s">
        <v>31</v>
      </c>
      <c r="I357" t="s">
        <v>37</v>
      </c>
      <c r="J357" t="s">
        <v>23</v>
      </c>
      <c r="K357" s="2">
        <v>45893</v>
      </c>
      <c r="L357" s="2">
        <v>46760</v>
      </c>
      <c r="M357" t="s">
        <v>38</v>
      </c>
      <c r="N357">
        <v>43</v>
      </c>
      <c r="O357" t="s">
        <v>23</v>
      </c>
      <c r="P357">
        <v>6</v>
      </c>
      <c r="Q357" s="1">
        <v>29.08</v>
      </c>
      <c r="R357" s="2">
        <f t="shared" si="20"/>
        <v>867</v>
      </c>
      <c r="S357" s="1">
        <f t="shared" si="21"/>
        <v>1.8891769986708211</v>
      </c>
      <c r="T357" t="str">
        <f t="shared" si="22"/>
        <v>Expert</v>
      </c>
      <c r="U357" t="str">
        <f t="shared" si="23"/>
        <v>Medium Impact</v>
      </c>
    </row>
    <row r="358" spans="1:21" x14ac:dyDescent="0.3">
      <c r="A358" t="s">
        <v>1322</v>
      </c>
      <c r="B358">
        <v>42</v>
      </c>
      <c r="C358" t="s">
        <v>27</v>
      </c>
      <c r="D358" t="s">
        <v>40</v>
      </c>
      <c r="E358" t="s">
        <v>20</v>
      </c>
      <c r="F358" t="s">
        <v>118</v>
      </c>
      <c r="G358">
        <v>16</v>
      </c>
      <c r="H358" t="s">
        <v>37</v>
      </c>
      <c r="I358" t="s">
        <v>37</v>
      </c>
      <c r="J358" t="s">
        <v>23</v>
      </c>
      <c r="K358" s="2">
        <v>54714</v>
      </c>
      <c r="L358" s="2">
        <v>54590</v>
      </c>
      <c r="M358" t="s">
        <v>38</v>
      </c>
      <c r="N358">
        <v>40</v>
      </c>
      <c r="O358" t="s">
        <v>23</v>
      </c>
      <c r="P358">
        <v>7</v>
      </c>
      <c r="Q358" s="1">
        <v>29.02</v>
      </c>
      <c r="R358" s="2">
        <f t="shared" si="20"/>
        <v>-124</v>
      </c>
      <c r="S358" s="1">
        <f t="shared" si="21"/>
        <v>-0.22663303724823627</v>
      </c>
      <c r="T358" t="str">
        <f t="shared" si="22"/>
        <v>Expert</v>
      </c>
      <c r="U358" t="str">
        <f t="shared" si="23"/>
        <v>Medium Impact</v>
      </c>
    </row>
    <row r="359" spans="1:21" x14ac:dyDescent="0.3">
      <c r="A359" t="s">
        <v>488</v>
      </c>
      <c r="B359">
        <v>45</v>
      </c>
      <c r="C359" t="s">
        <v>27</v>
      </c>
      <c r="D359" t="s">
        <v>34</v>
      </c>
      <c r="E359" t="s">
        <v>59</v>
      </c>
      <c r="F359" t="s">
        <v>60</v>
      </c>
      <c r="G359">
        <v>19</v>
      </c>
      <c r="H359" t="s">
        <v>37</v>
      </c>
      <c r="I359" t="s">
        <v>37</v>
      </c>
      <c r="J359" t="s">
        <v>25</v>
      </c>
      <c r="K359" s="2">
        <v>85778</v>
      </c>
      <c r="L359" s="2">
        <v>81073</v>
      </c>
      <c r="M359" t="s">
        <v>38</v>
      </c>
      <c r="N359">
        <v>38</v>
      </c>
      <c r="O359" t="s">
        <v>23</v>
      </c>
      <c r="P359">
        <v>5</v>
      </c>
      <c r="Q359" s="1">
        <v>29.01</v>
      </c>
      <c r="R359" s="2">
        <f t="shared" si="20"/>
        <v>-4705</v>
      </c>
      <c r="S359" s="1">
        <f t="shared" si="21"/>
        <v>-5.4850894168667956</v>
      </c>
      <c r="T359" t="str">
        <f t="shared" si="22"/>
        <v>Expert</v>
      </c>
      <c r="U359" t="str">
        <f t="shared" si="23"/>
        <v>Medium Impact</v>
      </c>
    </row>
    <row r="360" spans="1:21" x14ac:dyDescent="0.3">
      <c r="A360" t="s">
        <v>583</v>
      </c>
      <c r="B360">
        <v>41</v>
      </c>
      <c r="C360" t="s">
        <v>54</v>
      </c>
      <c r="D360" t="s">
        <v>28</v>
      </c>
      <c r="E360" t="s">
        <v>59</v>
      </c>
      <c r="F360" t="s">
        <v>77</v>
      </c>
      <c r="G360">
        <v>16</v>
      </c>
      <c r="H360" t="s">
        <v>37</v>
      </c>
      <c r="I360" t="s">
        <v>22</v>
      </c>
      <c r="J360" t="s">
        <v>25</v>
      </c>
      <c r="K360" s="2">
        <v>57798</v>
      </c>
      <c r="L360" s="2">
        <v>57506</v>
      </c>
      <c r="M360" t="s">
        <v>32</v>
      </c>
      <c r="N360">
        <v>39</v>
      </c>
      <c r="O360" t="s">
        <v>23</v>
      </c>
      <c r="P360">
        <v>9</v>
      </c>
      <c r="Q360" s="1">
        <v>28.98</v>
      </c>
      <c r="R360" s="2">
        <f t="shared" si="20"/>
        <v>-292</v>
      </c>
      <c r="S360" s="1">
        <f t="shared" si="21"/>
        <v>-0.5052077926571853</v>
      </c>
      <c r="T360" t="str">
        <f t="shared" si="22"/>
        <v>Expert</v>
      </c>
      <c r="U360" t="str">
        <f t="shared" si="23"/>
        <v>Low Impact</v>
      </c>
    </row>
    <row r="361" spans="1:21" x14ac:dyDescent="0.3">
      <c r="A361" t="s">
        <v>1013</v>
      </c>
      <c r="B361">
        <v>47</v>
      </c>
      <c r="C361" t="s">
        <v>18</v>
      </c>
      <c r="D361" t="s">
        <v>28</v>
      </c>
      <c r="E361" t="s">
        <v>51</v>
      </c>
      <c r="F361" t="s">
        <v>52</v>
      </c>
      <c r="G361">
        <v>23</v>
      </c>
      <c r="H361" t="s">
        <v>22</v>
      </c>
      <c r="I361" t="s">
        <v>31</v>
      </c>
      <c r="J361" t="s">
        <v>25</v>
      </c>
      <c r="K361" s="2">
        <v>81638</v>
      </c>
      <c r="L361" s="2">
        <v>107543</v>
      </c>
      <c r="M361" t="s">
        <v>32</v>
      </c>
      <c r="N361">
        <v>46</v>
      </c>
      <c r="O361" t="s">
        <v>23</v>
      </c>
      <c r="P361">
        <v>7</v>
      </c>
      <c r="Q361" s="1">
        <v>28.97</v>
      </c>
      <c r="R361" s="2">
        <f t="shared" si="20"/>
        <v>25905</v>
      </c>
      <c r="S361" s="1">
        <f t="shared" si="21"/>
        <v>31.731546583698766</v>
      </c>
      <c r="T361" t="str">
        <f t="shared" si="22"/>
        <v>Expert</v>
      </c>
      <c r="U361" t="str">
        <f t="shared" si="23"/>
        <v>Low Impact</v>
      </c>
    </row>
    <row r="362" spans="1:21" x14ac:dyDescent="0.3">
      <c r="A362" t="s">
        <v>1074</v>
      </c>
      <c r="B362">
        <v>24</v>
      </c>
      <c r="C362" t="s">
        <v>27</v>
      </c>
      <c r="D362" t="s">
        <v>19</v>
      </c>
      <c r="E362" t="s">
        <v>29</v>
      </c>
      <c r="F362" t="s">
        <v>30</v>
      </c>
      <c r="G362">
        <v>0</v>
      </c>
      <c r="H362" t="s">
        <v>31</v>
      </c>
      <c r="I362" t="s">
        <v>22</v>
      </c>
      <c r="J362" t="s">
        <v>23</v>
      </c>
      <c r="K362" s="2">
        <v>72498</v>
      </c>
      <c r="L362" s="2">
        <v>74033</v>
      </c>
      <c r="M362" t="s">
        <v>32</v>
      </c>
      <c r="N362">
        <v>40</v>
      </c>
      <c r="O362" t="s">
        <v>23</v>
      </c>
      <c r="P362">
        <v>5</v>
      </c>
      <c r="Q362" s="1">
        <v>28.96</v>
      </c>
      <c r="R362" s="2">
        <f t="shared" si="20"/>
        <v>1535</v>
      </c>
      <c r="S362" s="1">
        <f t="shared" si="21"/>
        <v>2.1172997875803472</v>
      </c>
      <c r="T362" t="str">
        <f t="shared" si="22"/>
        <v>Beginner</v>
      </c>
      <c r="U362" t="str">
        <f t="shared" si="23"/>
        <v>Low Impact</v>
      </c>
    </row>
    <row r="363" spans="1:21" x14ac:dyDescent="0.3">
      <c r="A363" t="s">
        <v>887</v>
      </c>
      <c r="B363">
        <v>34</v>
      </c>
      <c r="C363" t="s">
        <v>27</v>
      </c>
      <c r="D363" t="s">
        <v>28</v>
      </c>
      <c r="E363" t="s">
        <v>44</v>
      </c>
      <c r="F363" t="s">
        <v>45</v>
      </c>
      <c r="G363">
        <v>12</v>
      </c>
      <c r="H363" t="s">
        <v>31</v>
      </c>
      <c r="I363" t="s">
        <v>37</v>
      </c>
      <c r="J363" t="s">
        <v>25</v>
      </c>
      <c r="K363" s="2">
        <v>30228</v>
      </c>
      <c r="L363" s="2">
        <v>31829</v>
      </c>
      <c r="M363" t="s">
        <v>38</v>
      </c>
      <c r="N363">
        <v>51</v>
      </c>
      <c r="O363" t="s">
        <v>23</v>
      </c>
      <c r="P363">
        <v>9</v>
      </c>
      <c r="Q363" s="1">
        <v>28.9</v>
      </c>
      <c r="R363" s="2">
        <f t="shared" si="20"/>
        <v>1601</v>
      </c>
      <c r="S363" s="1">
        <f t="shared" si="21"/>
        <v>5.2964139208680692</v>
      </c>
      <c r="T363" t="str">
        <f t="shared" si="22"/>
        <v>Intermediate</v>
      </c>
      <c r="U363" t="str">
        <f t="shared" si="23"/>
        <v>Medium Impact</v>
      </c>
    </row>
    <row r="364" spans="1:21" x14ac:dyDescent="0.3">
      <c r="A364" t="s">
        <v>1656</v>
      </c>
      <c r="B364">
        <v>34</v>
      </c>
      <c r="C364" t="s">
        <v>18</v>
      </c>
      <c r="D364" t="s">
        <v>19</v>
      </c>
      <c r="E364" t="s">
        <v>51</v>
      </c>
      <c r="F364" t="s">
        <v>130</v>
      </c>
      <c r="G364">
        <v>8</v>
      </c>
      <c r="H364" t="s">
        <v>37</v>
      </c>
      <c r="I364" t="s">
        <v>31</v>
      </c>
      <c r="J364" t="s">
        <v>23</v>
      </c>
      <c r="K364" s="2">
        <v>66776</v>
      </c>
      <c r="L364" s="2">
        <v>79208</v>
      </c>
      <c r="M364" t="s">
        <v>32</v>
      </c>
      <c r="N364">
        <v>49</v>
      </c>
      <c r="O364" t="s">
        <v>23</v>
      </c>
      <c r="P364">
        <v>6</v>
      </c>
      <c r="Q364" s="1">
        <v>28.85</v>
      </c>
      <c r="R364" s="2">
        <f t="shared" si="20"/>
        <v>12432</v>
      </c>
      <c r="S364" s="1">
        <f t="shared" si="21"/>
        <v>18.617467353540192</v>
      </c>
      <c r="T364" t="str">
        <f t="shared" si="22"/>
        <v>Intermediate</v>
      </c>
      <c r="U364" t="str">
        <f t="shared" si="23"/>
        <v>Low Impact</v>
      </c>
    </row>
    <row r="365" spans="1:21" x14ac:dyDescent="0.3">
      <c r="A365" t="s">
        <v>961</v>
      </c>
      <c r="B365">
        <v>55</v>
      </c>
      <c r="C365" t="s">
        <v>54</v>
      </c>
      <c r="D365" t="s">
        <v>19</v>
      </c>
      <c r="E365" t="s">
        <v>41</v>
      </c>
      <c r="F365" t="s">
        <v>42</v>
      </c>
      <c r="G365">
        <v>29</v>
      </c>
      <c r="H365" t="s">
        <v>22</v>
      </c>
      <c r="I365" t="s">
        <v>22</v>
      </c>
      <c r="J365" t="s">
        <v>25</v>
      </c>
      <c r="K365" s="2">
        <v>114585</v>
      </c>
      <c r="L365" s="2">
        <v>125226</v>
      </c>
      <c r="M365" t="s">
        <v>24</v>
      </c>
      <c r="N365">
        <v>45</v>
      </c>
      <c r="O365" t="s">
        <v>25</v>
      </c>
      <c r="P365">
        <v>4</v>
      </c>
      <c r="Q365" s="1">
        <v>28.78</v>
      </c>
      <c r="R365" s="2">
        <f t="shared" si="20"/>
        <v>10641</v>
      </c>
      <c r="S365" s="1">
        <f t="shared" si="21"/>
        <v>9.2865558319151713</v>
      </c>
      <c r="T365" t="str">
        <f t="shared" si="22"/>
        <v>Expert</v>
      </c>
      <c r="U365" t="str">
        <f t="shared" si="23"/>
        <v>High Impact</v>
      </c>
    </row>
    <row r="366" spans="1:21" x14ac:dyDescent="0.3">
      <c r="A366" t="s">
        <v>1183</v>
      </c>
      <c r="B366">
        <v>51</v>
      </c>
      <c r="C366" t="s">
        <v>54</v>
      </c>
      <c r="D366" t="s">
        <v>40</v>
      </c>
      <c r="E366" t="s">
        <v>59</v>
      </c>
      <c r="F366" t="s">
        <v>60</v>
      </c>
      <c r="G366">
        <v>29</v>
      </c>
      <c r="H366" t="s">
        <v>22</v>
      </c>
      <c r="I366" t="s">
        <v>22</v>
      </c>
      <c r="J366" t="s">
        <v>23</v>
      </c>
      <c r="K366" s="2">
        <v>104554</v>
      </c>
      <c r="L366" s="2">
        <v>100458</v>
      </c>
      <c r="M366" t="s">
        <v>38</v>
      </c>
      <c r="N366">
        <v>52</v>
      </c>
      <c r="O366" t="s">
        <v>23</v>
      </c>
      <c r="P366">
        <v>7</v>
      </c>
      <c r="Q366" s="1">
        <v>28.69</v>
      </c>
      <c r="R366" s="2">
        <f t="shared" si="20"/>
        <v>-4096</v>
      </c>
      <c r="S366" s="1">
        <f t="shared" si="21"/>
        <v>-3.9175928228475239</v>
      </c>
      <c r="T366" t="str">
        <f t="shared" si="22"/>
        <v>Expert</v>
      </c>
      <c r="U366" t="str">
        <f t="shared" si="23"/>
        <v>Medium Impact</v>
      </c>
    </row>
    <row r="367" spans="1:21" x14ac:dyDescent="0.3">
      <c r="A367" t="s">
        <v>1508</v>
      </c>
      <c r="B367">
        <v>48</v>
      </c>
      <c r="C367" t="s">
        <v>54</v>
      </c>
      <c r="D367" t="s">
        <v>34</v>
      </c>
      <c r="E367" t="s">
        <v>29</v>
      </c>
      <c r="F367" t="s">
        <v>104</v>
      </c>
      <c r="G367">
        <v>25</v>
      </c>
      <c r="H367" t="s">
        <v>31</v>
      </c>
      <c r="I367" t="s">
        <v>31</v>
      </c>
      <c r="J367" t="s">
        <v>23</v>
      </c>
      <c r="K367" s="2">
        <v>112336</v>
      </c>
      <c r="L367" s="2">
        <v>119407</v>
      </c>
      <c r="M367" t="s">
        <v>32</v>
      </c>
      <c r="N367">
        <v>46</v>
      </c>
      <c r="O367" t="s">
        <v>25</v>
      </c>
      <c r="P367">
        <v>9</v>
      </c>
      <c r="Q367" s="1">
        <v>28.67</v>
      </c>
      <c r="R367" s="2">
        <f t="shared" si="20"/>
        <v>7071</v>
      </c>
      <c r="S367" s="1">
        <f t="shared" si="21"/>
        <v>6.2945093291553915</v>
      </c>
      <c r="T367" t="str">
        <f t="shared" si="22"/>
        <v>Expert</v>
      </c>
      <c r="U367" t="str">
        <f t="shared" si="23"/>
        <v>Low Impact</v>
      </c>
    </row>
    <row r="368" spans="1:21" x14ac:dyDescent="0.3">
      <c r="A368" t="s">
        <v>1565</v>
      </c>
      <c r="B368">
        <v>59</v>
      </c>
      <c r="C368" t="s">
        <v>27</v>
      </c>
      <c r="D368" t="s">
        <v>40</v>
      </c>
      <c r="E368" t="s">
        <v>51</v>
      </c>
      <c r="F368" t="s">
        <v>52</v>
      </c>
      <c r="G368">
        <v>33</v>
      </c>
      <c r="H368" t="s">
        <v>37</v>
      </c>
      <c r="I368" t="s">
        <v>31</v>
      </c>
      <c r="J368" t="s">
        <v>25</v>
      </c>
      <c r="K368" s="2">
        <v>102790</v>
      </c>
      <c r="L368" s="2">
        <v>100288</v>
      </c>
      <c r="M368" t="s">
        <v>32</v>
      </c>
      <c r="N368">
        <v>44</v>
      </c>
      <c r="O368" t="s">
        <v>25</v>
      </c>
      <c r="P368">
        <v>9</v>
      </c>
      <c r="Q368" s="1">
        <v>28.64</v>
      </c>
      <c r="R368" s="2">
        <f t="shared" si="20"/>
        <v>-2502</v>
      </c>
      <c r="S368" s="1">
        <f t="shared" si="21"/>
        <v>-2.4340889191555597</v>
      </c>
      <c r="T368" t="str">
        <f t="shared" si="22"/>
        <v>Expert</v>
      </c>
      <c r="U368" t="str">
        <f t="shared" si="23"/>
        <v>Low Impact</v>
      </c>
    </row>
    <row r="369" spans="1:21" x14ac:dyDescent="0.3">
      <c r="A369" t="s">
        <v>813</v>
      </c>
      <c r="B369">
        <v>58</v>
      </c>
      <c r="C369" t="s">
        <v>18</v>
      </c>
      <c r="D369" t="s">
        <v>19</v>
      </c>
      <c r="E369" t="s">
        <v>35</v>
      </c>
      <c r="F369" t="s">
        <v>98</v>
      </c>
      <c r="G369">
        <v>36</v>
      </c>
      <c r="H369" t="s">
        <v>37</v>
      </c>
      <c r="I369" t="s">
        <v>22</v>
      </c>
      <c r="J369" t="s">
        <v>25</v>
      </c>
      <c r="K369" s="2">
        <v>95449</v>
      </c>
      <c r="L369" s="2">
        <v>99685</v>
      </c>
      <c r="M369" t="s">
        <v>32</v>
      </c>
      <c r="N369">
        <v>41</v>
      </c>
      <c r="O369" t="s">
        <v>23</v>
      </c>
      <c r="P369">
        <v>3</v>
      </c>
      <c r="Q369" s="1">
        <v>28.58</v>
      </c>
      <c r="R369" s="2">
        <f t="shared" si="20"/>
        <v>4236</v>
      </c>
      <c r="S369" s="1">
        <f t="shared" si="21"/>
        <v>4.4379721107607208</v>
      </c>
      <c r="T369" t="str">
        <f t="shared" si="22"/>
        <v>Expert</v>
      </c>
      <c r="U369" t="str">
        <f t="shared" si="23"/>
        <v>Low Impact</v>
      </c>
    </row>
    <row r="370" spans="1:21" x14ac:dyDescent="0.3">
      <c r="A370" t="s">
        <v>1688</v>
      </c>
      <c r="B370">
        <v>45</v>
      </c>
      <c r="C370" t="s">
        <v>18</v>
      </c>
      <c r="D370" t="s">
        <v>19</v>
      </c>
      <c r="E370" t="s">
        <v>59</v>
      </c>
      <c r="F370" t="s">
        <v>60</v>
      </c>
      <c r="G370">
        <v>20</v>
      </c>
      <c r="H370" t="s">
        <v>37</v>
      </c>
      <c r="I370" t="s">
        <v>22</v>
      </c>
      <c r="J370" t="s">
        <v>25</v>
      </c>
      <c r="K370" s="2">
        <v>58114</v>
      </c>
      <c r="L370" s="2">
        <v>66296</v>
      </c>
      <c r="M370" t="s">
        <v>32</v>
      </c>
      <c r="N370">
        <v>44</v>
      </c>
      <c r="O370" t="s">
        <v>25</v>
      </c>
      <c r="P370">
        <v>6</v>
      </c>
      <c r="Q370" s="1">
        <v>28.54</v>
      </c>
      <c r="R370" s="2">
        <f t="shared" si="20"/>
        <v>8182</v>
      </c>
      <c r="S370" s="1">
        <f t="shared" si="21"/>
        <v>14.079223595002926</v>
      </c>
      <c r="T370" t="str">
        <f t="shared" si="22"/>
        <v>Expert</v>
      </c>
      <c r="U370" t="str">
        <f t="shared" si="23"/>
        <v>Low Impact</v>
      </c>
    </row>
    <row r="371" spans="1:21" x14ac:dyDescent="0.3">
      <c r="A371" t="s">
        <v>1744</v>
      </c>
      <c r="B371">
        <v>25</v>
      </c>
      <c r="C371" t="s">
        <v>27</v>
      </c>
      <c r="D371" t="s">
        <v>28</v>
      </c>
      <c r="E371" t="s">
        <v>35</v>
      </c>
      <c r="F371" t="s">
        <v>98</v>
      </c>
      <c r="G371">
        <v>0</v>
      </c>
      <c r="H371" t="s">
        <v>31</v>
      </c>
      <c r="I371" t="s">
        <v>37</v>
      </c>
      <c r="J371" t="s">
        <v>23</v>
      </c>
      <c r="K371" s="2">
        <v>48226</v>
      </c>
      <c r="L371" s="2">
        <v>49663</v>
      </c>
      <c r="M371" t="s">
        <v>38</v>
      </c>
      <c r="N371">
        <v>35</v>
      </c>
      <c r="O371" t="s">
        <v>23</v>
      </c>
      <c r="P371">
        <v>9</v>
      </c>
      <c r="Q371" s="1">
        <v>28.54</v>
      </c>
      <c r="R371" s="2">
        <f t="shared" si="20"/>
        <v>1437</v>
      </c>
      <c r="S371" s="1">
        <f t="shared" si="21"/>
        <v>2.9797204827271595</v>
      </c>
      <c r="T371" t="str">
        <f t="shared" si="22"/>
        <v>Beginner</v>
      </c>
      <c r="U371" t="str">
        <f t="shared" si="23"/>
        <v>Medium Impact</v>
      </c>
    </row>
    <row r="372" spans="1:21" x14ac:dyDescent="0.3">
      <c r="A372" t="s">
        <v>905</v>
      </c>
      <c r="B372">
        <v>44</v>
      </c>
      <c r="C372" t="s">
        <v>27</v>
      </c>
      <c r="D372" t="s">
        <v>34</v>
      </c>
      <c r="E372" t="s">
        <v>20</v>
      </c>
      <c r="F372" t="s">
        <v>88</v>
      </c>
      <c r="G372">
        <v>20</v>
      </c>
      <c r="H372" t="s">
        <v>22</v>
      </c>
      <c r="I372" t="s">
        <v>22</v>
      </c>
      <c r="J372" t="s">
        <v>25</v>
      </c>
      <c r="K372" s="2">
        <v>86633</v>
      </c>
      <c r="L372" s="2">
        <v>101816</v>
      </c>
      <c r="M372" t="s">
        <v>24</v>
      </c>
      <c r="N372">
        <v>41</v>
      </c>
      <c r="O372" t="s">
        <v>25</v>
      </c>
      <c r="P372">
        <v>3</v>
      </c>
      <c r="Q372" s="1">
        <v>28.5</v>
      </c>
      <c r="R372" s="2">
        <f t="shared" si="20"/>
        <v>15183</v>
      </c>
      <c r="S372" s="1">
        <f t="shared" si="21"/>
        <v>17.525654196437848</v>
      </c>
      <c r="T372" t="str">
        <f t="shared" si="22"/>
        <v>Expert</v>
      </c>
      <c r="U372" t="str">
        <f t="shared" si="23"/>
        <v>High Impact</v>
      </c>
    </row>
    <row r="373" spans="1:21" x14ac:dyDescent="0.3">
      <c r="A373" t="s">
        <v>1019</v>
      </c>
      <c r="B373">
        <v>44</v>
      </c>
      <c r="C373" t="s">
        <v>27</v>
      </c>
      <c r="D373" t="s">
        <v>19</v>
      </c>
      <c r="E373" t="s">
        <v>51</v>
      </c>
      <c r="F373" t="s">
        <v>75</v>
      </c>
      <c r="G373">
        <v>20</v>
      </c>
      <c r="H373" t="s">
        <v>22</v>
      </c>
      <c r="I373" t="s">
        <v>31</v>
      </c>
      <c r="J373" t="s">
        <v>25</v>
      </c>
      <c r="K373" s="2">
        <v>83997</v>
      </c>
      <c r="L373" s="2">
        <v>106300</v>
      </c>
      <c r="M373" t="s">
        <v>32</v>
      </c>
      <c r="N373">
        <v>54</v>
      </c>
      <c r="O373" t="s">
        <v>25</v>
      </c>
      <c r="P373">
        <v>3</v>
      </c>
      <c r="Q373" s="1">
        <v>28.48</v>
      </c>
      <c r="R373" s="2">
        <f t="shared" si="20"/>
        <v>22303</v>
      </c>
      <c r="S373" s="1">
        <f t="shared" si="21"/>
        <v>26.552138766860722</v>
      </c>
      <c r="T373" t="str">
        <f t="shared" si="22"/>
        <v>Expert</v>
      </c>
      <c r="U373" t="str">
        <f t="shared" si="23"/>
        <v>Low Impact</v>
      </c>
    </row>
    <row r="374" spans="1:21" x14ac:dyDescent="0.3">
      <c r="A374" t="s">
        <v>1390</v>
      </c>
      <c r="B374">
        <v>43</v>
      </c>
      <c r="C374" t="s">
        <v>54</v>
      </c>
      <c r="D374" t="s">
        <v>40</v>
      </c>
      <c r="E374" t="s">
        <v>44</v>
      </c>
      <c r="F374" t="s">
        <v>57</v>
      </c>
      <c r="G374">
        <v>19</v>
      </c>
      <c r="H374" t="s">
        <v>22</v>
      </c>
      <c r="I374" t="s">
        <v>31</v>
      </c>
      <c r="J374" t="s">
        <v>25</v>
      </c>
      <c r="K374" s="2">
        <v>31868</v>
      </c>
      <c r="L374" s="2">
        <v>41018</v>
      </c>
      <c r="M374" t="s">
        <v>32</v>
      </c>
      <c r="N374">
        <v>46</v>
      </c>
      <c r="O374" t="s">
        <v>25</v>
      </c>
      <c r="P374">
        <v>6</v>
      </c>
      <c r="Q374" s="1">
        <v>28.48</v>
      </c>
      <c r="R374" s="2">
        <f t="shared" si="20"/>
        <v>9150</v>
      </c>
      <c r="S374" s="1">
        <f t="shared" si="21"/>
        <v>28.712187774570104</v>
      </c>
      <c r="T374" t="str">
        <f t="shared" si="22"/>
        <v>Expert</v>
      </c>
      <c r="U374" t="str">
        <f t="shared" si="23"/>
        <v>Low Impact</v>
      </c>
    </row>
    <row r="375" spans="1:21" x14ac:dyDescent="0.3">
      <c r="A375" t="s">
        <v>570</v>
      </c>
      <c r="B375">
        <v>35</v>
      </c>
      <c r="C375" t="s">
        <v>54</v>
      </c>
      <c r="D375" t="s">
        <v>19</v>
      </c>
      <c r="E375" t="s">
        <v>59</v>
      </c>
      <c r="F375" t="s">
        <v>77</v>
      </c>
      <c r="G375">
        <v>13</v>
      </c>
      <c r="H375" t="s">
        <v>31</v>
      </c>
      <c r="I375" t="s">
        <v>37</v>
      </c>
      <c r="J375" t="s">
        <v>25</v>
      </c>
      <c r="K375" s="2">
        <v>116511</v>
      </c>
      <c r="L375" s="2">
        <v>126448</v>
      </c>
      <c r="M375" t="s">
        <v>38</v>
      </c>
      <c r="N375">
        <v>41</v>
      </c>
      <c r="O375" t="s">
        <v>23</v>
      </c>
      <c r="P375">
        <v>8</v>
      </c>
      <c r="Q375" s="1">
        <v>28.4</v>
      </c>
      <c r="R375" s="2">
        <f t="shared" si="20"/>
        <v>9937</v>
      </c>
      <c r="S375" s="1">
        <f t="shared" si="21"/>
        <v>8.528808438688193</v>
      </c>
      <c r="T375" t="str">
        <f t="shared" si="22"/>
        <v>Intermediate</v>
      </c>
      <c r="U375" t="str">
        <f t="shared" si="23"/>
        <v>Medium Impact</v>
      </c>
    </row>
    <row r="376" spans="1:21" x14ac:dyDescent="0.3">
      <c r="A376" t="s">
        <v>1259</v>
      </c>
      <c r="B376">
        <v>35</v>
      </c>
      <c r="C376" t="s">
        <v>27</v>
      </c>
      <c r="D376" t="s">
        <v>34</v>
      </c>
      <c r="E376" t="s">
        <v>44</v>
      </c>
      <c r="F376" t="s">
        <v>47</v>
      </c>
      <c r="G376">
        <v>12</v>
      </c>
      <c r="H376" t="s">
        <v>22</v>
      </c>
      <c r="I376" t="s">
        <v>31</v>
      </c>
      <c r="J376" t="s">
        <v>23</v>
      </c>
      <c r="K376" s="2">
        <v>46304</v>
      </c>
      <c r="L376" s="2">
        <v>61942</v>
      </c>
      <c r="M376" t="s">
        <v>32</v>
      </c>
      <c r="N376">
        <v>44</v>
      </c>
      <c r="O376" t="s">
        <v>25</v>
      </c>
      <c r="P376">
        <v>4</v>
      </c>
      <c r="Q376" s="1">
        <v>28.4</v>
      </c>
      <c r="R376" s="2">
        <f t="shared" si="20"/>
        <v>15638</v>
      </c>
      <c r="S376" s="1">
        <f t="shared" si="21"/>
        <v>33.772460262612306</v>
      </c>
      <c r="T376" t="str">
        <f t="shared" si="22"/>
        <v>Intermediate</v>
      </c>
      <c r="U376" t="str">
        <f t="shared" si="23"/>
        <v>Low Impact</v>
      </c>
    </row>
    <row r="377" spans="1:21" x14ac:dyDescent="0.3">
      <c r="A377" t="s">
        <v>1773</v>
      </c>
      <c r="B377">
        <v>58</v>
      </c>
      <c r="C377" t="s">
        <v>18</v>
      </c>
      <c r="D377" t="s">
        <v>19</v>
      </c>
      <c r="E377" t="s">
        <v>59</v>
      </c>
      <c r="F377" t="s">
        <v>93</v>
      </c>
      <c r="G377">
        <v>36</v>
      </c>
      <c r="H377" t="s">
        <v>22</v>
      </c>
      <c r="I377" t="s">
        <v>22</v>
      </c>
      <c r="J377" t="s">
        <v>23</v>
      </c>
      <c r="K377" s="2">
        <v>49455</v>
      </c>
      <c r="L377" s="2">
        <v>67257</v>
      </c>
      <c r="M377" t="s">
        <v>38</v>
      </c>
      <c r="N377">
        <v>41</v>
      </c>
      <c r="O377" t="s">
        <v>25</v>
      </c>
      <c r="P377">
        <v>3</v>
      </c>
      <c r="Q377" s="1">
        <v>28.36</v>
      </c>
      <c r="R377" s="2">
        <f t="shared" si="20"/>
        <v>17802</v>
      </c>
      <c r="S377" s="1">
        <f t="shared" si="21"/>
        <v>35.996360327570521</v>
      </c>
      <c r="T377" t="str">
        <f t="shared" si="22"/>
        <v>Expert</v>
      </c>
      <c r="U377" t="str">
        <f t="shared" si="23"/>
        <v>Medium Impact</v>
      </c>
    </row>
    <row r="378" spans="1:21" x14ac:dyDescent="0.3">
      <c r="A378" t="s">
        <v>1279</v>
      </c>
      <c r="B378">
        <v>33</v>
      </c>
      <c r="C378" t="s">
        <v>54</v>
      </c>
      <c r="D378" t="s">
        <v>19</v>
      </c>
      <c r="E378" t="s">
        <v>20</v>
      </c>
      <c r="F378" t="s">
        <v>21</v>
      </c>
      <c r="G378">
        <v>8</v>
      </c>
      <c r="H378" t="s">
        <v>37</v>
      </c>
      <c r="I378" t="s">
        <v>37</v>
      </c>
      <c r="J378" t="s">
        <v>23</v>
      </c>
      <c r="K378" s="2">
        <v>60628</v>
      </c>
      <c r="L378" s="2">
        <v>59121</v>
      </c>
      <c r="M378" t="s">
        <v>38</v>
      </c>
      <c r="N378">
        <v>41</v>
      </c>
      <c r="O378" t="s">
        <v>23</v>
      </c>
      <c r="P378">
        <v>4</v>
      </c>
      <c r="Q378" s="1">
        <v>28.35</v>
      </c>
      <c r="R378" s="2">
        <f t="shared" si="20"/>
        <v>-1507</v>
      </c>
      <c r="S378" s="1">
        <f t="shared" si="21"/>
        <v>-2.4856501946295442</v>
      </c>
      <c r="T378" t="str">
        <f t="shared" si="22"/>
        <v>Intermediate</v>
      </c>
      <c r="U378" t="str">
        <f t="shared" si="23"/>
        <v>Medium Impact</v>
      </c>
    </row>
    <row r="379" spans="1:21" x14ac:dyDescent="0.3">
      <c r="A379" t="s">
        <v>1114</v>
      </c>
      <c r="B379">
        <v>40</v>
      </c>
      <c r="C379" t="s">
        <v>54</v>
      </c>
      <c r="D379" t="s">
        <v>34</v>
      </c>
      <c r="E379" t="s">
        <v>51</v>
      </c>
      <c r="F379" t="s">
        <v>75</v>
      </c>
      <c r="G379">
        <v>14</v>
      </c>
      <c r="H379" t="s">
        <v>37</v>
      </c>
      <c r="I379" t="s">
        <v>37</v>
      </c>
      <c r="J379" t="s">
        <v>25</v>
      </c>
      <c r="K379" s="2">
        <v>37526</v>
      </c>
      <c r="L379" s="2">
        <v>37611</v>
      </c>
      <c r="M379" t="s">
        <v>38</v>
      </c>
      <c r="N379">
        <v>48</v>
      </c>
      <c r="O379" t="s">
        <v>25</v>
      </c>
      <c r="P379">
        <v>3</v>
      </c>
      <c r="Q379" s="1">
        <v>28.33</v>
      </c>
      <c r="R379" s="2">
        <f t="shared" si="20"/>
        <v>85</v>
      </c>
      <c r="S379" s="1">
        <f t="shared" si="21"/>
        <v>0.22650961999680219</v>
      </c>
      <c r="T379" t="str">
        <f t="shared" si="22"/>
        <v>Intermediate</v>
      </c>
      <c r="U379" t="str">
        <f t="shared" si="23"/>
        <v>Medium Impact</v>
      </c>
    </row>
    <row r="380" spans="1:21" x14ac:dyDescent="0.3">
      <c r="A380" t="s">
        <v>157</v>
      </c>
      <c r="B380">
        <v>36</v>
      </c>
      <c r="C380" t="s">
        <v>27</v>
      </c>
      <c r="D380" t="s">
        <v>28</v>
      </c>
      <c r="E380" t="s">
        <v>44</v>
      </c>
      <c r="F380" t="s">
        <v>45</v>
      </c>
      <c r="G380">
        <v>10</v>
      </c>
      <c r="H380" t="s">
        <v>22</v>
      </c>
      <c r="I380" t="s">
        <v>31</v>
      </c>
      <c r="J380" t="s">
        <v>25</v>
      </c>
      <c r="K380" s="2">
        <v>69764</v>
      </c>
      <c r="L380" s="2">
        <v>82573</v>
      </c>
      <c r="M380" t="s">
        <v>32</v>
      </c>
      <c r="N380">
        <v>41</v>
      </c>
      <c r="O380" t="s">
        <v>25</v>
      </c>
      <c r="P380">
        <v>8</v>
      </c>
      <c r="Q380" s="1">
        <v>28.3</v>
      </c>
      <c r="R380" s="2">
        <f t="shared" si="20"/>
        <v>12809</v>
      </c>
      <c r="S380" s="1">
        <f t="shared" si="21"/>
        <v>18.3604724499742</v>
      </c>
      <c r="T380" t="str">
        <f t="shared" si="22"/>
        <v>Intermediate</v>
      </c>
      <c r="U380" t="str">
        <f t="shared" si="23"/>
        <v>Low Impact</v>
      </c>
    </row>
    <row r="381" spans="1:21" x14ac:dyDescent="0.3">
      <c r="A381" t="s">
        <v>1488</v>
      </c>
      <c r="B381">
        <v>33</v>
      </c>
      <c r="C381" t="s">
        <v>18</v>
      </c>
      <c r="D381" t="s">
        <v>28</v>
      </c>
      <c r="E381" t="s">
        <v>41</v>
      </c>
      <c r="F381" t="s">
        <v>55</v>
      </c>
      <c r="G381">
        <v>7</v>
      </c>
      <c r="H381" t="s">
        <v>37</v>
      </c>
      <c r="I381" t="s">
        <v>22</v>
      </c>
      <c r="J381" t="s">
        <v>25</v>
      </c>
      <c r="K381" s="2">
        <v>44633</v>
      </c>
      <c r="L381" s="2">
        <v>52605</v>
      </c>
      <c r="M381" t="s">
        <v>32</v>
      </c>
      <c r="N381">
        <v>36</v>
      </c>
      <c r="O381" t="s">
        <v>25</v>
      </c>
      <c r="P381">
        <v>9</v>
      </c>
      <c r="Q381" s="1">
        <v>28.26</v>
      </c>
      <c r="R381" s="2">
        <f t="shared" si="20"/>
        <v>7972</v>
      </c>
      <c r="S381" s="1">
        <f t="shared" si="21"/>
        <v>17.861223758205814</v>
      </c>
      <c r="T381" t="str">
        <f t="shared" si="22"/>
        <v>Intermediate</v>
      </c>
      <c r="U381" t="str">
        <f t="shared" si="23"/>
        <v>Low Impact</v>
      </c>
    </row>
    <row r="382" spans="1:21" x14ac:dyDescent="0.3">
      <c r="A382" t="s">
        <v>834</v>
      </c>
      <c r="B382">
        <v>33</v>
      </c>
      <c r="C382" t="s">
        <v>27</v>
      </c>
      <c r="D382" t="s">
        <v>28</v>
      </c>
      <c r="E382" t="s">
        <v>29</v>
      </c>
      <c r="F382" t="s">
        <v>102</v>
      </c>
      <c r="G382">
        <v>8</v>
      </c>
      <c r="H382" t="s">
        <v>22</v>
      </c>
      <c r="I382" t="s">
        <v>37</v>
      </c>
      <c r="J382" t="s">
        <v>23</v>
      </c>
      <c r="K382" s="2">
        <v>113232</v>
      </c>
      <c r="L382" s="2">
        <v>147152</v>
      </c>
      <c r="M382" t="s">
        <v>38</v>
      </c>
      <c r="N382">
        <v>51</v>
      </c>
      <c r="O382" t="s">
        <v>23</v>
      </c>
      <c r="P382">
        <v>7</v>
      </c>
      <c r="Q382" s="1">
        <v>28.25</v>
      </c>
      <c r="R382" s="2">
        <f t="shared" si="20"/>
        <v>33920</v>
      </c>
      <c r="S382" s="1">
        <f t="shared" si="21"/>
        <v>29.956196128302953</v>
      </c>
      <c r="T382" t="str">
        <f t="shared" si="22"/>
        <v>Intermediate</v>
      </c>
      <c r="U382" t="str">
        <f t="shared" si="23"/>
        <v>Medium Impact</v>
      </c>
    </row>
    <row r="383" spans="1:21" x14ac:dyDescent="0.3">
      <c r="A383" t="s">
        <v>511</v>
      </c>
      <c r="B383">
        <v>35</v>
      </c>
      <c r="C383" t="s">
        <v>18</v>
      </c>
      <c r="D383" t="s">
        <v>19</v>
      </c>
      <c r="E383" t="s">
        <v>20</v>
      </c>
      <c r="F383" t="s">
        <v>118</v>
      </c>
      <c r="G383">
        <v>12</v>
      </c>
      <c r="H383" t="s">
        <v>37</v>
      </c>
      <c r="I383" t="s">
        <v>31</v>
      </c>
      <c r="J383" t="s">
        <v>23</v>
      </c>
      <c r="K383" s="2">
        <v>46237</v>
      </c>
      <c r="L383" s="2">
        <v>53022</v>
      </c>
      <c r="M383" t="s">
        <v>32</v>
      </c>
      <c r="N383">
        <v>38</v>
      </c>
      <c r="O383" t="s">
        <v>25</v>
      </c>
      <c r="P383">
        <v>7</v>
      </c>
      <c r="Q383" s="1">
        <v>28.24</v>
      </c>
      <c r="R383" s="2">
        <f t="shared" si="20"/>
        <v>6785</v>
      </c>
      <c r="S383" s="1">
        <f t="shared" si="21"/>
        <v>14.674394965071263</v>
      </c>
      <c r="T383" t="str">
        <f t="shared" si="22"/>
        <v>Intermediate</v>
      </c>
      <c r="U383" t="str">
        <f t="shared" si="23"/>
        <v>Low Impact</v>
      </c>
    </row>
    <row r="384" spans="1:21" x14ac:dyDescent="0.3">
      <c r="A384" t="s">
        <v>633</v>
      </c>
      <c r="B384">
        <v>32</v>
      </c>
      <c r="C384" t="s">
        <v>27</v>
      </c>
      <c r="D384" t="s">
        <v>28</v>
      </c>
      <c r="E384" t="s">
        <v>29</v>
      </c>
      <c r="F384" t="s">
        <v>102</v>
      </c>
      <c r="G384">
        <v>6</v>
      </c>
      <c r="H384" t="s">
        <v>31</v>
      </c>
      <c r="I384" t="s">
        <v>31</v>
      </c>
      <c r="J384" t="s">
        <v>25</v>
      </c>
      <c r="K384" s="2">
        <v>73949</v>
      </c>
      <c r="L384" s="2">
        <v>74553</v>
      </c>
      <c r="M384" t="s">
        <v>32</v>
      </c>
      <c r="N384">
        <v>53</v>
      </c>
      <c r="O384" t="s">
        <v>25</v>
      </c>
      <c r="P384">
        <v>4</v>
      </c>
      <c r="Q384" s="1">
        <v>28.21</v>
      </c>
      <c r="R384" s="2">
        <f t="shared" si="20"/>
        <v>604</v>
      </c>
      <c r="S384" s="1">
        <f t="shared" si="21"/>
        <v>0.81677913156364512</v>
      </c>
      <c r="T384" t="str">
        <f t="shared" si="22"/>
        <v>Intermediate</v>
      </c>
      <c r="U384" t="str">
        <f t="shared" si="23"/>
        <v>Low Impact</v>
      </c>
    </row>
    <row r="385" spans="1:21" x14ac:dyDescent="0.3">
      <c r="A385" t="s">
        <v>1528</v>
      </c>
      <c r="B385">
        <v>44</v>
      </c>
      <c r="C385" t="s">
        <v>18</v>
      </c>
      <c r="D385" t="s">
        <v>19</v>
      </c>
      <c r="E385" t="s">
        <v>59</v>
      </c>
      <c r="F385" t="s">
        <v>93</v>
      </c>
      <c r="G385">
        <v>18</v>
      </c>
      <c r="H385" t="s">
        <v>22</v>
      </c>
      <c r="I385" t="s">
        <v>22</v>
      </c>
      <c r="J385" t="s">
        <v>25</v>
      </c>
      <c r="K385" s="2">
        <v>65367</v>
      </c>
      <c r="L385" s="2">
        <v>62898</v>
      </c>
      <c r="M385" t="s">
        <v>38</v>
      </c>
      <c r="N385">
        <v>41</v>
      </c>
      <c r="O385" t="s">
        <v>25</v>
      </c>
      <c r="P385">
        <v>9</v>
      </c>
      <c r="Q385" s="1">
        <v>28.21</v>
      </c>
      <c r="R385" s="2">
        <f t="shared" si="20"/>
        <v>-2469</v>
      </c>
      <c r="S385" s="1">
        <f t="shared" si="21"/>
        <v>-3.7771352517325254</v>
      </c>
      <c r="T385" t="str">
        <f t="shared" si="22"/>
        <v>Expert</v>
      </c>
      <c r="U385" t="str">
        <f t="shared" si="23"/>
        <v>Medium Impact</v>
      </c>
    </row>
    <row r="386" spans="1:21" x14ac:dyDescent="0.3">
      <c r="A386" t="s">
        <v>375</v>
      </c>
      <c r="B386">
        <v>29</v>
      </c>
      <c r="C386" t="s">
        <v>27</v>
      </c>
      <c r="D386" t="s">
        <v>28</v>
      </c>
      <c r="E386" t="s">
        <v>41</v>
      </c>
      <c r="F386" t="s">
        <v>49</v>
      </c>
      <c r="G386">
        <v>7</v>
      </c>
      <c r="H386" t="s">
        <v>37</v>
      </c>
      <c r="I386" t="s">
        <v>37</v>
      </c>
      <c r="J386" t="s">
        <v>23</v>
      </c>
      <c r="K386" s="2">
        <v>93530</v>
      </c>
      <c r="L386" s="2">
        <v>102668</v>
      </c>
      <c r="M386" t="s">
        <v>38</v>
      </c>
      <c r="N386">
        <v>37</v>
      </c>
      <c r="O386" t="s">
        <v>25</v>
      </c>
      <c r="P386">
        <v>3</v>
      </c>
      <c r="Q386" s="1">
        <v>28.13</v>
      </c>
      <c r="R386" s="2">
        <f t="shared" ref="R386:R449" si="24">L386-K386</f>
        <v>9138</v>
      </c>
      <c r="S386" s="1">
        <f t="shared" ref="S386:S449" si="25">(L386-K386)/K386*100</f>
        <v>9.7701272319042012</v>
      </c>
      <c r="T386" t="str">
        <f t="shared" ref="T386:T449" si="26">IF(G386&lt;5,"Beginner",IF(G386&lt;15,"Intermediate","Expert"))</f>
        <v>Intermediate</v>
      </c>
      <c r="U386" t="str">
        <f t="shared" ref="U386:U449" si="27">IF(M386="Replaced","High Impact",IF(M386="Modified","Medium Impact","Low Impact"))</f>
        <v>Medium Impact</v>
      </c>
    </row>
    <row r="387" spans="1:21" x14ac:dyDescent="0.3">
      <c r="A387" t="s">
        <v>1128</v>
      </c>
      <c r="B387">
        <v>25</v>
      </c>
      <c r="C387" t="s">
        <v>18</v>
      </c>
      <c r="D387" t="s">
        <v>28</v>
      </c>
      <c r="E387" t="s">
        <v>35</v>
      </c>
      <c r="F387" t="s">
        <v>132</v>
      </c>
      <c r="G387">
        <v>2</v>
      </c>
      <c r="H387" t="s">
        <v>22</v>
      </c>
      <c r="I387" t="s">
        <v>22</v>
      </c>
      <c r="J387" t="s">
        <v>25</v>
      </c>
      <c r="K387" s="2">
        <v>82389</v>
      </c>
      <c r="L387" s="2">
        <v>97420</v>
      </c>
      <c r="M387" t="s">
        <v>24</v>
      </c>
      <c r="N387">
        <v>45</v>
      </c>
      <c r="O387" t="s">
        <v>23</v>
      </c>
      <c r="P387">
        <v>6</v>
      </c>
      <c r="Q387" s="1">
        <v>28.11</v>
      </c>
      <c r="R387" s="2">
        <f t="shared" si="24"/>
        <v>15031</v>
      </c>
      <c r="S387" s="1">
        <f t="shared" si="25"/>
        <v>18.243940331840417</v>
      </c>
      <c r="T387" t="str">
        <f t="shared" si="26"/>
        <v>Beginner</v>
      </c>
      <c r="U387" t="str">
        <f t="shared" si="27"/>
        <v>High Impact</v>
      </c>
    </row>
    <row r="388" spans="1:21" x14ac:dyDescent="0.3">
      <c r="A388" t="s">
        <v>653</v>
      </c>
      <c r="B388">
        <v>41</v>
      </c>
      <c r="C388" t="s">
        <v>27</v>
      </c>
      <c r="D388" t="s">
        <v>40</v>
      </c>
      <c r="E388" t="s">
        <v>41</v>
      </c>
      <c r="F388" t="s">
        <v>42</v>
      </c>
      <c r="G388">
        <v>16</v>
      </c>
      <c r="H388" t="s">
        <v>37</v>
      </c>
      <c r="I388" t="s">
        <v>31</v>
      </c>
      <c r="J388" t="s">
        <v>23</v>
      </c>
      <c r="K388" s="2">
        <v>71258</v>
      </c>
      <c r="L388" s="2">
        <v>84089</v>
      </c>
      <c r="M388" t="s">
        <v>32</v>
      </c>
      <c r="N388">
        <v>44</v>
      </c>
      <c r="O388" t="s">
        <v>25</v>
      </c>
      <c r="P388">
        <v>5</v>
      </c>
      <c r="Q388" s="1">
        <v>28.08</v>
      </c>
      <c r="R388" s="2">
        <f t="shared" si="24"/>
        <v>12831</v>
      </c>
      <c r="S388" s="1">
        <f t="shared" si="25"/>
        <v>18.006399281484185</v>
      </c>
      <c r="T388" t="str">
        <f t="shared" si="26"/>
        <v>Expert</v>
      </c>
      <c r="U388" t="str">
        <f t="shared" si="27"/>
        <v>Low Impact</v>
      </c>
    </row>
    <row r="389" spans="1:21" x14ac:dyDescent="0.3">
      <c r="A389" t="s">
        <v>1469</v>
      </c>
      <c r="B389">
        <v>47</v>
      </c>
      <c r="C389" t="s">
        <v>18</v>
      </c>
      <c r="D389" t="s">
        <v>34</v>
      </c>
      <c r="E389" t="s">
        <v>29</v>
      </c>
      <c r="F389" t="s">
        <v>104</v>
      </c>
      <c r="G389">
        <v>24</v>
      </c>
      <c r="H389" t="s">
        <v>31</v>
      </c>
      <c r="I389" t="s">
        <v>31</v>
      </c>
      <c r="J389" t="s">
        <v>25</v>
      </c>
      <c r="K389" s="2">
        <v>103048</v>
      </c>
      <c r="L389" s="2">
        <v>98628</v>
      </c>
      <c r="M389" t="s">
        <v>32</v>
      </c>
      <c r="N389">
        <v>41</v>
      </c>
      <c r="O389" t="s">
        <v>25</v>
      </c>
      <c r="P389">
        <v>4</v>
      </c>
      <c r="Q389" s="1">
        <v>28.07</v>
      </c>
      <c r="R389" s="2">
        <f t="shared" si="24"/>
        <v>-4420</v>
      </c>
      <c r="S389" s="1">
        <f t="shared" si="25"/>
        <v>-4.2892632559583888</v>
      </c>
      <c r="T389" t="str">
        <f t="shared" si="26"/>
        <v>Expert</v>
      </c>
      <c r="U389" t="str">
        <f t="shared" si="27"/>
        <v>Low Impact</v>
      </c>
    </row>
    <row r="390" spans="1:21" x14ac:dyDescent="0.3">
      <c r="A390" t="s">
        <v>1084</v>
      </c>
      <c r="B390">
        <v>47</v>
      </c>
      <c r="C390" t="s">
        <v>27</v>
      </c>
      <c r="D390" t="s">
        <v>34</v>
      </c>
      <c r="E390" t="s">
        <v>44</v>
      </c>
      <c r="F390" t="s">
        <v>57</v>
      </c>
      <c r="G390">
        <v>25</v>
      </c>
      <c r="H390" t="s">
        <v>31</v>
      </c>
      <c r="I390" t="s">
        <v>22</v>
      </c>
      <c r="J390" t="s">
        <v>25</v>
      </c>
      <c r="K390" s="2">
        <v>91313</v>
      </c>
      <c r="L390" s="2">
        <v>99304</v>
      </c>
      <c r="M390" t="s">
        <v>32</v>
      </c>
      <c r="N390">
        <v>40</v>
      </c>
      <c r="O390" t="s">
        <v>25</v>
      </c>
      <c r="P390">
        <v>4</v>
      </c>
      <c r="Q390" s="1">
        <v>28.05</v>
      </c>
      <c r="R390" s="2">
        <f t="shared" si="24"/>
        <v>7991</v>
      </c>
      <c r="S390" s="1">
        <f t="shared" si="25"/>
        <v>8.7512183369290248</v>
      </c>
      <c r="T390" t="str">
        <f t="shared" si="26"/>
        <v>Expert</v>
      </c>
      <c r="U390" t="str">
        <f t="shared" si="27"/>
        <v>Low Impact</v>
      </c>
    </row>
    <row r="391" spans="1:21" x14ac:dyDescent="0.3">
      <c r="A391" t="s">
        <v>2030</v>
      </c>
      <c r="B391">
        <v>31</v>
      </c>
      <c r="C391" t="s">
        <v>27</v>
      </c>
      <c r="D391" t="s">
        <v>40</v>
      </c>
      <c r="E391" t="s">
        <v>51</v>
      </c>
      <c r="F391" t="s">
        <v>52</v>
      </c>
      <c r="G391">
        <v>6</v>
      </c>
      <c r="H391" t="s">
        <v>31</v>
      </c>
      <c r="I391" t="s">
        <v>37</v>
      </c>
      <c r="J391" t="s">
        <v>23</v>
      </c>
      <c r="K391" s="2">
        <v>68805</v>
      </c>
      <c r="L391" s="2">
        <v>72785</v>
      </c>
      <c r="M391" t="s">
        <v>38</v>
      </c>
      <c r="N391">
        <v>53</v>
      </c>
      <c r="O391" t="s">
        <v>25</v>
      </c>
      <c r="P391">
        <v>3</v>
      </c>
      <c r="Q391" s="1">
        <v>28.05</v>
      </c>
      <c r="R391" s="2">
        <f t="shared" si="24"/>
        <v>3980</v>
      </c>
      <c r="S391" s="1">
        <f t="shared" si="25"/>
        <v>5.7844633384201734</v>
      </c>
      <c r="T391" t="str">
        <f t="shared" si="26"/>
        <v>Intermediate</v>
      </c>
      <c r="U391" t="str">
        <f t="shared" si="27"/>
        <v>Medium Impact</v>
      </c>
    </row>
    <row r="392" spans="1:21" x14ac:dyDescent="0.3">
      <c r="A392" t="s">
        <v>776</v>
      </c>
      <c r="B392">
        <v>35</v>
      </c>
      <c r="C392" t="s">
        <v>27</v>
      </c>
      <c r="D392" t="s">
        <v>34</v>
      </c>
      <c r="E392" t="s">
        <v>51</v>
      </c>
      <c r="F392" t="s">
        <v>52</v>
      </c>
      <c r="G392">
        <v>9</v>
      </c>
      <c r="H392" t="s">
        <v>37</v>
      </c>
      <c r="I392" t="s">
        <v>31</v>
      </c>
      <c r="J392" t="s">
        <v>25</v>
      </c>
      <c r="K392" s="2">
        <v>119745</v>
      </c>
      <c r="L392" s="2">
        <v>112350</v>
      </c>
      <c r="M392" t="s">
        <v>32</v>
      </c>
      <c r="N392">
        <v>46</v>
      </c>
      <c r="O392" t="s">
        <v>25</v>
      </c>
      <c r="P392">
        <v>8</v>
      </c>
      <c r="Q392" s="1">
        <v>28.01</v>
      </c>
      <c r="R392" s="2">
        <f t="shared" si="24"/>
        <v>-7395</v>
      </c>
      <c r="S392" s="1">
        <f t="shared" si="25"/>
        <v>-6.1756231992985091</v>
      </c>
      <c r="T392" t="str">
        <f t="shared" si="26"/>
        <v>Intermediate</v>
      </c>
      <c r="U392" t="str">
        <f t="shared" si="27"/>
        <v>Low Impact</v>
      </c>
    </row>
    <row r="393" spans="1:21" x14ac:dyDescent="0.3">
      <c r="A393" t="s">
        <v>1243</v>
      </c>
      <c r="B393">
        <v>53</v>
      </c>
      <c r="C393" t="s">
        <v>18</v>
      </c>
      <c r="D393" t="s">
        <v>34</v>
      </c>
      <c r="E393" t="s">
        <v>59</v>
      </c>
      <c r="F393" t="s">
        <v>60</v>
      </c>
      <c r="G393">
        <v>29</v>
      </c>
      <c r="H393" t="s">
        <v>31</v>
      </c>
      <c r="I393" t="s">
        <v>37</v>
      </c>
      <c r="J393" t="s">
        <v>25</v>
      </c>
      <c r="K393" s="2">
        <v>85612</v>
      </c>
      <c r="L393" s="2">
        <v>86895</v>
      </c>
      <c r="M393" t="s">
        <v>38</v>
      </c>
      <c r="N393">
        <v>49</v>
      </c>
      <c r="O393" t="s">
        <v>25</v>
      </c>
      <c r="P393">
        <v>3</v>
      </c>
      <c r="Q393" s="1">
        <v>27.98</v>
      </c>
      <c r="R393" s="2">
        <f t="shared" si="24"/>
        <v>1283</v>
      </c>
      <c r="S393" s="1">
        <f t="shared" si="25"/>
        <v>1.4986216885483343</v>
      </c>
      <c r="T393" t="str">
        <f t="shared" si="26"/>
        <v>Expert</v>
      </c>
      <c r="U393" t="str">
        <f t="shared" si="27"/>
        <v>Medium Impact</v>
      </c>
    </row>
    <row r="394" spans="1:21" x14ac:dyDescent="0.3">
      <c r="A394" t="s">
        <v>851</v>
      </c>
      <c r="B394">
        <v>30</v>
      </c>
      <c r="C394" t="s">
        <v>18</v>
      </c>
      <c r="D394" t="s">
        <v>19</v>
      </c>
      <c r="E394" t="s">
        <v>59</v>
      </c>
      <c r="F394" t="s">
        <v>77</v>
      </c>
      <c r="G394">
        <v>5</v>
      </c>
      <c r="H394" t="s">
        <v>22</v>
      </c>
      <c r="I394" t="s">
        <v>37</v>
      </c>
      <c r="J394" t="s">
        <v>25</v>
      </c>
      <c r="K394" s="2">
        <v>96727</v>
      </c>
      <c r="L394" s="2">
        <v>116200</v>
      </c>
      <c r="M394" t="s">
        <v>38</v>
      </c>
      <c r="N394">
        <v>38</v>
      </c>
      <c r="O394" t="s">
        <v>25</v>
      </c>
      <c r="P394">
        <v>3</v>
      </c>
      <c r="Q394" s="1">
        <v>27.92</v>
      </c>
      <c r="R394" s="2">
        <f t="shared" si="24"/>
        <v>19473</v>
      </c>
      <c r="S394" s="1">
        <f t="shared" si="25"/>
        <v>20.131917665181387</v>
      </c>
      <c r="T394" t="str">
        <f t="shared" si="26"/>
        <v>Intermediate</v>
      </c>
      <c r="U394" t="str">
        <f t="shared" si="27"/>
        <v>Medium Impact</v>
      </c>
    </row>
    <row r="395" spans="1:21" x14ac:dyDescent="0.3">
      <c r="A395" t="s">
        <v>831</v>
      </c>
      <c r="B395">
        <v>26</v>
      </c>
      <c r="C395" t="s">
        <v>18</v>
      </c>
      <c r="D395" t="s">
        <v>40</v>
      </c>
      <c r="E395" t="s">
        <v>29</v>
      </c>
      <c r="F395" t="s">
        <v>102</v>
      </c>
      <c r="G395">
        <v>4</v>
      </c>
      <c r="H395" t="s">
        <v>37</v>
      </c>
      <c r="I395" t="s">
        <v>37</v>
      </c>
      <c r="J395" t="s">
        <v>23</v>
      </c>
      <c r="K395" s="2">
        <v>75203</v>
      </c>
      <c r="L395" s="2">
        <v>71721</v>
      </c>
      <c r="M395" t="s">
        <v>38</v>
      </c>
      <c r="N395">
        <v>36</v>
      </c>
      <c r="O395" t="s">
        <v>23</v>
      </c>
      <c r="P395">
        <v>4</v>
      </c>
      <c r="Q395" s="1">
        <v>27.85</v>
      </c>
      <c r="R395" s="2">
        <f t="shared" si="24"/>
        <v>-3482</v>
      </c>
      <c r="S395" s="1">
        <f t="shared" si="25"/>
        <v>-4.6301344361262178</v>
      </c>
      <c r="T395" t="str">
        <f t="shared" si="26"/>
        <v>Beginner</v>
      </c>
      <c r="U395" t="str">
        <f t="shared" si="27"/>
        <v>Medium Impact</v>
      </c>
    </row>
    <row r="396" spans="1:21" x14ac:dyDescent="0.3">
      <c r="A396" t="s">
        <v>579</v>
      </c>
      <c r="B396">
        <v>40</v>
      </c>
      <c r="C396" t="s">
        <v>54</v>
      </c>
      <c r="D396" t="s">
        <v>19</v>
      </c>
      <c r="E396" t="s">
        <v>44</v>
      </c>
      <c r="F396" t="s">
        <v>45</v>
      </c>
      <c r="G396">
        <v>16</v>
      </c>
      <c r="H396" t="s">
        <v>37</v>
      </c>
      <c r="I396" t="s">
        <v>37</v>
      </c>
      <c r="J396" t="s">
        <v>25</v>
      </c>
      <c r="K396" s="2">
        <v>64675</v>
      </c>
      <c r="L396" s="2">
        <v>60620</v>
      </c>
      <c r="M396" t="s">
        <v>38</v>
      </c>
      <c r="N396">
        <v>35</v>
      </c>
      <c r="O396" t="s">
        <v>23</v>
      </c>
      <c r="P396">
        <v>8</v>
      </c>
      <c r="Q396" s="1">
        <v>27.85</v>
      </c>
      <c r="R396" s="2">
        <f t="shared" si="24"/>
        <v>-4055</v>
      </c>
      <c r="S396" s="1">
        <f t="shared" si="25"/>
        <v>-6.2698105914186311</v>
      </c>
      <c r="T396" t="str">
        <f t="shared" si="26"/>
        <v>Expert</v>
      </c>
      <c r="U396" t="str">
        <f t="shared" si="27"/>
        <v>Medium Impact</v>
      </c>
    </row>
    <row r="397" spans="1:21" x14ac:dyDescent="0.3">
      <c r="A397" t="s">
        <v>1490</v>
      </c>
      <c r="B397">
        <v>27</v>
      </c>
      <c r="C397" t="s">
        <v>54</v>
      </c>
      <c r="D397" t="s">
        <v>19</v>
      </c>
      <c r="E397" t="s">
        <v>59</v>
      </c>
      <c r="F397" t="s">
        <v>93</v>
      </c>
      <c r="G397">
        <v>2</v>
      </c>
      <c r="H397" t="s">
        <v>31</v>
      </c>
      <c r="I397" t="s">
        <v>31</v>
      </c>
      <c r="J397" t="s">
        <v>23</v>
      </c>
      <c r="K397" s="2">
        <v>86151</v>
      </c>
      <c r="L397" s="2">
        <v>87682</v>
      </c>
      <c r="M397" t="s">
        <v>32</v>
      </c>
      <c r="N397">
        <v>39</v>
      </c>
      <c r="O397" t="s">
        <v>25</v>
      </c>
      <c r="P397">
        <v>8</v>
      </c>
      <c r="Q397" s="1">
        <v>27.82</v>
      </c>
      <c r="R397" s="2">
        <f t="shared" si="24"/>
        <v>1531</v>
      </c>
      <c r="S397" s="1">
        <f t="shared" si="25"/>
        <v>1.7771122796020939</v>
      </c>
      <c r="T397" t="str">
        <f t="shared" si="26"/>
        <v>Beginner</v>
      </c>
      <c r="U397" t="str">
        <f t="shared" si="27"/>
        <v>Low Impact</v>
      </c>
    </row>
    <row r="398" spans="1:21" x14ac:dyDescent="0.3">
      <c r="A398" t="s">
        <v>1498</v>
      </c>
      <c r="B398">
        <v>37</v>
      </c>
      <c r="C398" t="s">
        <v>54</v>
      </c>
      <c r="D398" t="s">
        <v>19</v>
      </c>
      <c r="E398" t="s">
        <v>59</v>
      </c>
      <c r="F398" t="s">
        <v>93</v>
      </c>
      <c r="G398">
        <v>13</v>
      </c>
      <c r="H398" t="s">
        <v>31</v>
      </c>
      <c r="I398" t="s">
        <v>37</v>
      </c>
      <c r="J398" t="s">
        <v>25</v>
      </c>
      <c r="K398" s="2">
        <v>37910</v>
      </c>
      <c r="L398" s="2">
        <v>40622</v>
      </c>
      <c r="M398" t="s">
        <v>38</v>
      </c>
      <c r="N398">
        <v>46</v>
      </c>
      <c r="O398" t="s">
        <v>25</v>
      </c>
      <c r="P398">
        <v>7</v>
      </c>
      <c r="Q398" s="1">
        <v>27.81</v>
      </c>
      <c r="R398" s="2">
        <f t="shared" si="24"/>
        <v>2712</v>
      </c>
      <c r="S398" s="1">
        <f t="shared" si="25"/>
        <v>7.1537852809285152</v>
      </c>
      <c r="T398" t="str">
        <f t="shared" si="26"/>
        <v>Intermediate</v>
      </c>
      <c r="U398" t="str">
        <f t="shared" si="27"/>
        <v>Medium Impact</v>
      </c>
    </row>
    <row r="399" spans="1:21" x14ac:dyDescent="0.3">
      <c r="A399" t="s">
        <v>995</v>
      </c>
      <c r="B399">
        <v>49</v>
      </c>
      <c r="C399" t="s">
        <v>27</v>
      </c>
      <c r="D399" t="s">
        <v>40</v>
      </c>
      <c r="E399" t="s">
        <v>41</v>
      </c>
      <c r="F399" t="s">
        <v>55</v>
      </c>
      <c r="G399">
        <v>24</v>
      </c>
      <c r="H399" t="s">
        <v>22</v>
      </c>
      <c r="I399" t="s">
        <v>31</v>
      </c>
      <c r="J399" t="s">
        <v>25</v>
      </c>
      <c r="K399" s="2">
        <v>64812</v>
      </c>
      <c r="L399" s="2">
        <v>71832</v>
      </c>
      <c r="M399" t="s">
        <v>32</v>
      </c>
      <c r="N399">
        <v>47</v>
      </c>
      <c r="O399" t="s">
        <v>25</v>
      </c>
      <c r="P399">
        <v>6</v>
      </c>
      <c r="Q399" s="1">
        <v>27.8</v>
      </c>
      <c r="R399" s="2">
        <f t="shared" si="24"/>
        <v>7020</v>
      </c>
      <c r="S399" s="1">
        <f t="shared" si="25"/>
        <v>10.83132753193853</v>
      </c>
      <c r="T399" t="str">
        <f t="shared" si="26"/>
        <v>Expert</v>
      </c>
      <c r="U399" t="str">
        <f t="shared" si="27"/>
        <v>Low Impact</v>
      </c>
    </row>
    <row r="400" spans="1:21" x14ac:dyDescent="0.3">
      <c r="A400" t="s">
        <v>281</v>
      </c>
      <c r="B400">
        <v>45</v>
      </c>
      <c r="C400" t="s">
        <v>27</v>
      </c>
      <c r="D400" t="s">
        <v>19</v>
      </c>
      <c r="E400" t="s">
        <v>59</v>
      </c>
      <c r="F400" t="s">
        <v>77</v>
      </c>
      <c r="G400">
        <v>20</v>
      </c>
      <c r="H400" t="s">
        <v>31</v>
      </c>
      <c r="I400" t="s">
        <v>37</v>
      </c>
      <c r="J400" t="s">
        <v>23</v>
      </c>
      <c r="K400" s="2">
        <v>83625</v>
      </c>
      <c r="L400" s="2">
        <v>87178</v>
      </c>
      <c r="M400" t="s">
        <v>38</v>
      </c>
      <c r="N400">
        <v>48</v>
      </c>
      <c r="O400" t="s">
        <v>23</v>
      </c>
      <c r="P400">
        <v>9</v>
      </c>
      <c r="Q400" s="1">
        <v>27.79</v>
      </c>
      <c r="R400" s="2">
        <f t="shared" si="24"/>
        <v>3553</v>
      </c>
      <c r="S400" s="1">
        <f t="shared" si="25"/>
        <v>4.2487294469357249</v>
      </c>
      <c r="T400" t="str">
        <f t="shared" si="26"/>
        <v>Expert</v>
      </c>
      <c r="U400" t="str">
        <f t="shared" si="27"/>
        <v>Medium Impact</v>
      </c>
    </row>
    <row r="401" spans="1:21" x14ac:dyDescent="0.3">
      <c r="A401" t="s">
        <v>1022</v>
      </c>
      <c r="B401">
        <v>31</v>
      </c>
      <c r="C401" t="s">
        <v>54</v>
      </c>
      <c r="D401" t="s">
        <v>19</v>
      </c>
      <c r="E401" t="s">
        <v>41</v>
      </c>
      <c r="F401" t="s">
        <v>49</v>
      </c>
      <c r="G401">
        <v>8</v>
      </c>
      <c r="H401" t="s">
        <v>22</v>
      </c>
      <c r="I401" t="s">
        <v>22</v>
      </c>
      <c r="J401" t="s">
        <v>25</v>
      </c>
      <c r="K401" s="2">
        <v>45994</v>
      </c>
      <c r="L401" s="2">
        <v>55882</v>
      </c>
      <c r="M401" t="s">
        <v>24</v>
      </c>
      <c r="N401">
        <v>35</v>
      </c>
      <c r="O401" t="s">
        <v>23</v>
      </c>
      <c r="P401">
        <v>8</v>
      </c>
      <c r="Q401" s="1">
        <v>27.7</v>
      </c>
      <c r="R401" s="2">
        <f t="shared" si="24"/>
        <v>9888</v>
      </c>
      <c r="S401" s="1">
        <f t="shared" si="25"/>
        <v>21.498456320389618</v>
      </c>
      <c r="T401" t="str">
        <f t="shared" si="26"/>
        <v>Intermediate</v>
      </c>
      <c r="U401" t="str">
        <f t="shared" si="27"/>
        <v>High Impact</v>
      </c>
    </row>
    <row r="402" spans="1:21" x14ac:dyDescent="0.3">
      <c r="A402" t="s">
        <v>1457</v>
      </c>
      <c r="B402">
        <v>39</v>
      </c>
      <c r="C402" t="s">
        <v>54</v>
      </c>
      <c r="D402" t="s">
        <v>19</v>
      </c>
      <c r="E402" t="s">
        <v>44</v>
      </c>
      <c r="F402" t="s">
        <v>45</v>
      </c>
      <c r="G402">
        <v>15</v>
      </c>
      <c r="H402" t="s">
        <v>31</v>
      </c>
      <c r="I402" t="s">
        <v>31</v>
      </c>
      <c r="J402" t="s">
        <v>23</v>
      </c>
      <c r="K402" s="2">
        <v>78888</v>
      </c>
      <c r="L402" s="2">
        <v>76236</v>
      </c>
      <c r="M402" t="s">
        <v>32</v>
      </c>
      <c r="N402">
        <v>48</v>
      </c>
      <c r="O402" t="s">
        <v>23</v>
      </c>
      <c r="P402">
        <v>5</v>
      </c>
      <c r="Q402" s="1">
        <v>27.66</v>
      </c>
      <c r="R402" s="2">
        <f t="shared" si="24"/>
        <v>-2652</v>
      </c>
      <c r="S402" s="1">
        <f t="shared" si="25"/>
        <v>-3.3617280194706418</v>
      </c>
      <c r="T402" t="str">
        <f t="shared" si="26"/>
        <v>Expert</v>
      </c>
      <c r="U402" t="str">
        <f t="shared" si="27"/>
        <v>Low Impact</v>
      </c>
    </row>
    <row r="403" spans="1:21" x14ac:dyDescent="0.3">
      <c r="A403" t="s">
        <v>1215</v>
      </c>
      <c r="B403">
        <v>31</v>
      </c>
      <c r="C403" t="s">
        <v>54</v>
      </c>
      <c r="D403" t="s">
        <v>28</v>
      </c>
      <c r="E403" t="s">
        <v>29</v>
      </c>
      <c r="F403" t="s">
        <v>30</v>
      </c>
      <c r="G403">
        <v>6</v>
      </c>
      <c r="H403" t="s">
        <v>31</v>
      </c>
      <c r="I403" t="s">
        <v>37</v>
      </c>
      <c r="J403" t="s">
        <v>23</v>
      </c>
      <c r="K403" s="2">
        <v>65201</v>
      </c>
      <c r="L403" s="2">
        <v>69338</v>
      </c>
      <c r="M403" t="s">
        <v>38</v>
      </c>
      <c r="N403">
        <v>40</v>
      </c>
      <c r="O403" t="s">
        <v>23</v>
      </c>
      <c r="P403">
        <v>5</v>
      </c>
      <c r="Q403" s="1">
        <v>27.65</v>
      </c>
      <c r="R403" s="2">
        <f t="shared" si="24"/>
        <v>4137</v>
      </c>
      <c r="S403" s="1">
        <f t="shared" si="25"/>
        <v>6.3449947086701126</v>
      </c>
      <c r="T403" t="str">
        <f t="shared" si="26"/>
        <v>Intermediate</v>
      </c>
      <c r="U403" t="str">
        <f t="shared" si="27"/>
        <v>Medium Impact</v>
      </c>
    </row>
    <row r="404" spans="1:21" x14ac:dyDescent="0.3">
      <c r="A404" t="s">
        <v>334</v>
      </c>
      <c r="B404">
        <v>34</v>
      </c>
      <c r="C404" t="s">
        <v>27</v>
      </c>
      <c r="D404" t="s">
        <v>19</v>
      </c>
      <c r="E404" t="s">
        <v>29</v>
      </c>
      <c r="F404" t="s">
        <v>104</v>
      </c>
      <c r="G404">
        <v>8</v>
      </c>
      <c r="H404" t="s">
        <v>22</v>
      </c>
      <c r="I404" t="s">
        <v>37</v>
      </c>
      <c r="J404" t="s">
        <v>23</v>
      </c>
      <c r="K404" s="2">
        <v>118789</v>
      </c>
      <c r="L404" s="2">
        <v>137334</v>
      </c>
      <c r="M404" t="s">
        <v>38</v>
      </c>
      <c r="N404">
        <v>49</v>
      </c>
      <c r="O404" t="s">
        <v>23</v>
      </c>
      <c r="P404">
        <v>4</v>
      </c>
      <c r="Q404" s="1">
        <v>27.62</v>
      </c>
      <c r="R404" s="2">
        <f t="shared" si="24"/>
        <v>18545</v>
      </c>
      <c r="S404" s="1">
        <f t="shared" si="25"/>
        <v>15.611714889425787</v>
      </c>
      <c r="T404" t="str">
        <f t="shared" si="26"/>
        <v>Intermediate</v>
      </c>
      <c r="U404" t="str">
        <f t="shared" si="27"/>
        <v>Medium Impact</v>
      </c>
    </row>
    <row r="405" spans="1:21" x14ac:dyDescent="0.3">
      <c r="A405" t="s">
        <v>721</v>
      </c>
      <c r="B405">
        <v>29</v>
      </c>
      <c r="C405" t="s">
        <v>54</v>
      </c>
      <c r="D405" t="s">
        <v>34</v>
      </c>
      <c r="E405" t="s">
        <v>29</v>
      </c>
      <c r="F405" t="s">
        <v>104</v>
      </c>
      <c r="G405">
        <v>3</v>
      </c>
      <c r="H405" t="s">
        <v>22</v>
      </c>
      <c r="I405" t="s">
        <v>22</v>
      </c>
      <c r="J405" t="s">
        <v>25</v>
      </c>
      <c r="K405" s="2">
        <v>92901</v>
      </c>
      <c r="L405" s="2">
        <v>97929</v>
      </c>
      <c r="M405" t="s">
        <v>38</v>
      </c>
      <c r="N405">
        <v>41</v>
      </c>
      <c r="O405" t="s">
        <v>25</v>
      </c>
      <c r="P405">
        <v>9</v>
      </c>
      <c r="Q405" s="1">
        <v>27.61</v>
      </c>
      <c r="R405" s="2">
        <f t="shared" si="24"/>
        <v>5028</v>
      </c>
      <c r="S405" s="1">
        <f t="shared" si="25"/>
        <v>5.4122130009364806</v>
      </c>
      <c r="T405" t="str">
        <f t="shared" si="26"/>
        <v>Beginner</v>
      </c>
      <c r="U405" t="str">
        <f t="shared" si="27"/>
        <v>Medium Impact</v>
      </c>
    </row>
    <row r="406" spans="1:21" x14ac:dyDescent="0.3">
      <c r="A406" t="s">
        <v>1601</v>
      </c>
      <c r="B406">
        <v>26</v>
      </c>
      <c r="C406" t="s">
        <v>18</v>
      </c>
      <c r="D406" t="s">
        <v>34</v>
      </c>
      <c r="E406" t="s">
        <v>44</v>
      </c>
      <c r="F406" t="s">
        <v>57</v>
      </c>
      <c r="G406">
        <v>2</v>
      </c>
      <c r="H406" t="s">
        <v>22</v>
      </c>
      <c r="I406" t="s">
        <v>22</v>
      </c>
      <c r="J406" t="s">
        <v>23</v>
      </c>
      <c r="K406" s="2">
        <v>100202</v>
      </c>
      <c r="L406" s="2">
        <v>89409</v>
      </c>
      <c r="M406" t="s">
        <v>38</v>
      </c>
      <c r="N406">
        <v>49</v>
      </c>
      <c r="O406" t="s">
        <v>23</v>
      </c>
      <c r="P406">
        <v>9</v>
      </c>
      <c r="Q406" s="1">
        <v>27.61</v>
      </c>
      <c r="R406" s="2">
        <f t="shared" si="24"/>
        <v>-10793</v>
      </c>
      <c r="S406" s="1">
        <f t="shared" si="25"/>
        <v>-10.771242090976228</v>
      </c>
      <c r="T406" t="str">
        <f t="shared" si="26"/>
        <v>Beginner</v>
      </c>
      <c r="U406" t="str">
        <f t="shared" si="27"/>
        <v>Medium Impact</v>
      </c>
    </row>
    <row r="407" spans="1:21" x14ac:dyDescent="0.3">
      <c r="A407" t="s">
        <v>428</v>
      </c>
      <c r="B407">
        <v>39</v>
      </c>
      <c r="C407" t="s">
        <v>54</v>
      </c>
      <c r="D407" t="s">
        <v>40</v>
      </c>
      <c r="E407" t="s">
        <v>35</v>
      </c>
      <c r="F407" t="s">
        <v>132</v>
      </c>
      <c r="G407">
        <v>16</v>
      </c>
      <c r="H407" t="s">
        <v>37</v>
      </c>
      <c r="I407" t="s">
        <v>31</v>
      </c>
      <c r="J407" t="s">
        <v>23</v>
      </c>
      <c r="K407" s="2">
        <v>36971</v>
      </c>
      <c r="L407" s="2">
        <v>40992</v>
      </c>
      <c r="M407" t="s">
        <v>32</v>
      </c>
      <c r="N407">
        <v>41</v>
      </c>
      <c r="O407" t="s">
        <v>25</v>
      </c>
      <c r="P407">
        <v>5</v>
      </c>
      <c r="Q407" s="1">
        <v>27.6</v>
      </c>
      <c r="R407" s="2">
        <f t="shared" si="24"/>
        <v>4021</v>
      </c>
      <c r="S407" s="1">
        <f t="shared" si="25"/>
        <v>10.876092072164671</v>
      </c>
      <c r="T407" t="str">
        <f t="shared" si="26"/>
        <v>Expert</v>
      </c>
      <c r="U407" t="str">
        <f t="shared" si="27"/>
        <v>Low Impact</v>
      </c>
    </row>
    <row r="408" spans="1:21" x14ac:dyDescent="0.3">
      <c r="A408" t="s">
        <v>629</v>
      </c>
      <c r="B408">
        <v>28</v>
      </c>
      <c r="C408" t="s">
        <v>18</v>
      </c>
      <c r="D408" t="s">
        <v>19</v>
      </c>
      <c r="E408" t="s">
        <v>51</v>
      </c>
      <c r="F408" t="s">
        <v>130</v>
      </c>
      <c r="G408">
        <v>5</v>
      </c>
      <c r="H408" t="s">
        <v>22</v>
      </c>
      <c r="I408" t="s">
        <v>22</v>
      </c>
      <c r="J408" t="s">
        <v>23</v>
      </c>
      <c r="K408" s="2">
        <v>30192</v>
      </c>
      <c r="L408" s="2">
        <v>24481</v>
      </c>
      <c r="M408" t="s">
        <v>38</v>
      </c>
      <c r="N408">
        <v>37</v>
      </c>
      <c r="O408" t="s">
        <v>25</v>
      </c>
      <c r="P408">
        <v>9</v>
      </c>
      <c r="Q408" s="1">
        <v>27.57</v>
      </c>
      <c r="R408" s="2">
        <f t="shared" si="24"/>
        <v>-5711</v>
      </c>
      <c r="S408" s="1">
        <f t="shared" si="25"/>
        <v>-18.915606783253843</v>
      </c>
      <c r="T408" t="str">
        <f t="shared" si="26"/>
        <v>Intermediate</v>
      </c>
      <c r="U408" t="str">
        <f t="shared" si="27"/>
        <v>Medium Impact</v>
      </c>
    </row>
    <row r="409" spans="1:21" x14ac:dyDescent="0.3">
      <c r="A409" t="s">
        <v>418</v>
      </c>
      <c r="B409">
        <v>55</v>
      </c>
      <c r="C409" t="s">
        <v>54</v>
      </c>
      <c r="D409" t="s">
        <v>34</v>
      </c>
      <c r="E409" t="s">
        <v>59</v>
      </c>
      <c r="F409" t="s">
        <v>77</v>
      </c>
      <c r="G409">
        <v>30</v>
      </c>
      <c r="H409" t="s">
        <v>31</v>
      </c>
      <c r="I409" t="s">
        <v>37</v>
      </c>
      <c r="J409" t="s">
        <v>25</v>
      </c>
      <c r="K409" s="2">
        <v>53481</v>
      </c>
      <c r="L409" s="2">
        <v>55159</v>
      </c>
      <c r="M409" t="s">
        <v>38</v>
      </c>
      <c r="N409">
        <v>51</v>
      </c>
      <c r="O409" t="s">
        <v>25</v>
      </c>
      <c r="P409">
        <v>3</v>
      </c>
      <c r="Q409" s="1">
        <v>27.5</v>
      </c>
      <c r="R409" s="2">
        <f t="shared" si="24"/>
        <v>1678</v>
      </c>
      <c r="S409" s="1">
        <f t="shared" si="25"/>
        <v>3.1375628727959457</v>
      </c>
      <c r="T409" t="str">
        <f t="shared" si="26"/>
        <v>Expert</v>
      </c>
      <c r="U409" t="str">
        <f t="shared" si="27"/>
        <v>Medium Impact</v>
      </c>
    </row>
    <row r="410" spans="1:21" x14ac:dyDescent="0.3">
      <c r="A410" t="s">
        <v>2041</v>
      </c>
      <c r="B410">
        <v>30</v>
      </c>
      <c r="C410" t="s">
        <v>18</v>
      </c>
      <c r="D410" t="s">
        <v>19</v>
      </c>
      <c r="E410" t="s">
        <v>20</v>
      </c>
      <c r="F410" t="s">
        <v>21</v>
      </c>
      <c r="G410">
        <v>8</v>
      </c>
      <c r="H410" t="s">
        <v>37</v>
      </c>
      <c r="I410" t="s">
        <v>37</v>
      </c>
      <c r="J410" t="s">
        <v>25</v>
      </c>
      <c r="K410" s="2">
        <v>119043</v>
      </c>
      <c r="L410" s="2">
        <v>117743</v>
      </c>
      <c r="M410" t="s">
        <v>38</v>
      </c>
      <c r="N410">
        <v>40</v>
      </c>
      <c r="O410" t="s">
        <v>23</v>
      </c>
      <c r="P410">
        <v>8</v>
      </c>
      <c r="Q410" s="1">
        <v>27.49</v>
      </c>
      <c r="R410" s="2">
        <f t="shared" si="24"/>
        <v>-1300</v>
      </c>
      <c r="S410" s="1">
        <f t="shared" si="25"/>
        <v>-1.0920423712440044</v>
      </c>
      <c r="T410" t="str">
        <f t="shared" si="26"/>
        <v>Intermediate</v>
      </c>
      <c r="U410" t="str">
        <f t="shared" si="27"/>
        <v>Medium Impact</v>
      </c>
    </row>
    <row r="411" spans="1:21" x14ac:dyDescent="0.3">
      <c r="A411" t="s">
        <v>1569</v>
      </c>
      <c r="B411">
        <v>55</v>
      </c>
      <c r="C411" t="s">
        <v>18</v>
      </c>
      <c r="D411" t="s">
        <v>34</v>
      </c>
      <c r="E411" t="s">
        <v>20</v>
      </c>
      <c r="F411" t="s">
        <v>21</v>
      </c>
      <c r="G411">
        <v>33</v>
      </c>
      <c r="H411" t="s">
        <v>22</v>
      </c>
      <c r="I411" t="s">
        <v>31</v>
      </c>
      <c r="J411" t="s">
        <v>23</v>
      </c>
      <c r="K411" s="2">
        <v>74331</v>
      </c>
      <c r="L411" s="2">
        <v>60556</v>
      </c>
      <c r="M411" t="s">
        <v>32</v>
      </c>
      <c r="N411">
        <v>36</v>
      </c>
      <c r="O411" t="s">
        <v>23</v>
      </c>
      <c r="P411">
        <v>5</v>
      </c>
      <c r="Q411" s="1">
        <v>27.44</v>
      </c>
      <c r="R411" s="2">
        <f t="shared" si="24"/>
        <v>-13775</v>
      </c>
      <c r="S411" s="1">
        <f t="shared" si="25"/>
        <v>-18.531971855618785</v>
      </c>
      <c r="T411" t="str">
        <f t="shared" si="26"/>
        <v>Expert</v>
      </c>
      <c r="U411" t="str">
        <f t="shared" si="27"/>
        <v>Low Impact</v>
      </c>
    </row>
    <row r="412" spans="1:21" x14ac:dyDescent="0.3">
      <c r="A412" t="s">
        <v>1426</v>
      </c>
      <c r="B412">
        <v>57</v>
      </c>
      <c r="C412" t="s">
        <v>54</v>
      </c>
      <c r="D412" t="s">
        <v>40</v>
      </c>
      <c r="E412" t="s">
        <v>59</v>
      </c>
      <c r="F412" t="s">
        <v>93</v>
      </c>
      <c r="G412">
        <v>35</v>
      </c>
      <c r="H412" t="s">
        <v>22</v>
      </c>
      <c r="I412" t="s">
        <v>37</v>
      </c>
      <c r="J412" t="s">
        <v>25</v>
      </c>
      <c r="K412" s="2">
        <v>61017</v>
      </c>
      <c r="L412" s="2">
        <v>74367</v>
      </c>
      <c r="M412" t="s">
        <v>38</v>
      </c>
      <c r="N412">
        <v>42</v>
      </c>
      <c r="O412" t="s">
        <v>25</v>
      </c>
      <c r="P412">
        <v>5</v>
      </c>
      <c r="Q412" s="1">
        <v>27.42</v>
      </c>
      <c r="R412" s="2">
        <f t="shared" si="24"/>
        <v>13350</v>
      </c>
      <c r="S412" s="1">
        <f t="shared" si="25"/>
        <v>21.879148434042971</v>
      </c>
      <c r="T412" t="str">
        <f t="shared" si="26"/>
        <v>Expert</v>
      </c>
      <c r="U412" t="str">
        <f t="shared" si="27"/>
        <v>Medium Impact</v>
      </c>
    </row>
    <row r="413" spans="1:21" x14ac:dyDescent="0.3">
      <c r="A413" t="s">
        <v>62</v>
      </c>
      <c r="B413">
        <v>32</v>
      </c>
      <c r="C413" t="s">
        <v>54</v>
      </c>
      <c r="D413" t="s">
        <v>19</v>
      </c>
      <c r="E413" t="s">
        <v>44</v>
      </c>
      <c r="F413" t="s">
        <v>57</v>
      </c>
      <c r="G413">
        <v>8</v>
      </c>
      <c r="H413" t="s">
        <v>22</v>
      </c>
      <c r="I413" t="s">
        <v>22</v>
      </c>
      <c r="J413" t="s">
        <v>25</v>
      </c>
      <c r="K413" s="2">
        <v>69504</v>
      </c>
      <c r="L413" s="2">
        <v>85267</v>
      </c>
      <c r="M413" t="s">
        <v>38</v>
      </c>
      <c r="N413">
        <v>39</v>
      </c>
      <c r="O413" t="s">
        <v>25</v>
      </c>
      <c r="P413">
        <v>4</v>
      </c>
      <c r="Q413" s="1">
        <v>27.41</v>
      </c>
      <c r="R413" s="2">
        <f t="shared" si="24"/>
        <v>15763</v>
      </c>
      <c r="S413" s="1">
        <f t="shared" si="25"/>
        <v>22.679270257826889</v>
      </c>
      <c r="T413" t="str">
        <f t="shared" si="26"/>
        <v>Intermediate</v>
      </c>
      <c r="U413" t="str">
        <f t="shared" si="27"/>
        <v>Medium Impact</v>
      </c>
    </row>
    <row r="414" spans="1:21" x14ac:dyDescent="0.3">
      <c r="A414" t="s">
        <v>293</v>
      </c>
      <c r="B414">
        <v>40</v>
      </c>
      <c r="C414" t="s">
        <v>27</v>
      </c>
      <c r="D414" t="s">
        <v>28</v>
      </c>
      <c r="E414" t="s">
        <v>35</v>
      </c>
      <c r="F414" t="s">
        <v>36</v>
      </c>
      <c r="G414">
        <v>15</v>
      </c>
      <c r="H414" t="s">
        <v>31</v>
      </c>
      <c r="I414" t="s">
        <v>31</v>
      </c>
      <c r="J414" t="s">
        <v>23</v>
      </c>
      <c r="K414" s="2">
        <v>100316</v>
      </c>
      <c r="L414" s="2">
        <v>98040</v>
      </c>
      <c r="M414" t="s">
        <v>32</v>
      </c>
      <c r="N414">
        <v>53</v>
      </c>
      <c r="O414" t="s">
        <v>25</v>
      </c>
      <c r="P414">
        <v>6</v>
      </c>
      <c r="Q414" s="1">
        <v>27.38</v>
      </c>
      <c r="R414" s="2">
        <f t="shared" si="24"/>
        <v>-2276</v>
      </c>
      <c r="S414" s="1">
        <f t="shared" si="25"/>
        <v>-2.2688304956337975</v>
      </c>
      <c r="T414" t="str">
        <f t="shared" si="26"/>
        <v>Expert</v>
      </c>
      <c r="U414" t="str">
        <f t="shared" si="27"/>
        <v>Low Impact</v>
      </c>
    </row>
    <row r="415" spans="1:21" x14ac:dyDescent="0.3">
      <c r="A415" t="s">
        <v>172</v>
      </c>
      <c r="B415">
        <v>38</v>
      </c>
      <c r="C415" t="s">
        <v>54</v>
      </c>
      <c r="D415" t="s">
        <v>19</v>
      </c>
      <c r="E415" t="s">
        <v>35</v>
      </c>
      <c r="F415" t="s">
        <v>132</v>
      </c>
      <c r="G415">
        <v>12</v>
      </c>
      <c r="H415" t="s">
        <v>31</v>
      </c>
      <c r="I415" t="s">
        <v>37</v>
      </c>
      <c r="J415" t="s">
        <v>25</v>
      </c>
      <c r="K415" s="2">
        <v>36168</v>
      </c>
      <c r="L415" s="2">
        <v>38043</v>
      </c>
      <c r="M415" t="s">
        <v>38</v>
      </c>
      <c r="N415">
        <v>47</v>
      </c>
      <c r="O415" t="s">
        <v>25</v>
      </c>
      <c r="P415">
        <v>4</v>
      </c>
      <c r="Q415" s="1">
        <v>27.35</v>
      </c>
      <c r="R415" s="2">
        <f t="shared" si="24"/>
        <v>1875</v>
      </c>
      <c r="S415" s="1">
        <f t="shared" si="25"/>
        <v>5.1841406768414071</v>
      </c>
      <c r="T415" t="str">
        <f t="shared" si="26"/>
        <v>Intermediate</v>
      </c>
      <c r="U415" t="str">
        <f t="shared" si="27"/>
        <v>Medium Impact</v>
      </c>
    </row>
    <row r="416" spans="1:21" x14ac:dyDescent="0.3">
      <c r="A416" t="s">
        <v>442</v>
      </c>
      <c r="B416">
        <v>57</v>
      </c>
      <c r="C416" t="s">
        <v>18</v>
      </c>
      <c r="D416" t="s">
        <v>40</v>
      </c>
      <c r="E416" t="s">
        <v>41</v>
      </c>
      <c r="F416" t="s">
        <v>49</v>
      </c>
      <c r="G416">
        <v>32</v>
      </c>
      <c r="H416" t="s">
        <v>22</v>
      </c>
      <c r="I416" t="s">
        <v>31</v>
      </c>
      <c r="J416" t="s">
        <v>23</v>
      </c>
      <c r="K416" s="2">
        <v>53952</v>
      </c>
      <c r="L416" s="2">
        <v>67960</v>
      </c>
      <c r="M416" t="s">
        <v>32</v>
      </c>
      <c r="N416">
        <v>47</v>
      </c>
      <c r="O416" t="s">
        <v>23</v>
      </c>
      <c r="P416">
        <v>9</v>
      </c>
      <c r="Q416" s="1">
        <v>27.31</v>
      </c>
      <c r="R416" s="2">
        <f t="shared" si="24"/>
        <v>14008</v>
      </c>
      <c r="S416" s="1">
        <f t="shared" si="25"/>
        <v>25.963819691577701</v>
      </c>
      <c r="T416" t="str">
        <f t="shared" si="26"/>
        <v>Expert</v>
      </c>
      <c r="U416" t="str">
        <f t="shared" si="27"/>
        <v>Low Impact</v>
      </c>
    </row>
    <row r="417" spans="1:21" x14ac:dyDescent="0.3">
      <c r="A417" t="s">
        <v>1686</v>
      </c>
      <c r="B417">
        <v>47</v>
      </c>
      <c r="C417" t="s">
        <v>54</v>
      </c>
      <c r="D417" t="s">
        <v>19</v>
      </c>
      <c r="E417" t="s">
        <v>51</v>
      </c>
      <c r="F417" t="s">
        <v>130</v>
      </c>
      <c r="G417">
        <v>25</v>
      </c>
      <c r="H417" t="s">
        <v>31</v>
      </c>
      <c r="I417" t="s">
        <v>22</v>
      </c>
      <c r="J417" t="s">
        <v>23</v>
      </c>
      <c r="K417" s="2">
        <v>68745</v>
      </c>
      <c r="L417" s="2">
        <v>66114</v>
      </c>
      <c r="M417" t="s">
        <v>32</v>
      </c>
      <c r="N417">
        <v>46</v>
      </c>
      <c r="O417" t="s">
        <v>25</v>
      </c>
      <c r="P417">
        <v>8</v>
      </c>
      <c r="Q417" s="1">
        <v>27.29</v>
      </c>
      <c r="R417" s="2">
        <f t="shared" si="24"/>
        <v>-2631</v>
      </c>
      <c r="S417" s="1">
        <f t="shared" si="25"/>
        <v>-3.8271874318132229</v>
      </c>
      <c r="T417" t="str">
        <f t="shared" si="26"/>
        <v>Expert</v>
      </c>
      <c r="U417" t="str">
        <f t="shared" si="27"/>
        <v>Low Impact</v>
      </c>
    </row>
    <row r="418" spans="1:21" x14ac:dyDescent="0.3">
      <c r="A418" t="s">
        <v>1728</v>
      </c>
      <c r="B418">
        <v>34</v>
      </c>
      <c r="C418" t="s">
        <v>27</v>
      </c>
      <c r="D418" t="s">
        <v>40</v>
      </c>
      <c r="E418" t="s">
        <v>59</v>
      </c>
      <c r="F418" t="s">
        <v>60</v>
      </c>
      <c r="G418">
        <v>9</v>
      </c>
      <c r="H418" t="s">
        <v>22</v>
      </c>
      <c r="I418" t="s">
        <v>31</v>
      </c>
      <c r="J418" t="s">
        <v>23</v>
      </c>
      <c r="K418" s="2">
        <v>63800</v>
      </c>
      <c r="L418" s="2">
        <v>70945</v>
      </c>
      <c r="M418" t="s">
        <v>32</v>
      </c>
      <c r="N418">
        <v>36</v>
      </c>
      <c r="O418" t="s">
        <v>25</v>
      </c>
      <c r="P418">
        <v>9</v>
      </c>
      <c r="Q418" s="1">
        <v>27.28</v>
      </c>
      <c r="R418" s="2">
        <f t="shared" si="24"/>
        <v>7145</v>
      </c>
      <c r="S418" s="1">
        <f t="shared" si="25"/>
        <v>11.199059561128527</v>
      </c>
      <c r="T418" t="str">
        <f t="shared" si="26"/>
        <v>Intermediate</v>
      </c>
      <c r="U418" t="str">
        <f t="shared" si="27"/>
        <v>Low Impact</v>
      </c>
    </row>
    <row r="419" spans="1:21" x14ac:dyDescent="0.3">
      <c r="A419" t="s">
        <v>610</v>
      </c>
      <c r="B419">
        <v>49</v>
      </c>
      <c r="C419" t="s">
        <v>18</v>
      </c>
      <c r="D419" t="s">
        <v>19</v>
      </c>
      <c r="E419" t="s">
        <v>29</v>
      </c>
      <c r="F419" t="s">
        <v>104</v>
      </c>
      <c r="G419">
        <v>27</v>
      </c>
      <c r="H419" t="s">
        <v>31</v>
      </c>
      <c r="I419" t="s">
        <v>22</v>
      </c>
      <c r="J419" t="s">
        <v>25</v>
      </c>
      <c r="K419" s="2">
        <v>116664</v>
      </c>
      <c r="L419" s="2">
        <v>111443</v>
      </c>
      <c r="M419" t="s">
        <v>32</v>
      </c>
      <c r="N419">
        <v>36</v>
      </c>
      <c r="O419" t="s">
        <v>23</v>
      </c>
      <c r="P419">
        <v>7</v>
      </c>
      <c r="Q419" s="1">
        <v>27.24</v>
      </c>
      <c r="R419" s="2">
        <f t="shared" si="24"/>
        <v>-5221</v>
      </c>
      <c r="S419" s="1">
        <f t="shared" si="25"/>
        <v>-4.4752451484605364</v>
      </c>
      <c r="T419" t="str">
        <f t="shared" si="26"/>
        <v>Expert</v>
      </c>
      <c r="U419" t="str">
        <f t="shared" si="27"/>
        <v>Low Impact</v>
      </c>
    </row>
    <row r="420" spans="1:21" x14ac:dyDescent="0.3">
      <c r="A420" t="s">
        <v>1769</v>
      </c>
      <c r="B420">
        <v>37</v>
      </c>
      <c r="C420" t="s">
        <v>27</v>
      </c>
      <c r="D420" t="s">
        <v>19</v>
      </c>
      <c r="E420" t="s">
        <v>51</v>
      </c>
      <c r="F420" t="s">
        <v>52</v>
      </c>
      <c r="G420">
        <v>15</v>
      </c>
      <c r="H420" t="s">
        <v>37</v>
      </c>
      <c r="I420" t="s">
        <v>37</v>
      </c>
      <c r="J420" t="s">
        <v>25</v>
      </c>
      <c r="K420" s="2">
        <v>76111</v>
      </c>
      <c r="L420" s="2">
        <v>91252</v>
      </c>
      <c r="M420" t="s">
        <v>38</v>
      </c>
      <c r="N420">
        <v>48</v>
      </c>
      <c r="O420" t="s">
        <v>23</v>
      </c>
      <c r="P420">
        <v>6</v>
      </c>
      <c r="Q420" s="1">
        <v>27.24</v>
      </c>
      <c r="R420" s="2">
        <f t="shared" si="24"/>
        <v>15141</v>
      </c>
      <c r="S420" s="1">
        <f t="shared" si="25"/>
        <v>19.893313712866735</v>
      </c>
      <c r="T420" t="str">
        <f t="shared" si="26"/>
        <v>Expert</v>
      </c>
      <c r="U420" t="str">
        <f t="shared" si="27"/>
        <v>Medium Impact</v>
      </c>
    </row>
    <row r="421" spans="1:21" x14ac:dyDescent="0.3">
      <c r="A421" t="s">
        <v>1540</v>
      </c>
      <c r="B421">
        <v>36</v>
      </c>
      <c r="C421" t="s">
        <v>18</v>
      </c>
      <c r="D421" t="s">
        <v>19</v>
      </c>
      <c r="E421" t="s">
        <v>20</v>
      </c>
      <c r="F421" t="s">
        <v>118</v>
      </c>
      <c r="G421">
        <v>10</v>
      </c>
      <c r="H421" t="s">
        <v>31</v>
      </c>
      <c r="I421" t="s">
        <v>37</v>
      </c>
      <c r="J421" t="s">
        <v>25</v>
      </c>
      <c r="K421" s="2">
        <v>36050</v>
      </c>
      <c r="L421" s="2">
        <v>37259</v>
      </c>
      <c r="M421" t="s">
        <v>38</v>
      </c>
      <c r="N421">
        <v>44</v>
      </c>
      <c r="O421" t="s">
        <v>23</v>
      </c>
      <c r="P421">
        <v>9</v>
      </c>
      <c r="Q421" s="1">
        <v>27.24</v>
      </c>
      <c r="R421" s="2">
        <f t="shared" si="24"/>
        <v>1209</v>
      </c>
      <c r="S421" s="1">
        <f t="shared" si="25"/>
        <v>3.3536754507628297</v>
      </c>
      <c r="T421" t="str">
        <f t="shared" si="26"/>
        <v>Intermediate</v>
      </c>
      <c r="U421" t="str">
        <f t="shared" si="27"/>
        <v>Medium Impact</v>
      </c>
    </row>
    <row r="422" spans="1:21" x14ac:dyDescent="0.3">
      <c r="A422" t="s">
        <v>410</v>
      </c>
      <c r="B422">
        <v>51</v>
      </c>
      <c r="C422" t="s">
        <v>54</v>
      </c>
      <c r="D422" t="s">
        <v>40</v>
      </c>
      <c r="E422" t="s">
        <v>35</v>
      </c>
      <c r="F422" t="s">
        <v>98</v>
      </c>
      <c r="G422">
        <v>26</v>
      </c>
      <c r="H422" t="s">
        <v>22</v>
      </c>
      <c r="I422" t="s">
        <v>31</v>
      </c>
      <c r="J422" t="s">
        <v>25</v>
      </c>
      <c r="K422" s="2">
        <v>30162</v>
      </c>
      <c r="L422" s="2">
        <v>29117</v>
      </c>
      <c r="M422" t="s">
        <v>32</v>
      </c>
      <c r="N422">
        <v>44</v>
      </c>
      <c r="O422" t="s">
        <v>25</v>
      </c>
      <c r="P422">
        <v>8</v>
      </c>
      <c r="Q422" s="1">
        <v>27.23</v>
      </c>
      <c r="R422" s="2">
        <f t="shared" si="24"/>
        <v>-1045</v>
      </c>
      <c r="S422" s="1">
        <f t="shared" si="25"/>
        <v>-3.4646243617797232</v>
      </c>
      <c r="T422" t="str">
        <f t="shared" si="26"/>
        <v>Expert</v>
      </c>
      <c r="U422" t="str">
        <f t="shared" si="27"/>
        <v>Low Impact</v>
      </c>
    </row>
    <row r="423" spans="1:21" x14ac:dyDescent="0.3">
      <c r="A423" t="s">
        <v>1785</v>
      </c>
      <c r="B423">
        <v>39</v>
      </c>
      <c r="C423" t="s">
        <v>18</v>
      </c>
      <c r="D423" t="s">
        <v>34</v>
      </c>
      <c r="E423" t="s">
        <v>35</v>
      </c>
      <c r="F423" t="s">
        <v>36</v>
      </c>
      <c r="G423">
        <v>14</v>
      </c>
      <c r="H423" t="s">
        <v>37</v>
      </c>
      <c r="I423" t="s">
        <v>31</v>
      </c>
      <c r="J423" t="s">
        <v>23</v>
      </c>
      <c r="K423" s="2">
        <v>85038</v>
      </c>
      <c r="L423" s="2">
        <v>86385</v>
      </c>
      <c r="M423" t="s">
        <v>32</v>
      </c>
      <c r="N423">
        <v>47</v>
      </c>
      <c r="O423" t="s">
        <v>23</v>
      </c>
      <c r="P423">
        <v>9</v>
      </c>
      <c r="Q423" s="1">
        <v>27.22</v>
      </c>
      <c r="R423" s="2">
        <f t="shared" si="24"/>
        <v>1347</v>
      </c>
      <c r="S423" s="1">
        <f t="shared" si="25"/>
        <v>1.5839977421858462</v>
      </c>
      <c r="T423" t="str">
        <f t="shared" si="26"/>
        <v>Intermediate</v>
      </c>
      <c r="U423" t="str">
        <f t="shared" si="27"/>
        <v>Low Impact</v>
      </c>
    </row>
    <row r="424" spans="1:21" x14ac:dyDescent="0.3">
      <c r="A424" t="s">
        <v>1367</v>
      </c>
      <c r="B424">
        <v>52</v>
      </c>
      <c r="C424" t="s">
        <v>18</v>
      </c>
      <c r="D424" t="s">
        <v>19</v>
      </c>
      <c r="E424" t="s">
        <v>44</v>
      </c>
      <c r="F424" t="s">
        <v>57</v>
      </c>
      <c r="G424">
        <v>27</v>
      </c>
      <c r="H424" t="s">
        <v>37</v>
      </c>
      <c r="I424" t="s">
        <v>31</v>
      </c>
      <c r="J424" t="s">
        <v>23</v>
      </c>
      <c r="K424" s="2">
        <v>86361</v>
      </c>
      <c r="L424" s="2">
        <v>83922</v>
      </c>
      <c r="M424" t="s">
        <v>32</v>
      </c>
      <c r="N424">
        <v>37</v>
      </c>
      <c r="O424" t="s">
        <v>25</v>
      </c>
      <c r="P424">
        <v>6</v>
      </c>
      <c r="Q424" s="1">
        <v>27.22</v>
      </c>
      <c r="R424" s="2">
        <f t="shared" si="24"/>
        <v>-2439</v>
      </c>
      <c r="S424" s="1">
        <f t="shared" si="25"/>
        <v>-2.8241914753187203</v>
      </c>
      <c r="T424" t="str">
        <f t="shared" si="26"/>
        <v>Expert</v>
      </c>
      <c r="U424" t="str">
        <f t="shared" si="27"/>
        <v>Low Impact</v>
      </c>
    </row>
    <row r="425" spans="1:21" x14ac:dyDescent="0.3">
      <c r="A425" t="s">
        <v>607</v>
      </c>
      <c r="B425">
        <v>40</v>
      </c>
      <c r="C425" t="s">
        <v>27</v>
      </c>
      <c r="D425" t="s">
        <v>34</v>
      </c>
      <c r="E425" t="s">
        <v>41</v>
      </c>
      <c r="F425" t="s">
        <v>49</v>
      </c>
      <c r="G425">
        <v>15</v>
      </c>
      <c r="H425" t="s">
        <v>22</v>
      </c>
      <c r="I425" t="s">
        <v>31</v>
      </c>
      <c r="J425" t="s">
        <v>23</v>
      </c>
      <c r="K425" s="2">
        <v>37610</v>
      </c>
      <c r="L425" s="2">
        <v>36481</v>
      </c>
      <c r="M425" t="s">
        <v>32</v>
      </c>
      <c r="N425">
        <v>37</v>
      </c>
      <c r="O425" t="s">
        <v>23</v>
      </c>
      <c r="P425">
        <v>4</v>
      </c>
      <c r="Q425" s="1">
        <v>27.21</v>
      </c>
      <c r="R425" s="2">
        <f t="shared" si="24"/>
        <v>-1129</v>
      </c>
      <c r="S425" s="1">
        <f t="shared" si="25"/>
        <v>-3.0018612071257644</v>
      </c>
      <c r="T425" t="str">
        <f t="shared" si="26"/>
        <v>Expert</v>
      </c>
      <c r="U425" t="str">
        <f t="shared" si="27"/>
        <v>Low Impact</v>
      </c>
    </row>
    <row r="426" spans="1:21" x14ac:dyDescent="0.3">
      <c r="A426" t="s">
        <v>578</v>
      </c>
      <c r="B426">
        <v>22</v>
      </c>
      <c r="C426" t="s">
        <v>54</v>
      </c>
      <c r="D426" t="s">
        <v>34</v>
      </c>
      <c r="E426" t="s">
        <v>59</v>
      </c>
      <c r="F426" t="s">
        <v>77</v>
      </c>
      <c r="G426">
        <v>0</v>
      </c>
      <c r="H426" t="s">
        <v>22</v>
      </c>
      <c r="I426" t="s">
        <v>22</v>
      </c>
      <c r="J426" t="s">
        <v>25</v>
      </c>
      <c r="K426" s="2">
        <v>105225</v>
      </c>
      <c r="L426" s="2">
        <v>94473</v>
      </c>
      <c r="M426" t="s">
        <v>24</v>
      </c>
      <c r="N426">
        <v>38</v>
      </c>
      <c r="O426" t="s">
        <v>25</v>
      </c>
      <c r="P426">
        <v>4</v>
      </c>
      <c r="Q426" s="1">
        <v>27.17</v>
      </c>
      <c r="R426" s="2">
        <f t="shared" si="24"/>
        <v>-10752</v>
      </c>
      <c r="S426" s="1">
        <f t="shared" si="25"/>
        <v>-10.218104062722738</v>
      </c>
      <c r="T426" t="str">
        <f t="shared" si="26"/>
        <v>Beginner</v>
      </c>
      <c r="U426" t="str">
        <f t="shared" si="27"/>
        <v>High Impact</v>
      </c>
    </row>
    <row r="427" spans="1:21" x14ac:dyDescent="0.3">
      <c r="A427" t="s">
        <v>1679</v>
      </c>
      <c r="B427">
        <v>46</v>
      </c>
      <c r="C427" t="s">
        <v>54</v>
      </c>
      <c r="D427" t="s">
        <v>19</v>
      </c>
      <c r="E427" t="s">
        <v>35</v>
      </c>
      <c r="F427" t="s">
        <v>98</v>
      </c>
      <c r="G427">
        <v>23</v>
      </c>
      <c r="H427" t="s">
        <v>31</v>
      </c>
      <c r="I427" t="s">
        <v>22</v>
      </c>
      <c r="J427" t="s">
        <v>25</v>
      </c>
      <c r="K427" s="2">
        <v>104420</v>
      </c>
      <c r="L427" s="2">
        <v>106921</v>
      </c>
      <c r="M427" t="s">
        <v>32</v>
      </c>
      <c r="N427">
        <v>42</v>
      </c>
      <c r="O427" t="s">
        <v>23</v>
      </c>
      <c r="P427">
        <v>5</v>
      </c>
      <c r="Q427" s="1">
        <v>27.15</v>
      </c>
      <c r="R427" s="2">
        <f t="shared" si="24"/>
        <v>2501</v>
      </c>
      <c r="S427" s="1">
        <f t="shared" si="25"/>
        <v>2.3951350316031412</v>
      </c>
      <c r="T427" t="str">
        <f t="shared" si="26"/>
        <v>Expert</v>
      </c>
      <c r="U427" t="str">
        <f t="shared" si="27"/>
        <v>Low Impact</v>
      </c>
    </row>
    <row r="428" spans="1:21" x14ac:dyDescent="0.3">
      <c r="A428" t="s">
        <v>402</v>
      </c>
      <c r="B428">
        <v>54</v>
      </c>
      <c r="C428" t="s">
        <v>54</v>
      </c>
      <c r="D428" t="s">
        <v>19</v>
      </c>
      <c r="E428" t="s">
        <v>29</v>
      </c>
      <c r="F428" t="s">
        <v>104</v>
      </c>
      <c r="G428">
        <v>32</v>
      </c>
      <c r="H428" t="s">
        <v>22</v>
      </c>
      <c r="I428" t="s">
        <v>37</v>
      </c>
      <c r="J428" t="s">
        <v>25</v>
      </c>
      <c r="K428" s="2">
        <v>75253</v>
      </c>
      <c r="L428" s="2">
        <v>88926</v>
      </c>
      <c r="M428" t="s">
        <v>38</v>
      </c>
      <c r="N428">
        <v>49</v>
      </c>
      <c r="O428" t="s">
        <v>25</v>
      </c>
      <c r="P428">
        <v>8</v>
      </c>
      <c r="Q428" s="1">
        <v>27.14</v>
      </c>
      <c r="R428" s="2">
        <f t="shared" si="24"/>
        <v>13673</v>
      </c>
      <c r="S428" s="1">
        <f t="shared" si="25"/>
        <v>18.169375307296718</v>
      </c>
      <c r="T428" t="str">
        <f t="shared" si="26"/>
        <v>Expert</v>
      </c>
      <c r="U428" t="str">
        <f t="shared" si="27"/>
        <v>Medium Impact</v>
      </c>
    </row>
    <row r="429" spans="1:21" x14ac:dyDescent="0.3">
      <c r="A429" t="s">
        <v>612</v>
      </c>
      <c r="B429">
        <v>49</v>
      </c>
      <c r="C429" t="s">
        <v>27</v>
      </c>
      <c r="D429" t="s">
        <v>34</v>
      </c>
      <c r="E429" t="s">
        <v>41</v>
      </c>
      <c r="F429" t="s">
        <v>49</v>
      </c>
      <c r="G429">
        <v>26</v>
      </c>
      <c r="H429" t="s">
        <v>22</v>
      </c>
      <c r="I429" t="s">
        <v>37</v>
      </c>
      <c r="J429" t="s">
        <v>23</v>
      </c>
      <c r="K429" s="2">
        <v>54417</v>
      </c>
      <c r="L429" s="2">
        <v>59861</v>
      </c>
      <c r="M429" t="s">
        <v>38</v>
      </c>
      <c r="N429">
        <v>47</v>
      </c>
      <c r="O429" t="s">
        <v>25</v>
      </c>
      <c r="P429">
        <v>6</v>
      </c>
      <c r="Q429" s="1">
        <v>27.11</v>
      </c>
      <c r="R429" s="2">
        <f t="shared" si="24"/>
        <v>5444</v>
      </c>
      <c r="S429" s="1">
        <f t="shared" si="25"/>
        <v>10.00422662035761</v>
      </c>
      <c r="T429" t="str">
        <f t="shared" si="26"/>
        <v>Expert</v>
      </c>
      <c r="U429" t="str">
        <f t="shared" si="27"/>
        <v>Medium Impact</v>
      </c>
    </row>
    <row r="430" spans="1:21" x14ac:dyDescent="0.3">
      <c r="A430" t="s">
        <v>1507</v>
      </c>
      <c r="B430">
        <v>25</v>
      </c>
      <c r="C430" t="s">
        <v>27</v>
      </c>
      <c r="D430" t="s">
        <v>34</v>
      </c>
      <c r="E430" t="s">
        <v>41</v>
      </c>
      <c r="F430" t="s">
        <v>49</v>
      </c>
      <c r="G430">
        <v>1</v>
      </c>
      <c r="H430" t="s">
        <v>31</v>
      </c>
      <c r="I430" t="s">
        <v>31</v>
      </c>
      <c r="J430" t="s">
        <v>23</v>
      </c>
      <c r="K430" s="2">
        <v>77632</v>
      </c>
      <c r="L430" s="2">
        <v>79137</v>
      </c>
      <c r="M430" t="s">
        <v>32</v>
      </c>
      <c r="N430">
        <v>45</v>
      </c>
      <c r="O430" t="s">
        <v>23</v>
      </c>
      <c r="P430">
        <v>6</v>
      </c>
      <c r="Q430" s="1">
        <v>27.1</v>
      </c>
      <c r="R430" s="2">
        <f t="shared" si="24"/>
        <v>1505</v>
      </c>
      <c r="S430" s="1">
        <f t="shared" si="25"/>
        <v>1.9386335531739491</v>
      </c>
      <c r="T430" t="str">
        <f t="shared" si="26"/>
        <v>Beginner</v>
      </c>
      <c r="U430" t="str">
        <f t="shared" si="27"/>
        <v>Low Impact</v>
      </c>
    </row>
    <row r="431" spans="1:21" x14ac:dyDescent="0.3">
      <c r="A431" t="s">
        <v>371</v>
      </c>
      <c r="B431">
        <v>50</v>
      </c>
      <c r="C431" t="s">
        <v>18</v>
      </c>
      <c r="D431" t="s">
        <v>40</v>
      </c>
      <c r="E431" t="s">
        <v>51</v>
      </c>
      <c r="F431" t="s">
        <v>75</v>
      </c>
      <c r="G431">
        <v>25</v>
      </c>
      <c r="H431" t="s">
        <v>31</v>
      </c>
      <c r="I431" t="s">
        <v>22</v>
      </c>
      <c r="J431" t="s">
        <v>23</v>
      </c>
      <c r="K431" s="2">
        <v>60620</v>
      </c>
      <c r="L431" s="2">
        <v>61766</v>
      </c>
      <c r="M431" t="s">
        <v>32</v>
      </c>
      <c r="N431">
        <v>47</v>
      </c>
      <c r="O431" t="s">
        <v>25</v>
      </c>
      <c r="P431">
        <v>3</v>
      </c>
      <c r="Q431" s="1">
        <v>27.1</v>
      </c>
      <c r="R431" s="2">
        <f t="shared" si="24"/>
        <v>1146</v>
      </c>
      <c r="S431" s="1">
        <f t="shared" si="25"/>
        <v>1.8904651930056087</v>
      </c>
      <c r="T431" t="str">
        <f t="shared" si="26"/>
        <v>Expert</v>
      </c>
      <c r="U431" t="str">
        <f t="shared" si="27"/>
        <v>Low Impact</v>
      </c>
    </row>
    <row r="432" spans="1:21" x14ac:dyDescent="0.3">
      <c r="A432" t="s">
        <v>777</v>
      </c>
      <c r="B432">
        <v>27</v>
      </c>
      <c r="C432" t="s">
        <v>18</v>
      </c>
      <c r="D432" t="s">
        <v>28</v>
      </c>
      <c r="E432" t="s">
        <v>35</v>
      </c>
      <c r="F432" t="s">
        <v>36</v>
      </c>
      <c r="G432">
        <v>2</v>
      </c>
      <c r="H432" t="s">
        <v>37</v>
      </c>
      <c r="I432" t="s">
        <v>37</v>
      </c>
      <c r="J432" t="s">
        <v>23</v>
      </c>
      <c r="K432" s="2">
        <v>109267</v>
      </c>
      <c r="L432" s="2">
        <v>122166</v>
      </c>
      <c r="M432" t="s">
        <v>38</v>
      </c>
      <c r="N432">
        <v>38</v>
      </c>
      <c r="O432" t="s">
        <v>25</v>
      </c>
      <c r="P432">
        <v>3</v>
      </c>
      <c r="Q432" s="1">
        <v>27.09</v>
      </c>
      <c r="R432" s="2">
        <f t="shared" si="24"/>
        <v>12899</v>
      </c>
      <c r="S432" s="1">
        <f t="shared" si="25"/>
        <v>11.805028050555062</v>
      </c>
      <c r="T432" t="str">
        <f t="shared" si="26"/>
        <v>Beginner</v>
      </c>
      <c r="U432" t="str">
        <f t="shared" si="27"/>
        <v>Medium Impact</v>
      </c>
    </row>
    <row r="433" spans="1:21" x14ac:dyDescent="0.3">
      <c r="A433" t="s">
        <v>719</v>
      </c>
      <c r="B433">
        <v>50</v>
      </c>
      <c r="C433" t="s">
        <v>18</v>
      </c>
      <c r="D433" t="s">
        <v>28</v>
      </c>
      <c r="E433" t="s">
        <v>35</v>
      </c>
      <c r="F433" t="s">
        <v>36</v>
      </c>
      <c r="G433">
        <v>24</v>
      </c>
      <c r="H433" t="s">
        <v>37</v>
      </c>
      <c r="I433" t="s">
        <v>37</v>
      </c>
      <c r="J433" t="s">
        <v>23</v>
      </c>
      <c r="K433" s="2">
        <v>46968</v>
      </c>
      <c r="L433" s="2">
        <v>54891</v>
      </c>
      <c r="M433" t="s">
        <v>38</v>
      </c>
      <c r="N433">
        <v>42</v>
      </c>
      <c r="O433" t="s">
        <v>25</v>
      </c>
      <c r="P433">
        <v>6</v>
      </c>
      <c r="Q433" s="1">
        <v>27.01</v>
      </c>
      <c r="R433" s="2">
        <f t="shared" si="24"/>
        <v>7923</v>
      </c>
      <c r="S433" s="1">
        <f t="shared" si="25"/>
        <v>16.868932038834952</v>
      </c>
      <c r="T433" t="str">
        <f t="shared" si="26"/>
        <v>Expert</v>
      </c>
      <c r="U433" t="str">
        <f t="shared" si="27"/>
        <v>Medium Impact</v>
      </c>
    </row>
    <row r="434" spans="1:21" x14ac:dyDescent="0.3">
      <c r="A434" t="s">
        <v>1521</v>
      </c>
      <c r="B434">
        <v>53</v>
      </c>
      <c r="C434" t="s">
        <v>18</v>
      </c>
      <c r="D434" t="s">
        <v>28</v>
      </c>
      <c r="E434" t="s">
        <v>35</v>
      </c>
      <c r="F434" t="s">
        <v>132</v>
      </c>
      <c r="G434">
        <v>30</v>
      </c>
      <c r="H434" t="s">
        <v>31</v>
      </c>
      <c r="I434" t="s">
        <v>31</v>
      </c>
      <c r="J434" t="s">
        <v>25</v>
      </c>
      <c r="K434" s="2">
        <v>119710</v>
      </c>
      <c r="L434" s="2">
        <v>121249</v>
      </c>
      <c r="M434" t="s">
        <v>32</v>
      </c>
      <c r="N434">
        <v>42</v>
      </c>
      <c r="O434" t="s">
        <v>23</v>
      </c>
      <c r="P434">
        <v>5</v>
      </c>
      <c r="Q434" s="1">
        <v>27</v>
      </c>
      <c r="R434" s="2">
        <f t="shared" si="24"/>
        <v>1539</v>
      </c>
      <c r="S434" s="1">
        <f t="shared" si="25"/>
        <v>1.2856068833013115</v>
      </c>
      <c r="T434" t="str">
        <f t="shared" si="26"/>
        <v>Expert</v>
      </c>
      <c r="U434" t="str">
        <f t="shared" si="27"/>
        <v>Low Impact</v>
      </c>
    </row>
    <row r="435" spans="1:21" x14ac:dyDescent="0.3">
      <c r="A435" t="s">
        <v>1924</v>
      </c>
      <c r="B435">
        <v>46</v>
      </c>
      <c r="C435" t="s">
        <v>18</v>
      </c>
      <c r="D435" t="s">
        <v>28</v>
      </c>
      <c r="E435" t="s">
        <v>29</v>
      </c>
      <c r="F435" t="s">
        <v>30</v>
      </c>
      <c r="G435">
        <v>24</v>
      </c>
      <c r="H435" t="s">
        <v>31</v>
      </c>
      <c r="I435" t="s">
        <v>37</v>
      </c>
      <c r="J435" t="s">
        <v>25</v>
      </c>
      <c r="K435" s="2">
        <v>36066</v>
      </c>
      <c r="L435" s="2">
        <v>36870</v>
      </c>
      <c r="M435" t="s">
        <v>38</v>
      </c>
      <c r="N435">
        <v>54</v>
      </c>
      <c r="O435" t="s">
        <v>23</v>
      </c>
      <c r="P435">
        <v>5</v>
      </c>
      <c r="Q435" s="1">
        <v>26.99</v>
      </c>
      <c r="R435" s="2">
        <f t="shared" si="24"/>
        <v>804</v>
      </c>
      <c r="S435" s="1">
        <f t="shared" si="25"/>
        <v>2.2292463816336716</v>
      </c>
      <c r="T435" t="str">
        <f t="shared" si="26"/>
        <v>Expert</v>
      </c>
      <c r="U435" t="str">
        <f t="shared" si="27"/>
        <v>Medium Impact</v>
      </c>
    </row>
    <row r="436" spans="1:21" x14ac:dyDescent="0.3">
      <c r="A436" t="s">
        <v>1313</v>
      </c>
      <c r="B436">
        <v>45</v>
      </c>
      <c r="C436" t="s">
        <v>27</v>
      </c>
      <c r="D436" t="s">
        <v>19</v>
      </c>
      <c r="E436" t="s">
        <v>41</v>
      </c>
      <c r="F436" t="s">
        <v>55</v>
      </c>
      <c r="G436">
        <v>22</v>
      </c>
      <c r="H436" t="s">
        <v>31</v>
      </c>
      <c r="I436" t="s">
        <v>31</v>
      </c>
      <c r="J436" t="s">
        <v>25</v>
      </c>
      <c r="K436" s="2">
        <v>112215</v>
      </c>
      <c r="L436" s="2">
        <v>120983</v>
      </c>
      <c r="M436" t="s">
        <v>32</v>
      </c>
      <c r="N436">
        <v>45</v>
      </c>
      <c r="O436" t="s">
        <v>25</v>
      </c>
      <c r="P436">
        <v>7</v>
      </c>
      <c r="Q436" s="1">
        <v>26.9</v>
      </c>
      <c r="R436" s="2">
        <f t="shared" si="24"/>
        <v>8768</v>
      </c>
      <c r="S436" s="1">
        <f t="shared" si="25"/>
        <v>7.8135721605845916</v>
      </c>
      <c r="T436" t="str">
        <f t="shared" si="26"/>
        <v>Expert</v>
      </c>
      <c r="U436" t="str">
        <f t="shared" si="27"/>
        <v>Low Impact</v>
      </c>
    </row>
    <row r="437" spans="1:21" x14ac:dyDescent="0.3">
      <c r="A437" t="s">
        <v>726</v>
      </c>
      <c r="B437">
        <v>56</v>
      </c>
      <c r="C437" t="s">
        <v>27</v>
      </c>
      <c r="D437" t="s">
        <v>28</v>
      </c>
      <c r="E437" t="s">
        <v>35</v>
      </c>
      <c r="F437" t="s">
        <v>36</v>
      </c>
      <c r="G437">
        <v>30</v>
      </c>
      <c r="H437" t="s">
        <v>37</v>
      </c>
      <c r="I437" t="s">
        <v>37</v>
      </c>
      <c r="J437" t="s">
        <v>23</v>
      </c>
      <c r="K437" s="2">
        <v>95333</v>
      </c>
      <c r="L437" s="2">
        <v>107589</v>
      </c>
      <c r="M437" t="s">
        <v>38</v>
      </c>
      <c r="N437">
        <v>37</v>
      </c>
      <c r="O437" t="s">
        <v>23</v>
      </c>
      <c r="P437">
        <v>6</v>
      </c>
      <c r="Q437" s="1">
        <v>26.89</v>
      </c>
      <c r="R437" s="2">
        <f t="shared" si="24"/>
        <v>12256</v>
      </c>
      <c r="S437" s="1">
        <f t="shared" si="25"/>
        <v>12.855989006954568</v>
      </c>
      <c r="T437" t="str">
        <f t="shared" si="26"/>
        <v>Expert</v>
      </c>
      <c r="U437" t="str">
        <f t="shared" si="27"/>
        <v>Medium Impact</v>
      </c>
    </row>
    <row r="438" spans="1:21" x14ac:dyDescent="0.3">
      <c r="A438" t="s">
        <v>207</v>
      </c>
      <c r="B438">
        <v>27</v>
      </c>
      <c r="C438" t="s">
        <v>18</v>
      </c>
      <c r="D438" t="s">
        <v>28</v>
      </c>
      <c r="E438" t="s">
        <v>20</v>
      </c>
      <c r="F438" t="s">
        <v>21</v>
      </c>
      <c r="G438">
        <v>1</v>
      </c>
      <c r="H438" t="s">
        <v>37</v>
      </c>
      <c r="I438" t="s">
        <v>37</v>
      </c>
      <c r="J438" t="s">
        <v>23</v>
      </c>
      <c r="K438" s="2">
        <v>117895</v>
      </c>
      <c r="L438" s="2">
        <v>117121</v>
      </c>
      <c r="M438" t="s">
        <v>38</v>
      </c>
      <c r="N438">
        <v>45</v>
      </c>
      <c r="O438" t="s">
        <v>25</v>
      </c>
      <c r="P438">
        <v>8</v>
      </c>
      <c r="Q438" s="1">
        <v>26.83</v>
      </c>
      <c r="R438" s="2">
        <f t="shared" si="24"/>
        <v>-774</v>
      </c>
      <c r="S438" s="1">
        <f t="shared" si="25"/>
        <v>-0.65651639170448273</v>
      </c>
      <c r="T438" t="str">
        <f t="shared" si="26"/>
        <v>Beginner</v>
      </c>
      <c r="U438" t="str">
        <f t="shared" si="27"/>
        <v>Medium Impact</v>
      </c>
    </row>
    <row r="439" spans="1:21" x14ac:dyDescent="0.3">
      <c r="A439" t="s">
        <v>534</v>
      </c>
      <c r="B439">
        <v>30</v>
      </c>
      <c r="C439" t="s">
        <v>54</v>
      </c>
      <c r="D439" t="s">
        <v>28</v>
      </c>
      <c r="E439" t="s">
        <v>41</v>
      </c>
      <c r="F439" t="s">
        <v>55</v>
      </c>
      <c r="G439">
        <v>6</v>
      </c>
      <c r="H439" t="s">
        <v>37</v>
      </c>
      <c r="I439" t="s">
        <v>31</v>
      </c>
      <c r="J439" t="s">
        <v>25</v>
      </c>
      <c r="K439" s="2">
        <v>118839</v>
      </c>
      <c r="L439" s="2">
        <v>134877</v>
      </c>
      <c r="M439" t="s">
        <v>32</v>
      </c>
      <c r="N439">
        <v>42</v>
      </c>
      <c r="O439" t="s">
        <v>25</v>
      </c>
      <c r="P439">
        <v>7</v>
      </c>
      <c r="Q439" s="1">
        <v>26.82</v>
      </c>
      <c r="R439" s="2">
        <f t="shared" si="24"/>
        <v>16038</v>
      </c>
      <c r="S439" s="1">
        <f t="shared" si="25"/>
        <v>13.495569636230531</v>
      </c>
      <c r="T439" t="str">
        <f t="shared" si="26"/>
        <v>Intermediate</v>
      </c>
      <c r="U439" t="str">
        <f t="shared" si="27"/>
        <v>Low Impact</v>
      </c>
    </row>
    <row r="440" spans="1:21" x14ac:dyDescent="0.3">
      <c r="A440" t="s">
        <v>782</v>
      </c>
      <c r="B440">
        <v>48</v>
      </c>
      <c r="C440" t="s">
        <v>27</v>
      </c>
      <c r="D440" t="s">
        <v>19</v>
      </c>
      <c r="E440" t="s">
        <v>51</v>
      </c>
      <c r="F440" t="s">
        <v>130</v>
      </c>
      <c r="G440">
        <v>23</v>
      </c>
      <c r="H440" t="s">
        <v>37</v>
      </c>
      <c r="I440" t="s">
        <v>22</v>
      </c>
      <c r="J440" t="s">
        <v>25</v>
      </c>
      <c r="K440" s="2">
        <v>53382</v>
      </c>
      <c r="L440" s="2">
        <v>59717</v>
      </c>
      <c r="M440" t="s">
        <v>32</v>
      </c>
      <c r="N440">
        <v>49</v>
      </c>
      <c r="O440" t="s">
        <v>25</v>
      </c>
      <c r="P440">
        <v>5</v>
      </c>
      <c r="Q440" s="1">
        <v>26.79</v>
      </c>
      <c r="R440" s="2">
        <f t="shared" si="24"/>
        <v>6335</v>
      </c>
      <c r="S440" s="1">
        <f t="shared" si="25"/>
        <v>11.867296092315762</v>
      </c>
      <c r="T440" t="str">
        <f t="shared" si="26"/>
        <v>Expert</v>
      </c>
      <c r="U440" t="str">
        <f t="shared" si="27"/>
        <v>Low Impact</v>
      </c>
    </row>
    <row r="441" spans="1:21" x14ac:dyDescent="0.3">
      <c r="A441" t="s">
        <v>85</v>
      </c>
      <c r="B441">
        <v>37</v>
      </c>
      <c r="C441" t="s">
        <v>18</v>
      </c>
      <c r="D441" t="s">
        <v>40</v>
      </c>
      <c r="E441" t="s">
        <v>44</v>
      </c>
      <c r="F441" t="s">
        <v>57</v>
      </c>
      <c r="G441">
        <v>13</v>
      </c>
      <c r="H441" t="s">
        <v>37</v>
      </c>
      <c r="I441" t="s">
        <v>31</v>
      </c>
      <c r="J441" t="s">
        <v>25</v>
      </c>
      <c r="K441" s="2">
        <v>34499</v>
      </c>
      <c r="L441" s="2">
        <v>40230</v>
      </c>
      <c r="M441" t="s">
        <v>32</v>
      </c>
      <c r="N441">
        <v>54</v>
      </c>
      <c r="O441" t="s">
        <v>25</v>
      </c>
      <c r="P441">
        <v>5</v>
      </c>
      <c r="Q441" s="1">
        <v>26.79</v>
      </c>
      <c r="R441" s="2">
        <f t="shared" si="24"/>
        <v>5731</v>
      </c>
      <c r="S441" s="1">
        <f t="shared" si="25"/>
        <v>16.61207571233949</v>
      </c>
      <c r="T441" t="str">
        <f t="shared" si="26"/>
        <v>Intermediate</v>
      </c>
      <c r="U441" t="str">
        <f t="shared" si="27"/>
        <v>Low Impact</v>
      </c>
    </row>
    <row r="442" spans="1:21" x14ac:dyDescent="0.3">
      <c r="A442" t="s">
        <v>1389</v>
      </c>
      <c r="B442">
        <v>57</v>
      </c>
      <c r="C442" t="s">
        <v>27</v>
      </c>
      <c r="D442" t="s">
        <v>19</v>
      </c>
      <c r="E442" t="s">
        <v>41</v>
      </c>
      <c r="F442" t="s">
        <v>49</v>
      </c>
      <c r="G442">
        <v>35</v>
      </c>
      <c r="H442" t="s">
        <v>37</v>
      </c>
      <c r="I442" t="s">
        <v>31</v>
      </c>
      <c r="J442" t="s">
        <v>23</v>
      </c>
      <c r="K442" s="2">
        <v>70136</v>
      </c>
      <c r="L442" s="2">
        <v>77544</v>
      </c>
      <c r="M442" t="s">
        <v>32</v>
      </c>
      <c r="N442">
        <v>52</v>
      </c>
      <c r="O442" t="s">
        <v>23</v>
      </c>
      <c r="P442">
        <v>7</v>
      </c>
      <c r="Q442" s="1">
        <v>26.74</v>
      </c>
      <c r="R442" s="2">
        <f t="shared" si="24"/>
        <v>7408</v>
      </c>
      <c r="S442" s="1">
        <f t="shared" si="25"/>
        <v>10.562336032850462</v>
      </c>
      <c r="T442" t="str">
        <f t="shared" si="26"/>
        <v>Expert</v>
      </c>
      <c r="U442" t="str">
        <f t="shared" si="27"/>
        <v>Low Impact</v>
      </c>
    </row>
    <row r="443" spans="1:21" x14ac:dyDescent="0.3">
      <c r="A443" t="s">
        <v>1343</v>
      </c>
      <c r="B443">
        <v>30</v>
      </c>
      <c r="C443" t="s">
        <v>54</v>
      </c>
      <c r="D443" t="s">
        <v>28</v>
      </c>
      <c r="E443" t="s">
        <v>59</v>
      </c>
      <c r="F443" t="s">
        <v>60</v>
      </c>
      <c r="G443">
        <v>6</v>
      </c>
      <c r="H443" t="s">
        <v>37</v>
      </c>
      <c r="I443" t="s">
        <v>22</v>
      </c>
      <c r="J443" t="s">
        <v>23</v>
      </c>
      <c r="K443" s="2">
        <v>89372</v>
      </c>
      <c r="L443" s="2">
        <v>93889</v>
      </c>
      <c r="M443" t="s">
        <v>32</v>
      </c>
      <c r="N443">
        <v>36</v>
      </c>
      <c r="O443" t="s">
        <v>25</v>
      </c>
      <c r="P443">
        <v>4</v>
      </c>
      <c r="Q443" s="1">
        <v>26.68</v>
      </c>
      <c r="R443" s="2">
        <f t="shared" si="24"/>
        <v>4517</v>
      </c>
      <c r="S443" s="1">
        <f t="shared" si="25"/>
        <v>5.054155663966343</v>
      </c>
      <c r="T443" t="str">
        <f t="shared" si="26"/>
        <v>Intermediate</v>
      </c>
      <c r="U443" t="str">
        <f t="shared" si="27"/>
        <v>Low Impact</v>
      </c>
    </row>
    <row r="444" spans="1:21" x14ac:dyDescent="0.3">
      <c r="A444" t="s">
        <v>678</v>
      </c>
      <c r="B444">
        <v>58</v>
      </c>
      <c r="C444" t="s">
        <v>18</v>
      </c>
      <c r="D444" t="s">
        <v>34</v>
      </c>
      <c r="E444" t="s">
        <v>51</v>
      </c>
      <c r="F444" t="s">
        <v>52</v>
      </c>
      <c r="G444">
        <v>35</v>
      </c>
      <c r="H444" t="s">
        <v>22</v>
      </c>
      <c r="I444" t="s">
        <v>37</v>
      </c>
      <c r="J444" t="s">
        <v>23</v>
      </c>
      <c r="K444" s="2">
        <v>41349</v>
      </c>
      <c r="L444" s="2">
        <v>55363</v>
      </c>
      <c r="M444" t="s">
        <v>38</v>
      </c>
      <c r="N444">
        <v>40</v>
      </c>
      <c r="O444" t="s">
        <v>25</v>
      </c>
      <c r="P444">
        <v>9</v>
      </c>
      <c r="Q444" s="1">
        <v>26.61</v>
      </c>
      <c r="R444" s="2">
        <f t="shared" si="24"/>
        <v>14014</v>
      </c>
      <c r="S444" s="1">
        <f t="shared" si="25"/>
        <v>33.891992551210429</v>
      </c>
      <c r="T444" t="str">
        <f t="shared" si="26"/>
        <v>Expert</v>
      </c>
      <c r="U444" t="str">
        <f t="shared" si="27"/>
        <v>Medium Impact</v>
      </c>
    </row>
    <row r="445" spans="1:21" x14ac:dyDescent="0.3">
      <c r="A445" t="s">
        <v>672</v>
      </c>
      <c r="B445">
        <v>52</v>
      </c>
      <c r="C445" t="s">
        <v>54</v>
      </c>
      <c r="D445" t="s">
        <v>28</v>
      </c>
      <c r="E445" t="s">
        <v>20</v>
      </c>
      <c r="F445" t="s">
        <v>118</v>
      </c>
      <c r="G445">
        <v>30</v>
      </c>
      <c r="H445" t="s">
        <v>22</v>
      </c>
      <c r="I445" t="s">
        <v>31</v>
      </c>
      <c r="J445" t="s">
        <v>25</v>
      </c>
      <c r="K445" s="2">
        <v>86583</v>
      </c>
      <c r="L445" s="2">
        <v>118139</v>
      </c>
      <c r="M445" t="s">
        <v>32</v>
      </c>
      <c r="N445">
        <v>48</v>
      </c>
      <c r="O445" t="s">
        <v>25</v>
      </c>
      <c r="P445">
        <v>6</v>
      </c>
      <c r="Q445" s="1">
        <v>26.55</v>
      </c>
      <c r="R445" s="2">
        <f t="shared" si="24"/>
        <v>31556</v>
      </c>
      <c r="S445" s="1">
        <f t="shared" si="25"/>
        <v>36.445953593661571</v>
      </c>
      <c r="T445" t="str">
        <f t="shared" si="26"/>
        <v>Expert</v>
      </c>
      <c r="U445" t="str">
        <f t="shared" si="27"/>
        <v>Low Impact</v>
      </c>
    </row>
    <row r="446" spans="1:21" x14ac:dyDescent="0.3">
      <c r="A446" t="s">
        <v>454</v>
      </c>
      <c r="B446">
        <v>44</v>
      </c>
      <c r="C446" t="s">
        <v>18</v>
      </c>
      <c r="D446" t="s">
        <v>40</v>
      </c>
      <c r="E446" t="s">
        <v>35</v>
      </c>
      <c r="F446" t="s">
        <v>132</v>
      </c>
      <c r="G446">
        <v>19</v>
      </c>
      <c r="H446" t="s">
        <v>37</v>
      </c>
      <c r="I446" t="s">
        <v>31</v>
      </c>
      <c r="J446" t="s">
        <v>25</v>
      </c>
      <c r="K446" s="2">
        <v>36581</v>
      </c>
      <c r="L446" s="2">
        <v>37692</v>
      </c>
      <c r="M446" t="s">
        <v>32</v>
      </c>
      <c r="N446">
        <v>43</v>
      </c>
      <c r="O446" t="s">
        <v>23</v>
      </c>
      <c r="P446">
        <v>5</v>
      </c>
      <c r="Q446" s="1">
        <v>26.43</v>
      </c>
      <c r="R446" s="2">
        <f t="shared" si="24"/>
        <v>1111</v>
      </c>
      <c r="S446" s="1">
        <f t="shared" si="25"/>
        <v>3.0370957600940378</v>
      </c>
      <c r="T446" t="str">
        <f t="shared" si="26"/>
        <v>Expert</v>
      </c>
      <c r="U446" t="str">
        <f t="shared" si="27"/>
        <v>Low Impact</v>
      </c>
    </row>
    <row r="447" spans="1:21" x14ac:dyDescent="0.3">
      <c r="A447" t="s">
        <v>61</v>
      </c>
      <c r="B447">
        <v>36</v>
      </c>
      <c r="C447" t="s">
        <v>54</v>
      </c>
      <c r="D447" t="s">
        <v>34</v>
      </c>
      <c r="E447" t="s">
        <v>44</v>
      </c>
      <c r="F447" t="s">
        <v>57</v>
      </c>
      <c r="G447">
        <v>10</v>
      </c>
      <c r="H447" t="s">
        <v>22</v>
      </c>
      <c r="I447" t="s">
        <v>31</v>
      </c>
      <c r="J447" t="s">
        <v>23</v>
      </c>
      <c r="K447" s="2">
        <v>78984</v>
      </c>
      <c r="L447" s="2">
        <v>109956</v>
      </c>
      <c r="M447" t="s">
        <v>32</v>
      </c>
      <c r="N447">
        <v>46</v>
      </c>
      <c r="O447" t="s">
        <v>25</v>
      </c>
      <c r="P447">
        <v>9</v>
      </c>
      <c r="Q447" s="1">
        <v>26.33</v>
      </c>
      <c r="R447" s="2">
        <f t="shared" si="24"/>
        <v>30972</v>
      </c>
      <c r="S447" s="1">
        <f t="shared" si="25"/>
        <v>39.213005165603157</v>
      </c>
      <c r="T447" t="str">
        <f t="shared" si="26"/>
        <v>Intermediate</v>
      </c>
      <c r="U447" t="str">
        <f t="shared" si="27"/>
        <v>Low Impact</v>
      </c>
    </row>
    <row r="448" spans="1:21" x14ac:dyDescent="0.3">
      <c r="A448" t="s">
        <v>1354</v>
      </c>
      <c r="B448">
        <v>35</v>
      </c>
      <c r="C448" t="s">
        <v>27</v>
      </c>
      <c r="D448" t="s">
        <v>28</v>
      </c>
      <c r="E448" t="s">
        <v>44</v>
      </c>
      <c r="F448" t="s">
        <v>47</v>
      </c>
      <c r="G448">
        <v>12</v>
      </c>
      <c r="H448" t="s">
        <v>37</v>
      </c>
      <c r="I448" t="s">
        <v>31</v>
      </c>
      <c r="J448" t="s">
        <v>23</v>
      </c>
      <c r="K448" s="2">
        <v>80906</v>
      </c>
      <c r="L448" s="2">
        <v>96010</v>
      </c>
      <c r="M448" t="s">
        <v>32</v>
      </c>
      <c r="N448">
        <v>43</v>
      </c>
      <c r="O448" t="s">
        <v>25</v>
      </c>
      <c r="P448">
        <v>9</v>
      </c>
      <c r="Q448" s="1">
        <v>26.33</v>
      </c>
      <c r="R448" s="2">
        <f t="shared" si="24"/>
        <v>15104</v>
      </c>
      <c r="S448" s="1">
        <f t="shared" si="25"/>
        <v>18.668578350184166</v>
      </c>
      <c r="T448" t="str">
        <f t="shared" si="26"/>
        <v>Intermediate</v>
      </c>
      <c r="U448" t="str">
        <f t="shared" si="27"/>
        <v>Low Impact</v>
      </c>
    </row>
    <row r="449" spans="1:21" x14ac:dyDescent="0.3">
      <c r="A449" t="s">
        <v>1098</v>
      </c>
      <c r="B449">
        <v>48</v>
      </c>
      <c r="C449" t="s">
        <v>18</v>
      </c>
      <c r="D449" t="s">
        <v>40</v>
      </c>
      <c r="E449" t="s">
        <v>20</v>
      </c>
      <c r="F449" t="s">
        <v>21</v>
      </c>
      <c r="G449">
        <v>25</v>
      </c>
      <c r="H449" t="s">
        <v>22</v>
      </c>
      <c r="I449" t="s">
        <v>37</v>
      </c>
      <c r="J449" t="s">
        <v>25</v>
      </c>
      <c r="K449" s="2">
        <v>116394</v>
      </c>
      <c r="L449" s="2">
        <v>121501</v>
      </c>
      <c r="M449" t="s">
        <v>38</v>
      </c>
      <c r="N449">
        <v>38</v>
      </c>
      <c r="O449" t="s">
        <v>25</v>
      </c>
      <c r="P449">
        <v>6</v>
      </c>
      <c r="Q449" s="1">
        <v>26.31</v>
      </c>
      <c r="R449" s="2">
        <f t="shared" si="24"/>
        <v>5107</v>
      </c>
      <c r="S449" s="1">
        <f t="shared" si="25"/>
        <v>4.3876832139113695</v>
      </c>
      <c r="T449" t="str">
        <f t="shared" si="26"/>
        <v>Expert</v>
      </c>
      <c r="U449" t="str">
        <f t="shared" si="27"/>
        <v>Medium Impact</v>
      </c>
    </row>
    <row r="450" spans="1:21" x14ac:dyDescent="0.3">
      <c r="A450" t="s">
        <v>1331</v>
      </c>
      <c r="B450">
        <v>38</v>
      </c>
      <c r="C450" t="s">
        <v>27</v>
      </c>
      <c r="D450" t="s">
        <v>34</v>
      </c>
      <c r="E450" t="s">
        <v>20</v>
      </c>
      <c r="F450" t="s">
        <v>118</v>
      </c>
      <c r="G450">
        <v>15</v>
      </c>
      <c r="H450" t="s">
        <v>22</v>
      </c>
      <c r="I450" t="s">
        <v>37</v>
      </c>
      <c r="J450" t="s">
        <v>25</v>
      </c>
      <c r="K450" s="2">
        <v>62813</v>
      </c>
      <c r="L450" s="2">
        <v>66902</v>
      </c>
      <c r="M450" t="s">
        <v>38</v>
      </c>
      <c r="N450">
        <v>45</v>
      </c>
      <c r="O450" t="s">
        <v>23</v>
      </c>
      <c r="P450">
        <v>9</v>
      </c>
      <c r="Q450" s="1">
        <v>26.24</v>
      </c>
      <c r="R450" s="2">
        <f t="shared" ref="R450:R513" si="28">L450-K450</f>
        <v>4089</v>
      </c>
      <c r="S450" s="1">
        <f t="shared" ref="S450:S513" si="29">(L450-K450)/K450*100</f>
        <v>6.5097989269737155</v>
      </c>
      <c r="T450" t="str">
        <f t="shared" ref="T450:T513" si="30">IF(G450&lt;5,"Beginner",IF(G450&lt;15,"Intermediate","Expert"))</f>
        <v>Expert</v>
      </c>
      <c r="U450" t="str">
        <f t="shared" ref="U450:U513" si="31">IF(M450="Replaced","High Impact",IF(M450="Modified","Medium Impact","Low Impact"))</f>
        <v>Medium Impact</v>
      </c>
    </row>
    <row r="451" spans="1:21" x14ac:dyDescent="0.3">
      <c r="A451" t="s">
        <v>531</v>
      </c>
      <c r="B451">
        <v>33</v>
      </c>
      <c r="C451" t="s">
        <v>27</v>
      </c>
      <c r="D451" t="s">
        <v>28</v>
      </c>
      <c r="E451" t="s">
        <v>44</v>
      </c>
      <c r="F451" t="s">
        <v>47</v>
      </c>
      <c r="G451">
        <v>9</v>
      </c>
      <c r="H451" t="s">
        <v>31</v>
      </c>
      <c r="I451" t="s">
        <v>37</v>
      </c>
      <c r="J451" t="s">
        <v>23</v>
      </c>
      <c r="K451" s="2">
        <v>62245</v>
      </c>
      <c r="L451" s="2">
        <v>59290</v>
      </c>
      <c r="M451" t="s">
        <v>38</v>
      </c>
      <c r="N451">
        <v>43</v>
      </c>
      <c r="O451" t="s">
        <v>23</v>
      </c>
      <c r="P451">
        <v>4</v>
      </c>
      <c r="Q451" s="1">
        <v>26.21</v>
      </c>
      <c r="R451" s="2">
        <f t="shared" si="28"/>
        <v>-2955</v>
      </c>
      <c r="S451" s="1">
        <f t="shared" si="29"/>
        <v>-4.7473692666077589</v>
      </c>
      <c r="T451" t="str">
        <f t="shared" si="30"/>
        <v>Intermediate</v>
      </c>
      <c r="U451" t="str">
        <f t="shared" si="31"/>
        <v>Medium Impact</v>
      </c>
    </row>
    <row r="452" spans="1:21" x14ac:dyDescent="0.3">
      <c r="A452" t="s">
        <v>335</v>
      </c>
      <c r="B452">
        <v>45</v>
      </c>
      <c r="C452" t="s">
        <v>54</v>
      </c>
      <c r="D452" t="s">
        <v>34</v>
      </c>
      <c r="E452" t="s">
        <v>35</v>
      </c>
      <c r="F452" t="s">
        <v>98</v>
      </c>
      <c r="G452">
        <v>22</v>
      </c>
      <c r="H452" t="s">
        <v>22</v>
      </c>
      <c r="I452" t="s">
        <v>37</v>
      </c>
      <c r="J452" t="s">
        <v>25</v>
      </c>
      <c r="K452" s="2">
        <v>105388</v>
      </c>
      <c r="L452" s="2">
        <v>141592</v>
      </c>
      <c r="M452" t="s">
        <v>38</v>
      </c>
      <c r="N452">
        <v>51</v>
      </c>
      <c r="O452" t="s">
        <v>25</v>
      </c>
      <c r="P452">
        <v>4</v>
      </c>
      <c r="Q452" s="1">
        <v>26.2</v>
      </c>
      <c r="R452" s="2">
        <f t="shared" si="28"/>
        <v>36204</v>
      </c>
      <c r="S452" s="1">
        <f t="shared" si="29"/>
        <v>34.353057274072953</v>
      </c>
      <c r="T452" t="str">
        <f t="shared" si="30"/>
        <v>Expert</v>
      </c>
      <c r="U452" t="str">
        <f t="shared" si="31"/>
        <v>Medium Impact</v>
      </c>
    </row>
    <row r="453" spans="1:21" x14ac:dyDescent="0.3">
      <c r="A453" t="s">
        <v>762</v>
      </c>
      <c r="B453">
        <v>42</v>
      </c>
      <c r="C453" t="s">
        <v>27</v>
      </c>
      <c r="D453" t="s">
        <v>40</v>
      </c>
      <c r="E453" t="s">
        <v>20</v>
      </c>
      <c r="F453" t="s">
        <v>88</v>
      </c>
      <c r="G453">
        <v>16</v>
      </c>
      <c r="H453" t="s">
        <v>22</v>
      </c>
      <c r="I453" t="s">
        <v>22</v>
      </c>
      <c r="J453" t="s">
        <v>23</v>
      </c>
      <c r="K453" s="2">
        <v>76418</v>
      </c>
      <c r="L453" s="2">
        <v>106305</v>
      </c>
      <c r="M453" t="s">
        <v>24</v>
      </c>
      <c r="N453">
        <v>54</v>
      </c>
      <c r="O453" t="s">
        <v>25</v>
      </c>
      <c r="P453">
        <v>4</v>
      </c>
      <c r="Q453" s="1">
        <v>26.08</v>
      </c>
      <c r="R453" s="2">
        <f t="shared" si="28"/>
        <v>29887</v>
      </c>
      <c r="S453" s="1">
        <f t="shared" si="29"/>
        <v>39.109895574341124</v>
      </c>
      <c r="T453" t="str">
        <f t="shared" si="30"/>
        <v>Expert</v>
      </c>
      <c r="U453" t="str">
        <f t="shared" si="31"/>
        <v>High Impact</v>
      </c>
    </row>
    <row r="454" spans="1:21" x14ac:dyDescent="0.3">
      <c r="A454" t="s">
        <v>1811</v>
      </c>
      <c r="B454">
        <v>37</v>
      </c>
      <c r="C454" t="s">
        <v>27</v>
      </c>
      <c r="D454" t="s">
        <v>19</v>
      </c>
      <c r="E454" t="s">
        <v>20</v>
      </c>
      <c r="F454" t="s">
        <v>21</v>
      </c>
      <c r="G454">
        <v>15</v>
      </c>
      <c r="H454" t="s">
        <v>31</v>
      </c>
      <c r="I454" t="s">
        <v>37</v>
      </c>
      <c r="J454" t="s">
        <v>23</v>
      </c>
      <c r="K454" s="2">
        <v>47358</v>
      </c>
      <c r="L454" s="2">
        <v>50097</v>
      </c>
      <c r="M454" t="s">
        <v>38</v>
      </c>
      <c r="N454">
        <v>48</v>
      </c>
      <c r="O454" t="s">
        <v>25</v>
      </c>
      <c r="P454">
        <v>8</v>
      </c>
      <c r="Q454" s="1">
        <v>26.02</v>
      </c>
      <c r="R454" s="2">
        <f t="shared" si="28"/>
        <v>2739</v>
      </c>
      <c r="S454" s="1">
        <f t="shared" si="29"/>
        <v>5.7836057265931835</v>
      </c>
      <c r="T454" t="str">
        <f t="shared" si="30"/>
        <v>Expert</v>
      </c>
      <c r="U454" t="str">
        <f t="shared" si="31"/>
        <v>Medium Impact</v>
      </c>
    </row>
    <row r="455" spans="1:21" x14ac:dyDescent="0.3">
      <c r="A455" t="s">
        <v>1184</v>
      </c>
      <c r="B455">
        <v>48</v>
      </c>
      <c r="C455" t="s">
        <v>54</v>
      </c>
      <c r="D455" t="s">
        <v>40</v>
      </c>
      <c r="E455" t="s">
        <v>44</v>
      </c>
      <c r="F455" t="s">
        <v>45</v>
      </c>
      <c r="G455">
        <v>24</v>
      </c>
      <c r="H455" t="s">
        <v>22</v>
      </c>
      <c r="I455" t="s">
        <v>31</v>
      </c>
      <c r="J455" t="s">
        <v>23</v>
      </c>
      <c r="K455" s="2">
        <v>91245</v>
      </c>
      <c r="L455" s="2">
        <v>124131</v>
      </c>
      <c r="M455" t="s">
        <v>32</v>
      </c>
      <c r="N455">
        <v>44</v>
      </c>
      <c r="O455" t="s">
        <v>23</v>
      </c>
      <c r="P455">
        <v>5</v>
      </c>
      <c r="Q455" s="1">
        <v>25.98</v>
      </c>
      <c r="R455" s="2">
        <f t="shared" si="28"/>
        <v>32886</v>
      </c>
      <c r="S455" s="1">
        <f t="shared" si="29"/>
        <v>36.041426927502876</v>
      </c>
      <c r="T455" t="str">
        <f t="shared" si="30"/>
        <v>Expert</v>
      </c>
      <c r="U455" t="str">
        <f t="shared" si="31"/>
        <v>Low Impact</v>
      </c>
    </row>
    <row r="456" spans="1:21" x14ac:dyDescent="0.3">
      <c r="A456" t="s">
        <v>1298</v>
      </c>
      <c r="B456">
        <v>43</v>
      </c>
      <c r="C456" t="s">
        <v>27</v>
      </c>
      <c r="D456" t="s">
        <v>19</v>
      </c>
      <c r="E456" t="s">
        <v>51</v>
      </c>
      <c r="F456" t="s">
        <v>52</v>
      </c>
      <c r="G456">
        <v>19</v>
      </c>
      <c r="H456" t="s">
        <v>22</v>
      </c>
      <c r="I456" t="s">
        <v>37</v>
      </c>
      <c r="J456" t="s">
        <v>23</v>
      </c>
      <c r="K456" s="2">
        <v>116457</v>
      </c>
      <c r="L456" s="2">
        <v>98925</v>
      </c>
      <c r="M456" t="s">
        <v>38</v>
      </c>
      <c r="N456">
        <v>51</v>
      </c>
      <c r="O456" t="s">
        <v>25</v>
      </c>
      <c r="P456">
        <v>3</v>
      </c>
      <c r="Q456" s="1">
        <v>25.94</v>
      </c>
      <c r="R456" s="2">
        <f t="shared" si="28"/>
        <v>-17532</v>
      </c>
      <c r="S456" s="1">
        <f t="shared" si="29"/>
        <v>-15.054483629150672</v>
      </c>
      <c r="T456" t="str">
        <f t="shared" si="30"/>
        <v>Expert</v>
      </c>
      <c r="U456" t="str">
        <f t="shared" si="31"/>
        <v>Medium Impact</v>
      </c>
    </row>
    <row r="457" spans="1:21" x14ac:dyDescent="0.3">
      <c r="A457" t="s">
        <v>212</v>
      </c>
      <c r="B457">
        <v>49</v>
      </c>
      <c r="C457" t="s">
        <v>18</v>
      </c>
      <c r="D457" t="s">
        <v>34</v>
      </c>
      <c r="E457" t="s">
        <v>59</v>
      </c>
      <c r="F457" t="s">
        <v>77</v>
      </c>
      <c r="G457">
        <v>27</v>
      </c>
      <c r="H457" t="s">
        <v>37</v>
      </c>
      <c r="I457" t="s">
        <v>22</v>
      </c>
      <c r="J457" t="s">
        <v>23</v>
      </c>
      <c r="K457" s="2">
        <v>56737</v>
      </c>
      <c r="L457" s="2">
        <v>59522</v>
      </c>
      <c r="M457" t="s">
        <v>32</v>
      </c>
      <c r="N457">
        <v>38</v>
      </c>
      <c r="O457" t="s">
        <v>23</v>
      </c>
      <c r="P457">
        <v>3</v>
      </c>
      <c r="Q457" s="1">
        <v>25.92</v>
      </c>
      <c r="R457" s="2">
        <f t="shared" si="28"/>
        <v>2785</v>
      </c>
      <c r="S457" s="1">
        <f t="shared" si="29"/>
        <v>4.9086134268643038</v>
      </c>
      <c r="T457" t="str">
        <f t="shared" si="30"/>
        <v>Expert</v>
      </c>
      <c r="U457" t="str">
        <f t="shared" si="31"/>
        <v>Low Impact</v>
      </c>
    </row>
    <row r="458" spans="1:21" x14ac:dyDescent="0.3">
      <c r="A458" t="s">
        <v>327</v>
      </c>
      <c r="B458">
        <v>58</v>
      </c>
      <c r="C458" t="s">
        <v>27</v>
      </c>
      <c r="D458" t="s">
        <v>40</v>
      </c>
      <c r="E458" t="s">
        <v>59</v>
      </c>
      <c r="F458" t="s">
        <v>93</v>
      </c>
      <c r="G458">
        <v>33</v>
      </c>
      <c r="H458" t="s">
        <v>37</v>
      </c>
      <c r="I458" t="s">
        <v>22</v>
      </c>
      <c r="J458" t="s">
        <v>25</v>
      </c>
      <c r="K458" s="2">
        <v>76819</v>
      </c>
      <c r="L458" s="2">
        <v>83146</v>
      </c>
      <c r="M458" t="s">
        <v>32</v>
      </c>
      <c r="N458">
        <v>40</v>
      </c>
      <c r="O458" t="s">
        <v>23</v>
      </c>
      <c r="P458">
        <v>8</v>
      </c>
      <c r="Q458" s="1">
        <v>25.89</v>
      </c>
      <c r="R458" s="2">
        <f t="shared" si="28"/>
        <v>6327</v>
      </c>
      <c r="S458" s="1">
        <f t="shared" si="29"/>
        <v>8.2362436376417296</v>
      </c>
      <c r="T458" t="str">
        <f t="shared" si="30"/>
        <v>Expert</v>
      </c>
      <c r="U458" t="str">
        <f t="shared" si="31"/>
        <v>Low Impact</v>
      </c>
    </row>
    <row r="459" spans="1:21" x14ac:dyDescent="0.3">
      <c r="A459" t="s">
        <v>1020</v>
      </c>
      <c r="B459">
        <v>36</v>
      </c>
      <c r="C459" t="s">
        <v>27</v>
      </c>
      <c r="D459" t="s">
        <v>40</v>
      </c>
      <c r="E459" t="s">
        <v>20</v>
      </c>
      <c r="F459" t="s">
        <v>118</v>
      </c>
      <c r="G459">
        <v>11</v>
      </c>
      <c r="H459" t="s">
        <v>22</v>
      </c>
      <c r="I459" t="s">
        <v>37</v>
      </c>
      <c r="J459" t="s">
        <v>23</v>
      </c>
      <c r="K459" s="2">
        <v>50316</v>
      </c>
      <c r="L459" s="2">
        <v>55333</v>
      </c>
      <c r="M459" t="s">
        <v>38</v>
      </c>
      <c r="N459">
        <v>35</v>
      </c>
      <c r="O459" t="s">
        <v>23</v>
      </c>
      <c r="P459">
        <v>8</v>
      </c>
      <c r="Q459" s="1">
        <v>25.89</v>
      </c>
      <c r="R459" s="2">
        <f t="shared" si="28"/>
        <v>5017</v>
      </c>
      <c r="S459" s="1">
        <f t="shared" si="29"/>
        <v>9.9709833850067575</v>
      </c>
      <c r="T459" t="str">
        <f t="shared" si="30"/>
        <v>Intermediate</v>
      </c>
      <c r="U459" t="str">
        <f t="shared" si="31"/>
        <v>Medium Impact</v>
      </c>
    </row>
    <row r="460" spans="1:21" x14ac:dyDescent="0.3">
      <c r="A460" t="s">
        <v>561</v>
      </c>
      <c r="B460">
        <v>28</v>
      </c>
      <c r="C460" t="s">
        <v>18</v>
      </c>
      <c r="D460" t="s">
        <v>34</v>
      </c>
      <c r="E460" t="s">
        <v>29</v>
      </c>
      <c r="F460" t="s">
        <v>104</v>
      </c>
      <c r="G460">
        <v>5</v>
      </c>
      <c r="H460" t="s">
        <v>37</v>
      </c>
      <c r="I460" t="s">
        <v>37</v>
      </c>
      <c r="J460" t="s">
        <v>25</v>
      </c>
      <c r="K460" s="2">
        <v>75607</v>
      </c>
      <c r="L460" s="2">
        <v>77140</v>
      </c>
      <c r="M460" t="s">
        <v>38</v>
      </c>
      <c r="N460">
        <v>44</v>
      </c>
      <c r="O460" t="s">
        <v>25</v>
      </c>
      <c r="P460">
        <v>6</v>
      </c>
      <c r="Q460" s="1">
        <v>25.79</v>
      </c>
      <c r="R460" s="2">
        <f t="shared" si="28"/>
        <v>1533</v>
      </c>
      <c r="S460" s="1">
        <f t="shared" si="29"/>
        <v>2.027590037959448</v>
      </c>
      <c r="T460" t="str">
        <f t="shared" si="30"/>
        <v>Intermediate</v>
      </c>
      <c r="U460" t="str">
        <f t="shared" si="31"/>
        <v>Medium Impact</v>
      </c>
    </row>
    <row r="461" spans="1:21" x14ac:dyDescent="0.3">
      <c r="A461" t="s">
        <v>981</v>
      </c>
      <c r="B461">
        <v>40</v>
      </c>
      <c r="C461" t="s">
        <v>27</v>
      </c>
      <c r="D461" t="s">
        <v>34</v>
      </c>
      <c r="E461" t="s">
        <v>41</v>
      </c>
      <c r="F461" t="s">
        <v>55</v>
      </c>
      <c r="G461">
        <v>15</v>
      </c>
      <c r="H461" t="s">
        <v>22</v>
      </c>
      <c r="I461" t="s">
        <v>31</v>
      </c>
      <c r="J461" t="s">
        <v>25</v>
      </c>
      <c r="K461" s="2">
        <v>94817</v>
      </c>
      <c r="L461" s="2">
        <v>76451</v>
      </c>
      <c r="M461" t="s">
        <v>32</v>
      </c>
      <c r="N461">
        <v>35</v>
      </c>
      <c r="O461" t="s">
        <v>23</v>
      </c>
      <c r="P461">
        <v>8</v>
      </c>
      <c r="Q461" s="1">
        <v>25.71</v>
      </c>
      <c r="R461" s="2">
        <f t="shared" si="28"/>
        <v>-18366</v>
      </c>
      <c r="S461" s="1">
        <f t="shared" si="29"/>
        <v>-19.369944208317076</v>
      </c>
      <c r="T461" t="str">
        <f t="shared" si="30"/>
        <v>Expert</v>
      </c>
      <c r="U461" t="str">
        <f t="shared" si="31"/>
        <v>Low Impact</v>
      </c>
    </row>
    <row r="462" spans="1:21" x14ac:dyDescent="0.3">
      <c r="A462" t="s">
        <v>2055</v>
      </c>
      <c r="B462">
        <v>55</v>
      </c>
      <c r="C462" t="s">
        <v>54</v>
      </c>
      <c r="D462" t="s">
        <v>40</v>
      </c>
      <c r="E462" t="s">
        <v>44</v>
      </c>
      <c r="F462" t="s">
        <v>47</v>
      </c>
      <c r="G462">
        <v>30</v>
      </c>
      <c r="H462" t="s">
        <v>37</v>
      </c>
      <c r="I462" t="s">
        <v>31</v>
      </c>
      <c r="J462" t="s">
        <v>23</v>
      </c>
      <c r="K462" s="2">
        <v>99082</v>
      </c>
      <c r="L462" s="2">
        <v>101090</v>
      </c>
      <c r="M462" t="s">
        <v>32</v>
      </c>
      <c r="N462">
        <v>52</v>
      </c>
      <c r="O462" t="s">
        <v>23</v>
      </c>
      <c r="P462">
        <v>7</v>
      </c>
      <c r="Q462" s="1">
        <v>25.67</v>
      </c>
      <c r="R462" s="2">
        <f t="shared" si="28"/>
        <v>2008</v>
      </c>
      <c r="S462" s="1">
        <f t="shared" si="29"/>
        <v>2.0266042268020428</v>
      </c>
      <c r="T462" t="str">
        <f t="shared" si="30"/>
        <v>Expert</v>
      </c>
      <c r="U462" t="str">
        <f t="shared" si="31"/>
        <v>Low Impact</v>
      </c>
    </row>
    <row r="463" spans="1:21" x14ac:dyDescent="0.3">
      <c r="A463" t="s">
        <v>1312</v>
      </c>
      <c r="B463">
        <v>40</v>
      </c>
      <c r="C463" t="s">
        <v>54</v>
      </c>
      <c r="D463" t="s">
        <v>34</v>
      </c>
      <c r="E463" t="s">
        <v>44</v>
      </c>
      <c r="F463" t="s">
        <v>47</v>
      </c>
      <c r="G463">
        <v>14</v>
      </c>
      <c r="H463" t="s">
        <v>22</v>
      </c>
      <c r="I463" t="s">
        <v>22</v>
      </c>
      <c r="J463" t="s">
        <v>23</v>
      </c>
      <c r="K463" s="2">
        <v>112806</v>
      </c>
      <c r="L463" s="2">
        <v>119931</v>
      </c>
      <c r="M463" t="s">
        <v>24</v>
      </c>
      <c r="N463">
        <v>54</v>
      </c>
      <c r="O463" t="s">
        <v>23</v>
      </c>
      <c r="P463">
        <v>4</v>
      </c>
      <c r="Q463" s="1">
        <v>25.62</v>
      </c>
      <c r="R463" s="2">
        <f t="shared" si="28"/>
        <v>7125</v>
      </c>
      <c r="S463" s="1">
        <f t="shared" si="29"/>
        <v>6.3161533960959524</v>
      </c>
      <c r="T463" t="str">
        <f t="shared" si="30"/>
        <v>Intermediate</v>
      </c>
      <c r="U463" t="str">
        <f t="shared" si="31"/>
        <v>High Impact</v>
      </c>
    </row>
    <row r="464" spans="1:21" x14ac:dyDescent="0.3">
      <c r="A464" t="s">
        <v>955</v>
      </c>
      <c r="B464">
        <v>36</v>
      </c>
      <c r="C464" t="s">
        <v>54</v>
      </c>
      <c r="D464" t="s">
        <v>40</v>
      </c>
      <c r="E464" t="s">
        <v>29</v>
      </c>
      <c r="F464" t="s">
        <v>104</v>
      </c>
      <c r="G464">
        <v>13</v>
      </c>
      <c r="H464" t="s">
        <v>37</v>
      </c>
      <c r="I464" t="s">
        <v>37</v>
      </c>
      <c r="J464" t="s">
        <v>25</v>
      </c>
      <c r="K464" s="2">
        <v>47143</v>
      </c>
      <c r="L464" s="2">
        <v>55282</v>
      </c>
      <c r="M464" t="s">
        <v>38</v>
      </c>
      <c r="N464">
        <v>37</v>
      </c>
      <c r="O464" t="s">
        <v>23</v>
      </c>
      <c r="P464">
        <v>9</v>
      </c>
      <c r="Q464" s="1">
        <v>25.62</v>
      </c>
      <c r="R464" s="2">
        <f t="shared" si="28"/>
        <v>8139</v>
      </c>
      <c r="S464" s="1">
        <f t="shared" si="29"/>
        <v>17.264493137899581</v>
      </c>
      <c r="T464" t="str">
        <f t="shared" si="30"/>
        <v>Intermediate</v>
      </c>
      <c r="U464" t="str">
        <f t="shared" si="31"/>
        <v>Medium Impact</v>
      </c>
    </row>
    <row r="465" spans="1:21" x14ac:dyDescent="0.3">
      <c r="A465" t="s">
        <v>856</v>
      </c>
      <c r="B465">
        <v>58</v>
      </c>
      <c r="C465" t="s">
        <v>18</v>
      </c>
      <c r="D465" t="s">
        <v>28</v>
      </c>
      <c r="E465" t="s">
        <v>35</v>
      </c>
      <c r="F465" t="s">
        <v>132</v>
      </c>
      <c r="G465">
        <v>35</v>
      </c>
      <c r="H465" t="s">
        <v>31</v>
      </c>
      <c r="I465" t="s">
        <v>22</v>
      </c>
      <c r="J465" t="s">
        <v>25</v>
      </c>
      <c r="K465" s="2">
        <v>86827</v>
      </c>
      <c r="L465" s="2">
        <v>92358</v>
      </c>
      <c r="M465" t="s">
        <v>32</v>
      </c>
      <c r="N465">
        <v>36</v>
      </c>
      <c r="O465" t="s">
        <v>23</v>
      </c>
      <c r="P465">
        <v>8</v>
      </c>
      <c r="Q465" s="1">
        <v>25.6</v>
      </c>
      <c r="R465" s="2">
        <f t="shared" si="28"/>
        <v>5531</v>
      </c>
      <c r="S465" s="1">
        <f t="shared" si="29"/>
        <v>6.3701383210291729</v>
      </c>
      <c r="T465" t="str">
        <f t="shared" si="30"/>
        <v>Expert</v>
      </c>
      <c r="U465" t="str">
        <f t="shared" si="31"/>
        <v>Low Impact</v>
      </c>
    </row>
    <row r="466" spans="1:21" x14ac:dyDescent="0.3">
      <c r="A466" t="s">
        <v>1038</v>
      </c>
      <c r="B466">
        <v>29</v>
      </c>
      <c r="C466" t="s">
        <v>27</v>
      </c>
      <c r="D466" t="s">
        <v>19</v>
      </c>
      <c r="E466" t="s">
        <v>59</v>
      </c>
      <c r="F466" t="s">
        <v>93</v>
      </c>
      <c r="G466">
        <v>5</v>
      </c>
      <c r="H466" t="s">
        <v>31</v>
      </c>
      <c r="I466" t="s">
        <v>37</v>
      </c>
      <c r="J466" t="s">
        <v>23</v>
      </c>
      <c r="K466" s="2">
        <v>59685</v>
      </c>
      <c r="L466" s="2">
        <v>64046</v>
      </c>
      <c r="M466" t="s">
        <v>38</v>
      </c>
      <c r="N466">
        <v>54</v>
      </c>
      <c r="O466" t="s">
        <v>23</v>
      </c>
      <c r="P466">
        <v>4</v>
      </c>
      <c r="Q466" s="1">
        <v>25.6</v>
      </c>
      <c r="R466" s="2">
        <f t="shared" si="28"/>
        <v>4361</v>
      </c>
      <c r="S466" s="1">
        <f t="shared" si="29"/>
        <v>7.3066934740722118</v>
      </c>
      <c r="T466" t="str">
        <f t="shared" si="30"/>
        <v>Intermediate</v>
      </c>
      <c r="U466" t="str">
        <f t="shared" si="31"/>
        <v>Medium Impact</v>
      </c>
    </row>
    <row r="467" spans="1:21" x14ac:dyDescent="0.3">
      <c r="A467" t="s">
        <v>1797</v>
      </c>
      <c r="B467">
        <v>30</v>
      </c>
      <c r="C467" t="s">
        <v>54</v>
      </c>
      <c r="D467" t="s">
        <v>19</v>
      </c>
      <c r="E467" t="s">
        <v>51</v>
      </c>
      <c r="F467" t="s">
        <v>130</v>
      </c>
      <c r="G467">
        <v>8</v>
      </c>
      <c r="H467" t="s">
        <v>31</v>
      </c>
      <c r="I467" t="s">
        <v>31</v>
      </c>
      <c r="J467" t="s">
        <v>25</v>
      </c>
      <c r="K467" s="2">
        <v>106882</v>
      </c>
      <c r="L467" s="2">
        <v>113769</v>
      </c>
      <c r="M467" t="s">
        <v>32</v>
      </c>
      <c r="N467">
        <v>45</v>
      </c>
      <c r="O467" t="s">
        <v>25</v>
      </c>
      <c r="P467">
        <v>8</v>
      </c>
      <c r="Q467" s="1">
        <v>25.57</v>
      </c>
      <c r="R467" s="2">
        <f t="shared" si="28"/>
        <v>6887</v>
      </c>
      <c r="S467" s="1">
        <f t="shared" si="29"/>
        <v>6.4435545742033264</v>
      </c>
      <c r="T467" t="str">
        <f t="shared" si="30"/>
        <v>Intermediate</v>
      </c>
      <c r="U467" t="str">
        <f t="shared" si="31"/>
        <v>Low Impact</v>
      </c>
    </row>
    <row r="468" spans="1:21" x14ac:dyDescent="0.3">
      <c r="A468" t="s">
        <v>641</v>
      </c>
      <c r="B468">
        <v>49</v>
      </c>
      <c r="C468" t="s">
        <v>54</v>
      </c>
      <c r="D468" t="s">
        <v>28</v>
      </c>
      <c r="E468" t="s">
        <v>59</v>
      </c>
      <c r="F468" t="s">
        <v>60</v>
      </c>
      <c r="G468">
        <v>23</v>
      </c>
      <c r="H468" t="s">
        <v>22</v>
      </c>
      <c r="I468" t="s">
        <v>31</v>
      </c>
      <c r="J468" t="s">
        <v>25</v>
      </c>
      <c r="K468" s="2">
        <v>107241</v>
      </c>
      <c r="L468" s="2">
        <v>144232</v>
      </c>
      <c r="M468" t="s">
        <v>32</v>
      </c>
      <c r="N468">
        <v>37</v>
      </c>
      <c r="O468" t="s">
        <v>23</v>
      </c>
      <c r="P468">
        <v>7</v>
      </c>
      <c r="Q468" s="1">
        <v>25.52</v>
      </c>
      <c r="R468" s="2">
        <f t="shared" si="28"/>
        <v>36991</v>
      </c>
      <c r="S468" s="1">
        <f t="shared" si="29"/>
        <v>34.493337436241731</v>
      </c>
      <c r="T468" t="str">
        <f t="shared" si="30"/>
        <v>Expert</v>
      </c>
      <c r="U468" t="str">
        <f t="shared" si="31"/>
        <v>Low Impact</v>
      </c>
    </row>
    <row r="469" spans="1:21" x14ac:dyDescent="0.3">
      <c r="A469" t="s">
        <v>389</v>
      </c>
      <c r="B469">
        <v>45</v>
      </c>
      <c r="C469" t="s">
        <v>18</v>
      </c>
      <c r="D469" t="s">
        <v>34</v>
      </c>
      <c r="E469" t="s">
        <v>41</v>
      </c>
      <c r="F469" t="s">
        <v>42</v>
      </c>
      <c r="G469">
        <v>20</v>
      </c>
      <c r="H469" t="s">
        <v>22</v>
      </c>
      <c r="I469" t="s">
        <v>22</v>
      </c>
      <c r="J469" t="s">
        <v>25</v>
      </c>
      <c r="K469" s="2">
        <v>87804</v>
      </c>
      <c r="L469" s="2">
        <v>92022</v>
      </c>
      <c r="M469" t="s">
        <v>24</v>
      </c>
      <c r="N469">
        <v>35</v>
      </c>
      <c r="O469" t="s">
        <v>23</v>
      </c>
      <c r="P469">
        <v>5</v>
      </c>
      <c r="Q469" s="1">
        <v>25.49</v>
      </c>
      <c r="R469" s="2">
        <f t="shared" si="28"/>
        <v>4218</v>
      </c>
      <c r="S469" s="1">
        <f t="shared" si="29"/>
        <v>4.803881372147055</v>
      </c>
      <c r="T469" t="str">
        <f t="shared" si="30"/>
        <v>Expert</v>
      </c>
      <c r="U469" t="str">
        <f t="shared" si="31"/>
        <v>High Impact</v>
      </c>
    </row>
    <row r="470" spans="1:21" x14ac:dyDescent="0.3">
      <c r="A470" t="s">
        <v>2048</v>
      </c>
      <c r="B470">
        <v>45</v>
      </c>
      <c r="C470" t="s">
        <v>54</v>
      </c>
      <c r="D470" t="s">
        <v>28</v>
      </c>
      <c r="E470" t="s">
        <v>41</v>
      </c>
      <c r="F470" t="s">
        <v>49</v>
      </c>
      <c r="G470">
        <v>21</v>
      </c>
      <c r="H470" t="s">
        <v>31</v>
      </c>
      <c r="I470" t="s">
        <v>31</v>
      </c>
      <c r="J470" t="s">
        <v>25</v>
      </c>
      <c r="K470" s="2">
        <v>37532</v>
      </c>
      <c r="L470" s="2">
        <v>38005</v>
      </c>
      <c r="M470" t="s">
        <v>32</v>
      </c>
      <c r="N470">
        <v>49</v>
      </c>
      <c r="O470" t="s">
        <v>23</v>
      </c>
      <c r="P470">
        <v>7</v>
      </c>
      <c r="Q470" s="1">
        <v>25.48</v>
      </c>
      <c r="R470" s="2">
        <f t="shared" si="28"/>
        <v>473</v>
      </c>
      <c r="S470" s="1">
        <f t="shared" si="29"/>
        <v>1.2602579132473624</v>
      </c>
      <c r="T470" t="str">
        <f t="shared" si="30"/>
        <v>Expert</v>
      </c>
      <c r="U470" t="str">
        <f t="shared" si="31"/>
        <v>Low Impact</v>
      </c>
    </row>
    <row r="471" spans="1:21" x14ac:dyDescent="0.3">
      <c r="A471" t="s">
        <v>422</v>
      </c>
      <c r="B471">
        <v>42</v>
      </c>
      <c r="C471" t="s">
        <v>54</v>
      </c>
      <c r="D471" t="s">
        <v>19</v>
      </c>
      <c r="E471" t="s">
        <v>35</v>
      </c>
      <c r="F471" t="s">
        <v>36</v>
      </c>
      <c r="G471">
        <v>17</v>
      </c>
      <c r="H471" t="s">
        <v>37</v>
      </c>
      <c r="I471" t="s">
        <v>31</v>
      </c>
      <c r="J471" t="s">
        <v>25</v>
      </c>
      <c r="K471" s="2">
        <v>104905</v>
      </c>
      <c r="L471" s="2">
        <v>104806</v>
      </c>
      <c r="M471" t="s">
        <v>32</v>
      </c>
      <c r="N471">
        <v>49</v>
      </c>
      <c r="O471" t="s">
        <v>25</v>
      </c>
      <c r="P471">
        <v>7</v>
      </c>
      <c r="Q471" s="1">
        <v>25.41</v>
      </c>
      <c r="R471" s="2">
        <f t="shared" si="28"/>
        <v>-99</v>
      </c>
      <c r="S471" s="1">
        <f t="shared" si="29"/>
        <v>-9.437109765978742E-2</v>
      </c>
      <c r="T471" t="str">
        <f t="shared" si="30"/>
        <v>Expert</v>
      </c>
      <c r="U471" t="str">
        <f t="shared" si="31"/>
        <v>Low Impact</v>
      </c>
    </row>
    <row r="472" spans="1:21" x14ac:dyDescent="0.3">
      <c r="A472" t="s">
        <v>1129</v>
      </c>
      <c r="B472">
        <v>23</v>
      </c>
      <c r="C472" t="s">
        <v>18</v>
      </c>
      <c r="D472" t="s">
        <v>40</v>
      </c>
      <c r="E472" t="s">
        <v>20</v>
      </c>
      <c r="F472" t="s">
        <v>88</v>
      </c>
      <c r="G472">
        <v>0</v>
      </c>
      <c r="H472" t="s">
        <v>31</v>
      </c>
      <c r="I472" t="s">
        <v>22</v>
      </c>
      <c r="J472" t="s">
        <v>25</v>
      </c>
      <c r="K472" s="2">
        <v>105164</v>
      </c>
      <c r="L472" s="2">
        <v>101767</v>
      </c>
      <c r="M472" t="s">
        <v>32</v>
      </c>
      <c r="N472">
        <v>52</v>
      </c>
      <c r="O472" t="s">
        <v>23</v>
      </c>
      <c r="P472">
        <v>8</v>
      </c>
      <c r="Q472" s="1">
        <v>25.39</v>
      </c>
      <c r="R472" s="2">
        <f t="shared" si="28"/>
        <v>-3397</v>
      </c>
      <c r="S472" s="1">
        <f t="shared" si="29"/>
        <v>-3.2301928416568404</v>
      </c>
      <c r="T472" t="str">
        <f t="shared" si="30"/>
        <v>Beginner</v>
      </c>
      <c r="U472" t="str">
        <f t="shared" si="31"/>
        <v>Low Impact</v>
      </c>
    </row>
    <row r="473" spans="1:21" x14ac:dyDescent="0.3">
      <c r="A473" t="s">
        <v>1452</v>
      </c>
      <c r="B473">
        <v>32</v>
      </c>
      <c r="C473" t="s">
        <v>54</v>
      </c>
      <c r="D473" t="s">
        <v>19</v>
      </c>
      <c r="E473" t="s">
        <v>41</v>
      </c>
      <c r="F473" t="s">
        <v>42</v>
      </c>
      <c r="G473">
        <v>6</v>
      </c>
      <c r="H473" t="s">
        <v>37</v>
      </c>
      <c r="I473" t="s">
        <v>37</v>
      </c>
      <c r="J473" t="s">
        <v>25</v>
      </c>
      <c r="K473" s="2">
        <v>83526</v>
      </c>
      <c r="L473" s="2">
        <v>84287</v>
      </c>
      <c r="M473" t="s">
        <v>38</v>
      </c>
      <c r="N473">
        <v>47</v>
      </c>
      <c r="O473" t="s">
        <v>25</v>
      </c>
      <c r="P473">
        <v>4</v>
      </c>
      <c r="Q473" s="1">
        <v>25.39</v>
      </c>
      <c r="R473" s="2">
        <f t="shared" si="28"/>
        <v>761</v>
      </c>
      <c r="S473" s="1">
        <f t="shared" si="29"/>
        <v>0.91109355170845008</v>
      </c>
      <c r="T473" t="str">
        <f t="shared" si="30"/>
        <v>Intermediate</v>
      </c>
      <c r="U473" t="str">
        <f t="shared" si="31"/>
        <v>Medium Impact</v>
      </c>
    </row>
    <row r="474" spans="1:21" x14ac:dyDescent="0.3">
      <c r="A474" t="s">
        <v>1951</v>
      </c>
      <c r="B474">
        <v>37</v>
      </c>
      <c r="C474" t="s">
        <v>18</v>
      </c>
      <c r="D474" t="s">
        <v>34</v>
      </c>
      <c r="E474" t="s">
        <v>35</v>
      </c>
      <c r="F474" t="s">
        <v>132</v>
      </c>
      <c r="G474">
        <v>12</v>
      </c>
      <c r="H474" t="s">
        <v>22</v>
      </c>
      <c r="I474" t="s">
        <v>22</v>
      </c>
      <c r="J474" t="s">
        <v>25</v>
      </c>
      <c r="K474" s="2">
        <v>78599</v>
      </c>
      <c r="L474" s="2">
        <v>90844</v>
      </c>
      <c r="M474" t="s">
        <v>38</v>
      </c>
      <c r="N474">
        <v>38</v>
      </c>
      <c r="O474" t="s">
        <v>25</v>
      </c>
      <c r="P474">
        <v>3</v>
      </c>
      <c r="Q474" s="1">
        <v>25.36</v>
      </c>
      <c r="R474" s="2">
        <f t="shared" si="28"/>
        <v>12245</v>
      </c>
      <c r="S474" s="1">
        <f t="shared" si="29"/>
        <v>15.579078614231733</v>
      </c>
      <c r="T474" t="str">
        <f t="shared" si="30"/>
        <v>Intermediate</v>
      </c>
      <c r="U474" t="str">
        <f t="shared" si="31"/>
        <v>Medium Impact</v>
      </c>
    </row>
    <row r="475" spans="1:21" x14ac:dyDescent="0.3">
      <c r="A475" t="s">
        <v>1200</v>
      </c>
      <c r="B475">
        <v>35</v>
      </c>
      <c r="C475" t="s">
        <v>54</v>
      </c>
      <c r="D475" t="s">
        <v>28</v>
      </c>
      <c r="E475" t="s">
        <v>51</v>
      </c>
      <c r="F475" t="s">
        <v>75</v>
      </c>
      <c r="G475">
        <v>11</v>
      </c>
      <c r="H475" t="s">
        <v>37</v>
      </c>
      <c r="I475" t="s">
        <v>31</v>
      </c>
      <c r="J475" t="s">
        <v>23</v>
      </c>
      <c r="K475" s="2">
        <v>93888</v>
      </c>
      <c r="L475" s="2">
        <v>85990</v>
      </c>
      <c r="M475" t="s">
        <v>32</v>
      </c>
      <c r="N475">
        <v>39</v>
      </c>
      <c r="O475" t="s">
        <v>23</v>
      </c>
      <c r="P475">
        <v>4</v>
      </c>
      <c r="Q475" s="1">
        <v>25.3</v>
      </c>
      <c r="R475" s="2">
        <f t="shared" si="28"/>
        <v>-7898</v>
      </c>
      <c r="S475" s="1">
        <f t="shared" si="29"/>
        <v>-8.4121506475800949</v>
      </c>
      <c r="T475" t="str">
        <f t="shared" si="30"/>
        <v>Intermediate</v>
      </c>
      <c r="U475" t="str">
        <f t="shared" si="31"/>
        <v>Low Impact</v>
      </c>
    </row>
    <row r="476" spans="1:21" x14ac:dyDescent="0.3">
      <c r="A476" t="s">
        <v>346</v>
      </c>
      <c r="B476">
        <v>57</v>
      </c>
      <c r="C476" t="s">
        <v>27</v>
      </c>
      <c r="D476" t="s">
        <v>34</v>
      </c>
      <c r="E476" t="s">
        <v>20</v>
      </c>
      <c r="F476" t="s">
        <v>88</v>
      </c>
      <c r="G476">
        <v>31</v>
      </c>
      <c r="H476" t="s">
        <v>22</v>
      </c>
      <c r="I476" t="s">
        <v>37</v>
      </c>
      <c r="J476" t="s">
        <v>23</v>
      </c>
      <c r="K476" s="2">
        <v>72828</v>
      </c>
      <c r="L476" s="2">
        <v>86008</v>
      </c>
      <c r="M476" t="s">
        <v>38</v>
      </c>
      <c r="N476">
        <v>50</v>
      </c>
      <c r="O476" t="s">
        <v>23</v>
      </c>
      <c r="P476">
        <v>4</v>
      </c>
      <c r="Q476" s="1">
        <v>25.29</v>
      </c>
      <c r="R476" s="2">
        <f t="shared" si="28"/>
        <v>13180</v>
      </c>
      <c r="S476" s="1">
        <f t="shared" si="29"/>
        <v>18.097435052452354</v>
      </c>
      <c r="T476" t="str">
        <f t="shared" si="30"/>
        <v>Expert</v>
      </c>
      <c r="U476" t="str">
        <f t="shared" si="31"/>
        <v>Medium Impact</v>
      </c>
    </row>
    <row r="477" spans="1:21" x14ac:dyDescent="0.3">
      <c r="A477" t="s">
        <v>1992</v>
      </c>
      <c r="B477">
        <v>34</v>
      </c>
      <c r="C477" t="s">
        <v>27</v>
      </c>
      <c r="D477" t="s">
        <v>40</v>
      </c>
      <c r="E477" t="s">
        <v>44</v>
      </c>
      <c r="F477" t="s">
        <v>57</v>
      </c>
      <c r="G477">
        <v>9</v>
      </c>
      <c r="H477" t="s">
        <v>37</v>
      </c>
      <c r="I477" t="s">
        <v>31</v>
      </c>
      <c r="J477" t="s">
        <v>25</v>
      </c>
      <c r="K477" s="2">
        <v>34920</v>
      </c>
      <c r="L477" s="2">
        <v>36967</v>
      </c>
      <c r="M477" t="s">
        <v>32</v>
      </c>
      <c r="N477">
        <v>39</v>
      </c>
      <c r="O477" t="s">
        <v>23</v>
      </c>
      <c r="P477">
        <v>6</v>
      </c>
      <c r="Q477" s="1">
        <v>25.23</v>
      </c>
      <c r="R477" s="2">
        <f t="shared" si="28"/>
        <v>2047</v>
      </c>
      <c r="S477" s="1">
        <f t="shared" si="29"/>
        <v>5.8619702176403203</v>
      </c>
      <c r="T477" t="str">
        <f t="shared" si="30"/>
        <v>Intermediate</v>
      </c>
      <c r="U477" t="str">
        <f t="shared" si="31"/>
        <v>Low Impact</v>
      </c>
    </row>
    <row r="478" spans="1:21" x14ac:dyDescent="0.3">
      <c r="A478" t="s">
        <v>626</v>
      </c>
      <c r="B478">
        <v>54</v>
      </c>
      <c r="C478" t="s">
        <v>54</v>
      </c>
      <c r="D478" t="s">
        <v>19</v>
      </c>
      <c r="E478" t="s">
        <v>41</v>
      </c>
      <c r="F478" t="s">
        <v>42</v>
      </c>
      <c r="G478">
        <v>30</v>
      </c>
      <c r="H478" t="s">
        <v>22</v>
      </c>
      <c r="I478" t="s">
        <v>37</v>
      </c>
      <c r="J478" t="s">
        <v>25</v>
      </c>
      <c r="K478" s="2">
        <v>110201</v>
      </c>
      <c r="L478" s="2">
        <v>115393</v>
      </c>
      <c r="M478" t="s">
        <v>38</v>
      </c>
      <c r="N478">
        <v>52</v>
      </c>
      <c r="O478" t="s">
        <v>25</v>
      </c>
      <c r="P478">
        <v>4</v>
      </c>
      <c r="Q478" s="1">
        <v>25.22</v>
      </c>
      <c r="R478" s="2">
        <f t="shared" si="28"/>
        <v>5192</v>
      </c>
      <c r="S478" s="1">
        <f t="shared" si="29"/>
        <v>4.7113910037114</v>
      </c>
      <c r="T478" t="str">
        <f t="shared" si="30"/>
        <v>Expert</v>
      </c>
      <c r="U478" t="str">
        <f t="shared" si="31"/>
        <v>Medium Impact</v>
      </c>
    </row>
    <row r="479" spans="1:21" x14ac:dyDescent="0.3">
      <c r="A479" t="s">
        <v>1708</v>
      </c>
      <c r="B479">
        <v>24</v>
      </c>
      <c r="C479" t="s">
        <v>18</v>
      </c>
      <c r="D479" t="s">
        <v>40</v>
      </c>
      <c r="E479" t="s">
        <v>20</v>
      </c>
      <c r="F479" t="s">
        <v>21</v>
      </c>
      <c r="G479">
        <v>0</v>
      </c>
      <c r="H479" t="s">
        <v>37</v>
      </c>
      <c r="I479" t="s">
        <v>22</v>
      </c>
      <c r="J479" t="s">
        <v>25</v>
      </c>
      <c r="K479" s="2">
        <v>105017</v>
      </c>
      <c r="L479" s="2">
        <v>94760</v>
      </c>
      <c r="M479" t="s">
        <v>32</v>
      </c>
      <c r="N479">
        <v>49</v>
      </c>
      <c r="O479" t="s">
        <v>23</v>
      </c>
      <c r="P479">
        <v>3</v>
      </c>
      <c r="Q479" s="1">
        <v>25.18</v>
      </c>
      <c r="R479" s="2">
        <f t="shared" si="28"/>
        <v>-10257</v>
      </c>
      <c r="S479" s="1">
        <f t="shared" si="29"/>
        <v>-9.7669901063637319</v>
      </c>
      <c r="T479" t="str">
        <f t="shared" si="30"/>
        <v>Beginner</v>
      </c>
      <c r="U479" t="str">
        <f t="shared" si="31"/>
        <v>Low Impact</v>
      </c>
    </row>
    <row r="480" spans="1:21" x14ac:dyDescent="0.3">
      <c r="A480" t="s">
        <v>1269</v>
      </c>
      <c r="B480">
        <v>34</v>
      </c>
      <c r="C480" t="s">
        <v>18</v>
      </c>
      <c r="D480" t="s">
        <v>40</v>
      </c>
      <c r="E480" t="s">
        <v>59</v>
      </c>
      <c r="F480" t="s">
        <v>93</v>
      </c>
      <c r="G480">
        <v>10</v>
      </c>
      <c r="H480" t="s">
        <v>37</v>
      </c>
      <c r="I480" t="s">
        <v>22</v>
      </c>
      <c r="J480" t="s">
        <v>23</v>
      </c>
      <c r="K480" s="2">
        <v>66142</v>
      </c>
      <c r="L480" s="2">
        <v>59927</v>
      </c>
      <c r="M480" t="s">
        <v>32</v>
      </c>
      <c r="N480">
        <v>45</v>
      </c>
      <c r="O480" t="s">
        <v>25</v>
      </c>
      <c r="P480">
        <v>6</v>
      </c>
      <c r="Q480" s="1">
        <v>25.16</v>
      </c>
      <c r="R480" s="2">
        <f t="shared" si="28"/>
        <v>-6215</v>
      </c>
      <c r="S480" s="1">
        <f t="shared" si="29"/>
        <v>-9.3964500619878439</v>
      </c>
      <c r="T480" t="str">
        <f t="shared" si="30"/>
        <v>Intermediate</v>
      </c>
      <c r="U480" t="str">
        <f t="shared" si="31"/>
        <v>Low Impact</v>
      </c>
    </row>
    <row r="481" spans="1:21" x14ac:dyDescent="0.3">
      <c r="A481" t="s">
        <v>1796</v>
      </c>
      <c r="B481">
        <v>53</v>
      </c>
      <c r="C481" t="s">
        <v>27</v>
      </c>
      <c r="D481" t="s">
        <v>34</v>
      </c>
      <c r="E481" t="s">
        <v>20</v>
      </c>
      <c r="F481" t="s">
        <v>88</v>
      </c>
      <c r="G481">
        <v>28</v>
      </c>
      <c r="H481" t="s">
        <v>37</v>
      </c>
      <c r="I481" t="s">
        <v>37</v>
      </c>
      <c r="J481" t="s">
        <v>23</v>
      </c>
      <c r="K481" s="2">
        <v>57684</v>
      </c>
      <c r="L481" s="2">
        <v>67740</v>
      </c>
      <c r="M481" t="s">
        <v>38</v>
      </c>
      <c r="N481">
        <v>53</v>
      </c>
      <c r="O481" t="s">
        <v>25</v>
      </c>
      <c r="P481">
        <v>9</v>
      </c>
      <c r="Q481" s="1">
        <v>25.07</v>
      </c>
      <c r="R481" s="2">
        <f t="shared" si="28"/>
        <v>10056</v>
      </c>
      <c r="S481" s="1">
        <f t="shared" si="29"/>
        <v>17.432910339088828</v>
      </c>
      <c r="T481" t="str">
        <f t="shared" si="30"/>
        <v>Expert</v>
      </c>
      <c r="U481" t="str">
        <f t="shared" si="31"/>
        <v>Medium Impact</v>
      </c>
    </row>
    <row r="482" spans="1:21" x14ac:dyDescent="0.3">
      <c r="A482" t="s">
        <v>126</v>
      </c>
      <c r="B482">
        <v>53</v>
      </c>
      <c r="C482" t="s">
        <v>54</v>
      </c>
      <c r="D482" t="s">
        <v>28</v>
      </c>
      <c r="E482" t="s">
        <v>41</v>
      </c>
      <c r="F482" t="s">
        <v>55</v>
      </c>
      <c r="G482">
        <v>27</v>
      </c>
      <c r="H482" t="s">
        <v>37</v>
      </c>
      <c r="I482" t="s">
        <v>37</v>
      </c>
      <c r="J482" t="s">
        <v>23</v>
      </c>
      <c r="K482" s="2">
        <v>74811</v>
      </c>
      <c r="L482" s="2">
        <v>76957</v>
      </c>
      <c r="M482" t="s">
        <v>38</v>
      </c>
      <c r="N482">
        <v>37</v>
      </c>
      <c r="O482" t="s">
        <v>23</v>
      </c>
      <c r="P482">
        <v>3</v>
      </c>
      <c r="Q482" s="1">
        <v>25.05</v>
      </c>
      <c r="R482" s="2">
        <f t="shared" si="28"/>
        <v>2146</v>
      </c>
      <c r="S482" s="1">
        <f t="shared" si="29"/>
        <v>2.8685621098501555</v>
      </c>
      <c r="T482" t="str">
        <f t="shared" si="30"/>
        <v>Expert</v>
      </c>
      <c r="U482" t="str">
        <f t="shared" si="31"/>
        <v>Medium Impact</v>
      </c>
    </row>
    <row r="483" spans="1:21" x14ac:dyDescent="0.3">
      <c r="A483" t="s">
        <v>1079</v>
      </c>
      <c r="B483">
        <v>48</v>
      </c>
      <c r="C483" t="s">
        <v>27</v>
      </c>
      <c r="D483" t="s">
        <v>19</v>
      </c>
      <c r="E483" t="s">
        <v>59</v>
      </c>
      <c r="F483" t="s">
        <v>93</v>
      </c>
      <c r="G483">
        <v>24</v>
      </c>
      <c r="H483" t="s">
        <v>37</v>
      </c>
      <c r="I483" t="s">
        <v>22</v>
      </c>
      <c r="J483" t="s">
        <v>23</v>
      </c>
      <c r="K483" s="2">
        <v>72879</v>
      </c>
      <c r="L483" s="2">
        <v>69955</v>
      </c>
      <c r="M483" t="s">
        <v>32</v>
      </c>
      <c r="N483">
        <v>43</v>
      </c>
      <c r="O483" t="s">
        <v>23</v>
      </c>
      <c r="P483">
        <v>3</v>
      </c>
      <c r="Q483" s="1">
        <v>25.03</v>
      </c>
      <c r="R483" s="2">
        <f t="shared" si="28"/>
        <v>-2924</v>
      </c>
      <c r="S483" s="1">
        <f t="shared" si="29"/>
        <v>-4.0121296944250062</v>
      </c>
      <c r="T483" t="str">
        <f t="shared" si="30"/>
        <v>Expert</v>
      </c>
      <c r="U483" t="str">
        <f t="shared" si="31"/>
        <v>Low Impact</v>
      </c>
    </row>
    <row r="484" spans="1:21" x14ac:dyDescent="0.3">
      <c r="A484" t="s">
        <v>943</v>
      </c>
      <c r="B484">
        <v>45</v>
      </c>
      <c r="C484" t="s">
        <v>18</v>
      </c>
      <c r="D484" t="s">
        <v>34</v>
      </c>
      <c r="E484" t="s">
        <v>29</v>
      </c>
      <c r="F484" t="s">
        <v>30</v>
      </c>
      <c r="G484">
        <v>23</v>
      </c>
      <c r="H484" t="s">
        <v>22</v>
      </c>
      <c r="I484" t="s">
        <v>22</v>
      </c>
      <c r="J484" t="s">
        <v>25</v>
      </c>
      <c r="K484" s="2">
        <v>78570</v>
      </c>
      <c r="L484" s="2">
        <v>99768</v>
      </c>
      <c r="M484" t="s">
        <v>24</v>
      </c>
      <c r="N484">
        <v>54</v>
      </c>
      <c r="O484" t="s">
        <v>23</v>
      </c>
      <c r="P484">
        <v>6</v>
      </c>
      <c r="Q484" s="1">
        <v>25.01</v>
      </c>
      <c r="R484" s="2">
        <f t="shared" si="28"/>
        <v>21198</v>
      </c>
      <c r="S484" s="1">
        <f t="shared" si="29"/>
        <v>26.979763268423063</v>
      </c>
      <c r="T484" t="str">
        <f t="shared" si="30"/>
        <v>Expert</v>
      </c>
      <c r="U484" t="str">
        <f t="shared" si="31"/>
        <v>High Impact</v>
      </c>
    </row>
    <row r="485" spans="1:21" x14ac:dyDescent="0.3">
      <c r="A485" t="s">
        <v>1958</v>
      </c>
      <c r="B485">
        <v>51</v>
      </c>
      <c r="C485" t="s">
        <v>18</v>
      </c>
      <c r="D485" t="s">
        <v>28</v>
      </c>
      <c r="E485" t="s">
        <v>29</v>
      </c>
      <c r="F485" t="s">
        <v>102</v>
      </c>
      <c r="G485">
        <v>28</v>
      </c>
      <c r="H485" t="s">
        <v>37</v>
      </c>
      <c r="I485" t="s">
        <v>31</v>
      </c>
      <c r="J485" t="s">
        <v>23</v>
      </c>
      <c r="K485" s="2">
        <v>42318</v>
      </c>
      <c r="L485" s="2">
        <v>38408</v>
      </c>
      <c r="M485" t="s">
        <v>32</v>
      </c>
      <c r="N485">
        <v>51</v>
      </c>
      <c r="O485" t="s">
        <v>25</v>
      </c>
      <c r="P485">
        <v>4</v>
      </c>
      <c r="Q485" s="1">
        <v>25.01</v>
      </c>
      <c r="R485" s="2">
        <f t="shared" si="28"/>
        <v>-3910</v>
      </c>
      <c r="S485" s="1">
        <f t="shared" si="29"/>
        <v>-9.2395670872914604</v>
      </c>
      <c r="T485" t="str">
        <f t="shared" si="30"/>
        <v>Expert</v>
      </c>
      <c r="U485" t="str">
        <f t="shared" si="31"/>
        <v>Low Impact</v>
      </c>
    </row>
    <row r="486" spans="1:21" x14ac:dyDescent="0.3">
      <c r="A486" t="s">
        <v>847</v>
      </c>
      <c r="B486">
        <v>50</v>
      </c>
      <c r="C486" t="s">
        <v>18</v>
      </c>
      <c r="D486" t="s">
        <v>40</v>
      </c>
      <c r="E486" t="s">
        <v>41</v>
      </c>
      <c r="F486" t="s">
        <v>49</v>
      </c>
      <c r="G486">
        <v>26</v>
      </c>
      <c r="H486" t="s">
        <v>31</v>
      </c>
      <c r="I486" t="s">
        <v>22</v>
      </c>
      <c r="J486" t="s">
        <v>23</v>
      </c>
      <c r="K486" s="2">
        <v>93382</v>
      </c>
      <c r="L486" s="2">
        <v>94731</v>
      </c>
      <c r="M486" t="s">
        <v>32</v>
      </c>
      <c r="N486">
        <v>53</v>
      </c>
      <c r="O486" t="s">
        <v>23</v>
      </c>
      <c r="P486">
        <v>3</v>
      </c>
      <c r="Q486" s="1">
        <v>24.99</v>
      </c>
      <c r="R486" s="2">
        <f t="shared" si="28"/>
        <v>1349</v>
      </c>
      <c r="S486" s="1">
        <f t="shared" si="29"/>
        <v>1.4446038851170462</v>
      </c>
      <c r="T486" t="str">
        <f t="shared" si="30"/>
        <v>Expert</v>
      </c>
      <c r="U486" t="str">
        <f t="shared" si="31"/>
        <v>Low Impact</v>
      </c>
    </row>
    <row r="487" spans="1:21" x14ac:dyDescent="0.3">
      <c r="A487" t="s">
        <v>468</v>
      </c>
      <c r="B487">
        <v>54</v>
      </c>
      <c r="C487" t="s">
        <v>27</v>
      </c>
      <c r="D487" t="s">
        <v>28</v>
      </c>
      <c r="E487" t="s">
        <v>29</v>
      </c>
      <c r="F487" t="s">
        <v>102</v>
      </c>
      <c r="G487">
        <v>29</v>
      </c>
      <c r="H487" t="s">
        <v>22</v>
      </c>
      <c r="I487" t="s">
        <v>31</v>
      </c>
      <c r="J487" t="s">
        <v>23</v>
      </c>
      <c r="K487" s="2">
        <v>74409</v>
      </c>
      <c r="L487" s="2">
        <v>73861</v>
      </c>
      <c r="M487" t="s">
        <v>32</v>
      </c>
      <c r="N487">
        <v>36</v>
      </c>
      <c r="O487" t="s">
        <v>23</v>
      </c>
      <c r="P487">
        <v>9</v>
      </c>
      <c r="Q487" s="1">
        <v>24.99</v>
      </c>
      <c r="R487" s="2">
        <f t="shared" si="28"/>
        <v>-548</v>
      </c>
      <c r="S487" s="1">
        <f t="shared" si="29"/>
        <v>-0.73647005066591409</v>
      </c>
      <c r="T487" t="str">
        <f t="shared" si="30"/>
        <v>Expert</v>
      </c>
      <c r="U487" t="str">
        <f t="shared" si="31"/>
        <v>Low Impact</v>
      </c>
    </row>
    <row r="488" spans="1:21" x14ac:dyDescent="0.3">
      <c r="A488" t="s">
        <v>151</v>
      </c>
      <c r="B488">
        <v>27</v>
      </c>
      <c r="C488" t="s">
        <v>54</v>
      </c>
      <c r="D488" t="s">
        <v>40</v>
      </c>
      <c r="E488" t="s">
        <v>35</v>
      </c>
      <c r="F488" t="s">
        <v>132</v>
      </c>
      <c r="G488">
        <v>2</v>
      </c>
      <c r="H488" t="s">
        <v>22</v>
      </c>
      <c r="I488" t="s">
        <v>31</v>
      </c>
      <c r="J488" t="s">
        <v>25</v>
      </c>
      <c r="K488" s="2">
        <v>48384</v>
      </c>
      <c r="L488" s="2">
        <v>54219</v>
      </c>
      <c r="M488" t="s">
        <v>32</v>
      </c>
      <c r="N488">
        <v>37</v>
      </c>
      <c r="O488" t="s">
        <v>25</v>
      </c>
      <c r="P488">
        <v>7</v>
      </c>
      <c r="Q488" s="1">
        <v>24.99</v>
      </c>
      <c r="R488" s="2">
        <f t="shared" si="28"/>
        <v>5835</v>
      </c>
      <c r="S488" s="1">
        <f t="shared" si="29"/>
        <v>12.059771825396826</v>
      </c>
      <c r="T488" t="str">
        <f t="shared" si="30"/>
        <v>Beginner</v>
      </c>
      <c r="U488" t="str">
        <f t="shared" si="31"/>
        <v>Low Impact</v>
      </c>
    </row>
    <row r="489" spans="1:21" x14ac:dyDescent="0.3">
      <c r="A489" t="s">
        <v>167</v>
      </c>
      <c r="B489">
        <v>38</v>
      </c>
      <c r="C489" t="s">
        <v>18</v>
      </c>
      <c r="D489" t="s">
        <v>40</v>
      </c>
      <c r="E489" t="s">
        <v>59</v>
      </c>
      <c r="F489" t="s">
        <v>93</v>
      </c>
      <c r="G489">
        <v>15</v>
      </c>
      <c r="H489" t="s">
        <v>37</v>
      </c>
      <c r="I489" t="s">
        <v>31</v>
      </c>
      <c r="J489" t="s">
        <v>25</v>
      </c>
      <c r="K489" s="2">
        <v>94291</v>
      </c>
      <c r="L489" s="2">
        <v>107667</v>
      </c>
      <c r="M489" t="s">
        <v>32</v>
      </c>
      <c r="N489">
        <v>54</v>
      </c>
      <c r="O489" t="s">
        <v>25</v>
      </c>
      <c r="P489">
        <v>9</v>
      </c>
      <c r="Q489" s="1">
        <v>24.9</v>
      </c>
      <c r="R489" s="2">
        <f t="shared" si="28"/>
        <v>13376</v>
      </c>
      <c r="S489" s="1">
        <f t="shared" si="29"/>
        <v>14.185871398118591</v>
      </c>
      <c r="T489" t="str">
        <f t="shared" si="30"/>
        <v>Expert</v>
      </c>
      <c r="U489" t="str">
        <f t="shared" si="31"/>
        <v>Low Impact</v>
      </c>
    </row>
    <row r="490" spans="1:21" x14ac:dyDescent="0.3">
      <c r="A490" t="s">
        <v>1468</v>
      </c>
      <c r="B490">
        <v>32</v>
      </c>
      <c r="C490" t="s">
        <v>54</v>
      </c>
      <c r="D490" t="s">
        <v>19</v>
      </c>
      <c r="E490" t="s">
        <v>35</v>
      </c>
      <c r="F490" t="s">
        <v>98</v>
      </c>
      <c r="G490">
        <v>6</v>
      </c>
      <c r="H490" t="s">
        <v>22</v>
      </c>
      <c r="I490" t="s">
        <v>22</v>
      </c>
      <c r="J490" t="s">
        <v>23</v>
      </c>
      <c r="K490" s="2">
        <v>31843</v>
      </c>
      <c r="L490" s="2">
        <v>33292</v>
      </c>
      <c r="M490" t="s">
        <v>38</v>
      </c>
      <c r="N490">
        <v>35</v>
      </c>
      <c r="O490" t="s">
        <v>25</v>
      </c>
      <c r="P490">
        <v>6</v>
      </c>
      <c r="Q490" s="1">
        <v>24.89</v>
      </c>
      <c r="R490" s="2">
        <f t="shared" si="28"/>
        <v>1449</v>
      </c>
      <c r="S490" s="1">
        <f t="shared" si="29"/>
        <v>4.5504506484941745</v>
      </c>
      <c r="T490" t="str">
        <f t="shared" si="30"/>
        <v>Intermediate</v>
      </c>
      <c r="U490" t="str">
        <f t="shared" si="31"/>
        <v>Medium Impact</v>
      </c>
    </row>
    <row r="491" spans="1:21" x14ac:dyDescent="0.3">
      <c r="A491" t="s">
        <v>1677</v>
      </c>
      <c r="B491">
        <v>42</v>
      </c>
      <c r="C491" t="s">
        <v>54</v>
      </c>
      <c r="D491" t="s">
        <v>34</v>
      </c>
      <c r="E491" t="s">
        <v>20</v>
      </c>
      <c r="F491" t="s">
        <v>21</v>
      </c>
      <c r="G491">
        <v>18</v>
      </c>
      <c r="H491" t="s">
        <v>22</v>
      </c>
      <c r="I491" t="s">
        <v>37</v>
      </c>
      <c r="J491" t="s">
        <v>23</v>
      </c>
      <c r="K491" s="2">
        <v>106762</v>
      </c>
      <c r="L491" s="2">
        <v>117769</v>
      </c>
      <c r="M491" t="s">
        <v>38</v>
      </c>
      <c r="N491">
        <v>36</v>
      </c>
      <c r="O491" t="s">
        <v>25</v>
      </c>
      <c r="P491">
        <v>6</v>
      </c>
      <c r="Q491" s="1">
        <v>24.88</v>
      </c>
      <c r="R491" s="2">
        <f t="shared" si="28"/>
        <v>11007</v>
      </c>
      <c r="S491" s="1">
        <f t="shared" si="29"/>
        <v>10.309848073284501</v>
      </c>
      <c r="T491" t="str">
        <f t="shared" si="30"/>
        <v>Expert</v>
      </c>
      <c r="U491" t="str">
        <f t="shared" si="31"/>
        <v>Medium Impact</v>
      </c>
    </row>
    <row r="492" spans="1:21" x14ac:dyDescent="0.3">
      <c r="A492" t="s">
        <v>189</v>
      </c>
      <c r="B492">
        <v>35</v>
      </c>
      <c r="C492" t="s">
        <v>18</v>
      </c>
      <c r="D492" t="s">
        <v>28</v>
      </c>
      <c r="E492" t="s">
        <v>51</v>
      </c>
      <c r="F492" t="s">
        <v>75</v>
      </c>
      <c r="G492">
        <v>11</v>
      </c>
      <c r="H492" t="s">
        <v>22</v>
      </c>
      <c r="I492" t="s">
        <v>31</v>
      </c>
      <c r="J492" t="s">
        <v>25</v>
      </c>
      <c r="K492" s="2">
        <v>103340</v>
      </c>
      <c r="L492" s="2">
        <v>101358</v>
      </c>
      <c r="M492" t="s">
        <v>32</v>
      </c>
      <c r="N492">
        <v>49</v>
      </c>
      <c r="O492" t="s">
        <v>25</v>
      </c>
      <c r="P492">
        <v>3</v>
      </c>
      <c r="Q492" s="1">
        <v>24.86</v>
      </c>
      <c r="R492" s="2">
        <f t="shared" si="28"/>
        <v>-1982</v>
      </c>
      <c r="S492" s="1">
        <f t="shared" si="29"/>
        <v>-1.9179407780143216</v>
      </c>
      <c r="T492" t="str">
        <f t="shared" si="30"/>
        <v>Intermediate</v>
      </c>
      <c r="U492" t="str">
        <f t="shared" si="31"/>
        <v>Low Impact</v>
      </c>
    </row>
    <row r="493" spans="1:21" x14ac:dyDescent="0.3">
      <c r="A493" t="s">
        <v>1396</v>
      </c>
      <c r="B493">
        <v>24</v>
      </c>
      <c r="C493" t="s">
        <v>18</v>
      </c>
      <c r="D493" t="s">
        <v>34</v>
      </c>
      <c r="E493" t="s">
        <v>44</v>
      </c>
      <c r="F493" t="s">
        <v>57</v>
      </c>
      <c r="G493">
        <v>0</v>
      </c>
      <c r="H493" t="s">
        <v>31</v>
      </c>
      <c r="I493" t="s">
        <v>37</v>
      </c>
      <c r="J493" t="s">
        <v>25</v>
      </c>
      <c r="K493" s="2">
        <v>55117</v>
      </c>
      <c r="L493" s="2">
        <v>58711</v>
      </c>
      <c r="M493" t="s">
        <v>38</v>
      </c>
      <c r="N493">
        <v>51</v>
      </c>
      <c r="O493" t="s">
        <v>25</v>
      </c>
      <c r="P493">
        <v>6</v>
      </c>
      <c r="Q493" s="1">
        <v>24.83</v>
      </c>
      <c r="R493" s="2">
        <f t="shared" si="28"/>
        <v>3594</v>
      </c>
      <c r="S493" s="1">
        <f t="shared" si="29"/>
        <v>6.5206742021517865</v>
      </c>
      <c r="T493" t="str">
        <f t="shared" si="30"/>
        <v>Beginner</v>
      </c>
      <c r="U493" t="str">
        <f t="shared" si="31"/>
        <v>Medium Impact</v>
      </c>
    </row>
    <row r="494" spans="1:21" x14ac:dyDescent="0.3">
      <c r="A494" t="s">
        <v>1516</v>
      </c>
      <c r="B494">
        <v>28</v>
      </c>
      <c r="C494" t="s">
        <v>27</v>
      </c>
      <c r="D494" t="s">
        <v>28</v>
      </c>
      <c r="E494" t="s">
        <v>44</v>
      </c>
      <c r="F494" t="s">
        <v>47</v>
      </c>
      <c r="G494">
        <v>2</v>
      </c>
      <c r="H494" t="s">
        <v>22</v>
      </c>
      <c r="I494" t="s">
        <v>37</v>
      </c>
      <c r="J494" t="s">
        <v>23</v>
      </c>
      <c r="K494" s="2">
        <v>37045</v>
      </c>
      <c r="L494" s="2">
        <v>51186</v>
      </c>
      <c r="M494" t="s">
        <v>38</v>
      </c>
      <c r="N494">
        <v>53</v>
      </c>
      <c r="O494" t="s">
        <v>25</v>
      </c>
      <c r="P494">
        <v>3</v>
      </c>
      <c r="Q494" s="1">
        <v>24.78</v>
      </c>
      <c r="R494" s="2">
        <f t="shared" si="28"/>
        <v>14141</v>
      </c>
      <c r="S494" s="1">
        <f t="shared" si="29"/>
        <v>38.172492914023486</v>
      </c>
      <c r="T494" t="str">
        <f t="shared" si="30"/>
        <v>Beginner</v>
      </c>
      <c r="U494" t="str">
        <f t="shared" si="31"/>
        <v>Medium Impact</v>
      </c>
    </row>
    <row r="495" spans="1:21" x14ac:dyDescent="0.3">
      <c r="A495" t="s">
        <v>1637</v>
      </c>
      <c r="B495">
        <v>33</v>
      </c>
      <c r="C495" t="s">
        <v>18</v>
      </c>
      <c r="D495" t="s">
        <v>28</v>
      </c>
      <c r="E495" t="s">
        <v>20</v>
      </c>
      <c r="F495" t="s">
        <v>118</v>
      </c>
      <c r="G495">
        <v>11</v>
      </c>
      <c r="H495" t="s">
        <v>22</v>
      </c>
      <c r="I495" t="s">
        <v>31</v>
      </c>
      <c r="J495" t="s">
        <v>25</v>
      </c>
      <c r="K495" s="2">
        <v>55976</v>
      </c>
      <c r="L495" s="2">
        <v>68475</v>
      </c>
      <c r="M495" t="s">
        <v>32</v>
      </c>
      <c r="N495">
        <v>47</v>
      </c>
      <c r="O495" t="s">
        <v>25</v>
      </c>
      <c r="P495">
        <v>4</v>
      </c>
      <c r="Q495" s="1">
        <v>24.75</v>
      </c>
      <c r="R495" s="2">
        <f t="shared" si="28"/>
        <v>12499</v>
      </c>
      <c r="S495" s="1">
        <f t="shared" si="29"/>
        <v>22.329212519651279</v>
      </c>
      <c r="T495" t="str">
        <f t="shared" si="30"/>
        <v>Intermediate</v>
      </c>
      <c r="U495" t="str">
        <f t="shared" si="31"/>
        <v>Low Impact</v>
      </c>
    </row>
    <row r="496" spans="1:21" x14ac:dyDescent="0.3">
      <c r="A496" t="s">
        <v>860</v>
      </c>
      <c r="B496">
        <v>56</v>
      </c>
      <c r="C496" t="s">
        <v>18</v>
      </c>
      <c r="D496" t="s">
        <v>40</v>
      </c>
      <c r="E496" t="s">
        <v>41</v>
      </c>
      <c r="F496" t="s">
        <v>42</v>
      </c>
      <c r="G496">
        <v>33</v>
      </c>
      <c r="H496" t="s">
        <v>22</v>
      </c>
      <c r="I496" t="s">
        <v>22</v>
      </c>
      <c r="J496" t="s">
        <v>25</v>
      </c>
      <c r="K496" s="2">
        <v>62330</v>
      </c>
      <c r="L496" s="2">
        <v>73993</v>
      </c>
      <c r="M496" t="s">
        <v>38</v>
      </c>
      <c r="N496">
        <v>53</v>
      </c>
      <c r="O496" t="s">
        <v>25</v>
      </c>
      <c r="P496">
        <v>8</v>
      </c>
      <c r="Q496" s="1">
        <v>24.71</v>
      </c>
      <c r="R496" s="2">
        <f t="shared" si="28"/>
        <v>11663</v>
      </c>
      <c r="S496" s="1">
        <f t="shared" si="29"/>
        <v>18.711695812610298</v>
      </c>
      <c r="T496" t="str">
        <f t="shared" si="30"/>
        <v>Expert</v>
      </c>
      <c r="U496" t="str">
        <f t="shared" si="31"/>
        <v>Medium Impact</v>
      </c>
    </row>
    <row r="497" spans="1:21" x14ac:dyDescent="0.3">
      <c r="A497" t="s">
        <v>920</v>
      </c>
      <c r="B497">
        <v>28</v>
      </c>
      <c r="C497" t="s">
        <v>18</v>
      </c>
      <c r="D497" t="s">
        <v>34</v>
      </c>
      <c r="E497" t="s">
        <v>35</v>
      </c>
      <c r="F497" t="s">
        <v>36</v>
      </c>
      <c r="G497">
        <v>3</v>
      </c>
      <c r="H497" t="s">
        <v>37</v>
      </c>
      <c r="I497" t="s">
        <v>31</v>
      </c>
      <c r="J497" t="s">
        <v>23</v>
      </c>
      <c r="K497" s="2">
        <v>86207</v>
      </c>
      <c r="L497" s="2">
        <v>78648</v>
      </c>
      <c r="M497" t="s">
        <v>32</v>
      </c>
      <c r="N497">
        <v>35</v>
      </c>
      <c r="O497" t="s">
        <v>25</v>
      </c>
      <c r="P497">
        <v>3</v>
      </c>
      <c r="Q497" s="1">
        <v>24.69</v>
      </c>
      <c r="R497" s="2">
        <f t="shared" si="28"/>
        <v>-7559</v>
      </c>
      <c r="S497" s="1">
        <f t="shared" si="29"/>
        <v>-8.7684294778846255</v>
      </c>
      <c r="T497" t="str">
        <f t="shared" si="30"/>
        <v>Beginner</v>
      </c>
      <c r="U497" t="str">
        <f t="shared" si="31"/>
        <v>Low Impact</v>
      </c>
    </row>
    <row r="498" spans="1:21" x14ac:dyDescent="0.3">
      <c r="A498" t="s">
        <v>1154</v>
      </c>
      <c r="B498">
        <v>38</v>
      </c>
      <c r="C498" t="s">
        <v>54</v>
      </c>
      <c r="D498" t="s">
        <v>19</v>
      </c>
      <c r="E498" t="s">
        <v>41</v>
      </c>
      <c r="F498" t="s">
        <v>42</v>
      </c>
      <c r="G498">
        <v>16</v>
      </c>
      <c r="H498" t="s">
        <v>31</v>
      </c>
      <c r="I498" t="s">
        <v>37</v>
      </c>
      <c r="J498" t="s">
        <v>25</v>
      </c>
      <c r="K498" s="2">
        <v>54161</v>
      </c>
      <c r="L498" s="2">
        <v>53914</v>
      </c>
      <c r="M498" t="s">
        <v>38</v>
      </c>
      <c r="N498">
        <v>52</v>
      </c>
      <c r="O498" t="s">
        <v>23</v>
      </c>
      <c r="P498">
        <v>9</v>
      </c>
      <c r="Q498" s="1">
        <v>24.68</v>
      </c>
      <c r="R498" s="2">
        <f t="shared" si="28"/>
        <v>-247</v>
      </c>
      <c r="S498" s="1">
        <f t="shared" si="29"/>
        <v>-0.45604770960654345</v>
      </c>
      <c r="T498" t="str">
        <f t="shared" si="30"/>
        <v>Expert</v>
      </c>
      <c r="U498" t="str">
        <f t="shared" si="31"/>
        <v>Medium Impact</v>
      </c>
    </row>
    <row r="499" spans="1:21" x14ac:dyDescent="0.3">
      <c r="A499" t="s">
        <v>1985</v>
      </c>
      <c r="B499">
        <v>36</v>
      </c>
      <c r="C499" t="s">
        <v>18</v>
      </c>
      <c r="D499" t="s">
        <v>28</v>
      </c>
      <c r="E499" t="s">
        <v>35</v>
      </c>
      <c r="F499" t="s">
        <v>98</v>
      </c>
      <c r="G499">
        <v>11</v>
      </c>
      <c r="H499" t="s">
        <v>22</v>
      </c>
      <c r="I499" t="s">
        <v>37</v>
      </c>
      <c r="J499" t="s">
        <v>23</v>
      </c>
      <c r="K499" s="2">
        <v>110291</v>
      </c>
      <c r="L499" s="2">
        <v>124484</v>
      </c>
      <c r="M499" t="s">
        <v>38</v>
      </c>
      <c r="N499">
        <v>47</v>
      </c>
      <c r="O499" t="s">
        <v>23</v>
      </c>
      <c r="P499">
        <v>5</v>
      </c>
      <c r="Q499" s="1">
        <v>24.6</v>
      </c>
      <c r="R499" s="2">
        <f t="shared" si="28"/>
        <v>14193</v>
      </c>
      <c r="S499" s="1">
        <f t="shared" si="29"/>
        <v>12.868683754794136</v>
      </c>
      <c r="T499" t="str">
        <f t="shared" si="30"/>
        <v>Intermediate</v>
      </c>
      <c r="U499" t="str">
        <f t="shared" si="31"/>
        <v>Medium Impact</v>
      </c>
    </row>
    <row r="500" spans="1:21" x14ac:dyDescent="0.3">
      <c r="A500" t="s">
        <v>1131</v>
      </c>
      <c r="B500">
        <v>35</v>
      </c>
      <c r="C500" t="s">
        <v>54</v>
      </c>
      <c r="D500" t="s">
        <v>28</v>
      </c>
      <c r="E500" t="s">
        <v>35</v>
      </c>
      <c r="F500" t="s">
        <v>132</v>
      </c>
      <c r="G500">
        <v>10</v>
      </c>
      <c r="H500" t="s">
        <v>22</v>
      </c>
      <c r="I500" t="s">
        <v>31</v>
      </c>
      <c r="J500" t="s">
        <v>25</v>
      </c>
      <c r="K500" s="2">
        <v>71034</v>
      </c>
      <c r="L500" s="2">
        <v>58211</v>
      </c>
      <c r="M500" t="s">
        <v>32</v>
      </c>
      <c r="N500">
        <v>45</v>
      </c>
      <c r="O500" t="s">
        <v>25</v>
      </c>
      <c r="P500">
        <v>9</v>
      </c>
      <c r="Q500" s="1">
        <v>24.6</v>
      </c>
      <c r="R500" s="2">
        <f t="shared" si="28"/>
        <v>-12823</v>
      </c>
      <c r="S500" s="1">
        <f t="shared" si="29"/>
        <v>-18.051918799448153</v>
      </c>
      <c r="T500" t="str">
        <f t="shared" si="30"/>
        <v>Intermediate</v>
      </c>
      <c r="U500" t="str">
        <f t="shared" si="31"/>
        <v>Low Impact</v>
      </c>
    </row>
    <row r="501" spans="1:21" x14ac:dyDescent="0.3">
      <c r="A501" t="s">
        <v>449</v>
      </c>
      <c r="B501">
        <v>46</v>
      </c>
      <c r="C501" t="s">
        <v>27</v>
      </c>
      <c r="D501" t="s">
        <v>34</v>
      </c>
      <c r="E501" t="s">
        <v>51</v>
      </c>
      <c r="F501" t="s">
        <v>130</v>
      </c>
      <c r="G501">
        <v>22</v>
      </c>
      <c r="H501" t="s">
        <v>22</v>
      </c>
      <c r="I501" t="s">
        <v>22</v>
      </c>
      <c r="J501" t="s">
        <v>23</v>
      </c>
      <c r="K501" s="2">
        <v>41240</v>
      </c>
      <c r="L501" s="2">
        <v>40413</v>
      </c>
      <c r="M501" t="s">
        <v>38</v>
      </c>
      <c r="N501">
        <v>38</v>
      </c>
      <c r="O501" t="s">
        <v>25</v>
      </c>
      <c r="P501">
        <v>5</v>
      </c>
      <c r="Q501" s="1">
        <v>24.59</v>
      </c>
      <c r="R501" s="2">
        <f t="shared" si="28"/>
        <v>-827</v>
      </c>
      <c r="S501" s="1">
        <f t="shared" si="29"/>
        <v>-2.0053346265761394</v>
      </c>
      <c r="T501" t="str">
        <f t="shared" si="30"/>
        <v>Expert</v>
      </c>
      <c r="U501" t="str">
        <f t="shared" si="31"/>
        <v>Medium Impact</v>
      </c>
    </row>
    <row r="502" spans="1:21" x14ac:dyDescent="0.3">
      <c r="A502" t="s">
        <v>2029</v>
      </c>
      <c r="B502">
        <v>47</v>
      </c>
      <c r="C502" t="s">
        <v>18</v>
      </c>
      <c r="D502" t="s">
        <v>28</v>
      </c>
      <c r="E502" t="s">
        <v>41</v>
      </c>
      <c r="F502" t="s">
        <v>49</v>
      </c>
      <c r="G502">
        <v>24</v>
      </c>
      <c r="H502" t="s">
        <v>37</v>
      </c>
      <c r="I502" t="s">
        <v>37</v>
      </c>
      <c r="J502" t="s">
        <v>23</v>
      </c>
      <c r="K502" s="2">
        <v>74858</v>
      </c>
      <c r="L502" s="2">
        <v>80629</v>
      </c>
      <c r="M502" t="s">
        <v>38</v>
      </c>
      <c r="N502">
        <v>50</v>
      </c>
      <c r="O502" t="s">
        <v>25</v>
      </c>
      <c r="P502">
        <v>4</v>
      </c>
      <c r="Q502" s="1">
        <v>24.58</v>
      </c>
      <c r="R502" s="2">
        <f t="shared" si="28"/>
        <v>5771</v>
      </c>
      <c r="S502" s="1">
        <f t="shared" si="29"/>
        <v>7.7092628710358282</v>
      </c>
      <c r="T502" t="str">
        <f t="shared" si="30"/>
        <v>Expert</v>
      </c>
      <c r="U502" t="str">
        <f t="shared" si="31"/>
        <v>Medium Impact</v>
      </c>
    </row>
    <row r="503" spans="1:21" x14ac:dyDescent="0.3">
      <c r="A503" t="s">
        <v>1779</v>
      </c>
      <c r="B503">
        <v>50</v>
      </c>
      <c r="C503" t="s">
        <v>27</v>
      </c>
      <c r="D503" t="s">
        <v>19</v>
      </c>
      <c r="E503" t="s">
        <v>51</v>
      </c>
      <c r="F503" t="s">
        <v>130</v>
      </c>
      <c r="G503">
        <v>28</v>
      </c>
      <c r="H503" t="s">
        <v>31</v>
      </c>
      <c r="I503" t="s">
        <v>22</v>
      </c>
      <c r="J503" t="s">
        <v>25</v>
      </c>
      <c r="K503" s="2">
        <v>117579</v>
      </c>
      <c r="L503" s="2">
        <v>126906</v>
      </c>
      <c r="M503" t="s">
        <v>32</v>
      </c>
      <c r="N503">
        <v>43</v>
      </c>
      <c r="O503" t="s">
        <v>23</v>
      </c>
      <c r="P503">
        <v>9</v>
      </c>
      <c r="Q503" s="1">
        <v>24.56</v>
      </c>
      <c r="R503" s="2">
        <f t="shared" si="28"/>
        <v>9327</v>
      </c>
      <c r="S503" s="1">
        <f t="shared" si="29"/>
        <v>7.9325389737963405</v>
      </c>
      <c r="T503" t="str">
        <f t="shared" si="30"/>
        <v>Expert</v>
      </c>
      <c r="U503" t="str">
        <f t="shared" si="31"/>
        <v>Low Impact</v>
      </c>
    </row>
    <row r="504" spans="1:21" x14ac:dyDescent="0.3">
      <c r="A504" t="s">
        <v>1024</v>
      </c>
      <c r="B504">
        <v>26</v>
      </c>
      <c r="C504" t="s">
        <v>27</v>
      </c>
      <c r="D504" t="s">
        <v>19</v>
      </c>
      <c r="E504" t="s">
        <v>44</v>
      </c>
      <c r="F504" t="s">
        <v>45</v>
      </c>
      <c r="G504">
        <v>1</v>
      </c>
      <c r="H504" t="s">
        <v>37</v>
      </c>
      <c r="I504" t="s">
        <v>22</v>
      </c>
      <c r="J504" t="s">
        <v>23</v>
      </c>
      <c r="K504" s="2">
        <v>110052</v>
      </c>
      <c r="L504" s="2">
        <v>103308</v>
      </c>
      <c r="M504" t="s">
        <v>32</v>
      </c>
      <c r="N504">
        <v>47</v>
      </c>
      <c r="O504" t="s">
        <v>23</v>
      </c>
      <c r="P504">
        <v>5</v>
      </c>
      <c r="Q504" s="1">
        <v>24.54</v>
      </c>
      <c r="R504" s="2">
        <f t="shared" si="28"/>
        <v>-6744</v>
      </c>
      <c r="S504" s="1">
        <f t="shared" si="29"/>
        <v>-6.12801221240868</v>
      </c>
      <c r="T504" t="str">
        <f t="shared" si="30"/>
        <v>Beginner</v>
      </c>
      <c r="U504" t="str">
        <f t="shared" si="31"/>
        <v>Low Impact</v>
      </c>
    </row>
    <row r="505" spans="1:21" x14ac:dyDescent="0.3">
      <c r="A505" t="s">
        <v>966</v>
      </c>
      <c r="B505">
        <v>35</v>
      </c>
      <c r="C505" t="s">
        <v>18</v>
      </c>
      <c r="D505" t="s">
        <v>28</v>
      </c>
      <c r="E505" t="s">
        <v>35</v>
      </c>
      <c r="F505" t="s">
        <v>98</v>
      </c>
      <c r="G505">
        <v>10</v>
      </c>
      <c r="H505" t="s">
        <v>22</v>
      </c>
      <c r="I505" t="s">
        <v>22</v>
      </c>
      <c r="J505" t="s">
        <v>25</v>
      </c>
      <c r="K505" s="2">
        <v>86574</v>
      </c>
      <c r="L505" s="2">
        <v>92352</v>
      </c>
      <c r="M505" t="s">
        <v>38</v>
      </c>
      <c r="N505">
        <v>44</v>
      </c>
      <c r="O505" t="s">
        <v>23</v>
      </c>
      <c r="P505">
        <v>6</v>
      </c>
      <c r="Q505" s="1">
        <v>24.54</v>
      </c>
      <c r="R505" s="2">
        <f t="shared" si="28"/>
        <v>5778</v>
      </c>
      <c r="S505" s="1">
        <f t="shared" si="29"/>
        <v>6.6740591863608003</v>
      </c>
      <c r="T505" t="str">
        <f t="shared" si="30"/>
        <v>Intermediate</v>
      </c>
      <c r="U505" t="str">
        <f t="shared" si="31"/>
        <v>Medium Impact</v>
      </c>
    </row>
    <row r="506" spans="1:21" x14ac:dyDescent="0.3">
      <c r="A506" t="s">
        <v>687</v>
      </c>
      <c r="B506">
        <v>25</v>
      </c>
      <c r="C506" t="s">
        <v>18</v>
      </c>
      <c r="D506" t="s">
        <v>40</v>
      </c>
      <c r="E506" t="s">
        <v>59</v>
      </c>
      <c r="F506" t="s">
        <v>77</v>
      </c>
      <c r="G506">
        <v>0</v>
      </c>
      <c r="H506" t="s">
        <v>22</v>
      </c>
      <c r="I506" t="s">
        <v>37</v>
      </c>
      <c r="J506" t="s">
        <v>23</v>
      </c>
      <c r="K506" s="2">
        <v>113494</v>
      </c>
      <c r="L506" s="2">
        <v>154283</v>
      </c>
      <c r="M506" t="s">
        <v>38</v>
      </c>
      <c r="N506">
        <v>40</v>
      </c>
      <c r="O506" t="s">
        <v>25</v>
      </c>
      <c r="P506">
        <v>9</v>
      </c>
      <c r="Q506" s="1">
        <v>24.5</v>
      </c>
      <c r="R506" s="2">
        <f t="shared" si="28"/>
        <v>40789</v>
      </c>
      <c r="S506" s="1">
        <f t="shared" si="29"/>
        <v>35.939344811179446</v>
      </c>
      <c r="T506" t="str">
        <f t="shared" si="30"/>
        <v>Beginner</v>
      </c>
      <c r="U506" t="str">
        <f t="shared" si="31"/>
        <v>Medium Impact</v>
      </c>
    </row>
    <row r="507" spans="1:21" x14ac:dyDescent="0.3">
      <c r="A507" t="s">
        <v>2059</v>
      </c>
      <c r="B507">
        <v>23</v>
      </c>
      <c r="C507" t="s">
        <v>54</v>
      </c>
      <c r="D507" t="s">
        <v>34</v>
      </c>
      <c r="E507" t="s">
        <v>20</v>
      </c>
      <c r="F507" t="s">
        <v>118</v>
      </c>
      <c r="G507">
        <v>0</v>
      </c>
      <c r="H507" t="s">
        <v>22</v>
      </c>
      <c r="I507" t="s">
        <v>22</v>
      </c>
      <c r="J507" t="s">
        <v>23</v>
      </c>
      <c r="K507" s="2">
        <v>33830</v>
      </c>
      <c r="L507" s="2">
        <v>34809</v>
      </c>
      <c r="M507" t="s">
        <v>38</v>
      </c>
      <c r="N507">
        <v>37</v>
      </c>
      <c r="O507" t="s">
        <v>23</v>
      </c>
      <c r="P507">
        <v>9</v>
      </c>
      <c r="Q507" s="1">
        <v>24.4</v>
      </c>
      <c r="R507" s="2">
        <f t="shared" si="28"/>
        <v>979</v>
      </c>
      <c r="S507" s="1">
        <f t="shared" si="29"/>
        <v>2.8938811705586756</v>
      </c>
      <c r="T507" t="str">
        <f t="shared" si="30"/>
        <v>Beginner</v>
      </c>
      <c r="U507" t="str">
        <f t="shared" si="31"/>
        <v>Medium Impact</v>
      </c>
    </row>
    <row r="508" spans="1:21" x14ac:dyDescent="0.3">
      <c r="A508" t="s">
        <v>1885</v>
      </c>
      <c r="B508">
        <v>43</v>
      </c>
      <c r="C508" t="s">
        <v>54</v>
      </c>
      <c r="D508" t="s">
        <v>19</v>
      </c>
      <c r="E508" t="s">
        <v>20</v>
      </c>
      <c r="F508" t="s">
        <v>88</v>
      </c>
      <c r="G508">
        <v>19</v>
      </c>
      <c r="H508" t="s">
        <v>37</v>
      </c>
      <c r="I508" t="s">
        <v>31</v>
      </c>
      <c r="J508" t="s">
        <v>25</v>
      </c>
      <c r="K508" s="2">
        <v>75891</v>
      </c>
      <c r="L508" s="2">
        <v>68901</v>
      </c>
      <c r="M508" t="s">
        <v>32</v>
      </c>
      <c r="N508">
        <v>49</v>
      </c>
      <c r="O508" t="s">
        <v>23</v>
      </c>
      <c r="P508">
        <v>6</v>
      </c>
      <c r="Q508" s="1">
        <v>24.35</v>
      </c>
      <c r="R508" s="2">
        <f t="shared" si="28"/>
        <v>-6990</v>
      </c>
      <c r="S508" s="1">
        <f t="shared" si="29"/>
        <v>-9.2105783294461805</v>
      </c>
      <c r="T508" t="str">
        <f t="shared" si="30"/>
        <v>Expert</v>
      </c>
      <c r="U508" t="str">
        <f t="shared" si="31"/>
        <v>Low Impact</v>
      </c>
    </row>
    <row r="509" spans="1:21" x14ac:dyDescent="0.3">
      <c r="A509" t="s">
        <v>247</v>
      </c>
      <c r="B509">
        <v>31</v>
      </c>
      <c r="C509" t="s">
        <v>27</v>
      </c>
      <c r="D509" t="s">
        <v>34</v>
      </c>
      <c r="E509" t="s">
        <v>44</v>
      </c>
      <c r="F509" t="s">
        <v>57</v>
      </c>
      <c r="G509">
        <v>9</v>
      </c>
      <c r="H509" t="s">
        <v>37</v>
      </c>
      <c r="I509" t="s">
        <v>37</v>
      </c>
      <c r="J509" t="s">
        <v>25</v>
      </c>
      <c r="K509" s="2">
        <v>54574</v>
      </c>
      <c r="L509" s="2">
        <v>56015</v>
      </c>
      <c r="M509" t="s">
        <v>38</v>
      </c>
      <c r="N509">
        <v>51</v>
      </c>
      <c r="O509" t="s">
        <v>25</v>
      </c>
      <c r="P509">
        <v>5</v>
      </c>
      <c r="Q509" s="1">
        <v>24.25</v>
      </c>
      <c r="R509" s="2">
        <f t="shared" si="28"/>
        <v>1441</v>
      </c>
      <c r="S509" s="1">
        <f t="shared" si="29"/>
        <v>2.6404514970498774</v>
      </c>
      <c r="T509" t="str">
        <f t="shared" si="30"/>
        <v>Intermediate</v>
      </c>
      <c r="U509" t="str">
        <f t="shared" si="31"/>
        <v>Medium Impact</v>
      </c>
    </row>
    <row r="510" spans="1:21" x14ac:dyDescent="0.3">
      <c r="A510" t="s">
        <v>370</v>
      </c>
      <c r="B510">
        <v>47</v>
      </c>
      <c r="C510" t="s">
        <v>18</v>
      </c>
      <c r="D510" t="s">
        <v>40</v>
      </c>
      <c r="E510" t="s">
        <v>35</v>
      </c>
      <c r="F510" t="s">
        <v>132</v>
      </c>
      <c r="G510">
        <v>22</v>
      </c>
      <c r="H510" t="s">
        <v>37</v>
      </c>
      <c r="I510" t="s">
        <v>31</v>
      </c>
      <c r="J510" t="s">
        <v>25</v>
      </c>
      <c r="K510" s="2">
        <v>55121</v>
      </c>
      <c r="L510" s="2">
        <v>54977</v>
      </c>
      <c r="M510" t="s">
        <v>32</v>
      </c>
      <c r="N510">
        <v>42</v>
      </c>
      <c r="O510" t="s">
        <v>25</v>
      </c>
      <c r="P510">
        <v>5</v>
      </c>
      <c r="Q510" s="1">
        <v>24.24</v>
      </c>
      <c r="R510" s="2">
        <f t="shared" si="28"/>
        <v>-144</v>
      </c>
      <c r="S510" s="1">
        <f t="shared" si="29"/>
        <v>-0.26124344623646162</v>
      </c>
      <c r="T510" t="str">
        <f t="shared" si="30"/>
        <v>Expert</v>
      </c>
      <c r="U510" t="str">
        <f t="shared" si="31"/>
        <v>Low Impact</v>
      </c>
    </row>
    <row r="511" spans="1:21" x14ac:dyDescent="0.3">
      <c r="A511" t="s">
        <v>598</v>
      </c>
      <c r="B511">
        <v>46</v>
      </c>
      <c r="C511" t="s">
        <v>27</v>
      </c>
      <c r="D511" t="s">
        <v>19</v>
      </c>
      <c r="E511" t="s">
        <v>51</v>
      </c>
      <c r="F511" t="s">
        <v>75</v>
      </c>
      <c r="G511">
        <v>23</v>
      </c>
      <c r="H511" t="s">
        <v>22</v>
      </c>
      <c r="I511" t="s">
        <v>22</v>
      </c>
      <c r="J511" t="s">
        <v>25</v>
      </c>
      <c r="K511" s="2">
        <v>92260</v>
      </c>
      <c r="L511" s="2">
        <v>126104</v>
      </c>
      <c r="M511" t="s">
        <v>38</v>
      </c>
      <c r="N511">
        <v>50</v>
      </c>
      <c r="O511" t="s">
        <v>25</v>
      </c>
      <c r="P511">
        <v>7</v>
      </c>
      <c r="Q511" s="1">
        <v>24.19</v>
      </c>
      <c r="R511" s="2">
        <f t="shared" si="28"/>
        <v>33844</v>
      </c>
      <c r="S511" s="1">
        <f t="shared" si="29"/>
        <v>36.683286364621722</v>
      </c>
      <c r="T511" t="str">
        <f t="shared" si="30"/>
        <v>Expert</v>
      </c>
      <c r="U511" t="str">
        <f t="shared" si="31"/>
        <v>Medium Impact</v>
      </c>
    </row>
    <row r="512" spans="1:21" x14ac:dyDescent="0.3">
      <c r="A512" t="s">
        <v>201</v>
      </c>
      <c r="B512">
        <v>49</v>
      </c>
      <c r="C512" t="s">
        <v>27</v>
      </c>
      <c r="D512" t="s">
        <v>28</v>
      </c>
      <c r="E512" t="s">
        <v>44</v>
      </c>
      <c r="F512" t="s">
        <v>45</v>
      </c>
      <c r="G512">
        <v>26</v>
      </c>
      <c r="H512" t="s">
        <v>22</v>
      </c>
      <c r="I512" t="s">
        <v>31</v>
      </c>
      <c r="J512" t="s">
        <v>23</v>
      </c>
      <c r="K512" s="2">
        <v>85176</v>
      </c>
      <c r="L512" s="2">
        <v>89816</v>
      </c>
      <c r="M512" t="s">
        <v>32</v>
      </c>
      <c r="N512">
        <v>42</v>
      </c>
      <c r="O512" t="s">
        <v>25</v>
      </c>
      <c r="P512">
        <v>3</v>
      </c>
      <c r="Q512" s="1">
        <v>24.19</v>
      </c>
      <c r="R512" s="2">
        <f t="shared" si="28"/>
        <v>4640</v>
      </c>
      <c r="S512" s="1">
        <f t="shared" si="29"/>
        <v>5.4475439090823707</v>
      </c>
      <c r="T512" t="str">
        <f t="shared" si="30"/>
        <v>Expert</v>
      </c>
      <c r="U512" t="str">
        <f t="shared" si="31"/>
        <v>Low Impact</v>
      </c>
    </row>
    <row r="513" spans="1:21" x14ac:dyDescent="0.3">
      <c r="A513" t="s">
        <v>686</v>
      </c>
      <c r="B513">
        <v>38</v>
      </c>
      <c r="C513" t="s">
        <v>18</v>
      </c>
      <c r="D513" t="s">
        <v>19</v>
      </c>
      <c r="E513" t="s">
        <v>29</v>
      </c>
      <c r="F513" t="s">
        <v>30</v>
      </c>
      <c r="G513">
        <v>16</v>
      </c>
      <c r="H513" t="s">
        <v>22</v>
      </c>
      <c r="I513" t="s">
        <v>37</v>
      </c>
      <c r="J513" t="s">
        <v>23</v>
      </c>
      <c r="K513" s="2">
        <v>96788</v>
      </c>
      <c r="L513" s="2">
        <v>107056</v>
      </c>
      <c r="M513" t="s">
        <v>38</v>
      </c>
      <c r="N513">
        <v>48</v>
      </c>
      <c r="O513" t="s">
        <v>25</v>
      </c>
      <c r="P513">
        <v>9</v>
      </c>
      <c r="Q513" s="1">
        <v>24.17</v>
      </c>
      <c r="R513" s="2">
        <f t="shared" si="28"/>
        <v>10268</v>
      </c>
      <c r="S513" s="1">
        <f t="shared" si="29"/>
        <v>10.608753151217092</v>
      </c>
      <c r="T513" t="str">
        <f t="shared" si="30"/>
        <v>Expert</v>
      </c>
      <c r="U513" t="str">
        <f t="shared" si="31"/>
        <v>Medium Impact</v>
      </c>
    </row>
    <row r="514" spans="1:21" x14ac:dyDescent="0.3">
      <c r="A514" t="s">
        <v>1026</v>
      </c>
      <c r="B514">
        <v>36</v>
      </c>
      <c r="C514" t="s">
        <v>27</v>
      </c>
      <c r="D514" t="s">
        <v>34</v>
      </c>
      <c r="E514" t="s">
        <v>20</v>
      </c>
      <c r="F514" t="s">
        <v>88</v>
      </c>
      <c r="G514">
        <v>13</v>
      </c>
      <c r="H514" t="s">
        <v>37</v>
      </c>
      <c r="I514" t="s">
        <v>37</v>
      </c>
      <c r="J514" t="s">
        <v>25</v>
      </c>
      <c r="K514" s="2">
        <v>77663</v>
      </c>
      <c r="L514" s="2">
        <v>72517</v>
      </c>
      <c r="M514" t="s">
        <v>38</v>
      </c>
      <c r="N514">
        <v>53</v>
      </c>
      <c r="O514" t="s">
        <v>25</v>
      </c>
      <c r="P514">
        <v>9</v>
      </c>
      <c r="Q514" s="1">
        <v>24.16</v>
      </c>
      <c r="R514" s="2">
        <f t="shared" ref="R514:R577" si="32">L514-K514</f>
        <v>-5146</v>
      </c>
      <c r="S514" s="1">
        <f t="shared" ref="S514:S577" si="33">(L514-K514)/K514*100</f>
        <v>-6.6260638914283509</v>
      </c>
      <c r="T514" t="str">
        <f t="shared" ref="T514:T577" si="34">IF(G514&lt;5,"Beginner",IF(G514&lt;15,"Intermediate","Expert"))</f>
        <v>Intermediate</v>
      </c>
      <c r="U514" t="str">
        <f t="shared" ref="U514:U577" si="35">IF(M514="Replaced","High Impact",IF(M514="Modified","Medium Impact","Low Impact"))</f>
        <v>Medium Impact</v>
      </c>
    </row>
    <row r="515" spans="1:21" x14ac:dyDescent="0.3">
      <c r="A515" t="s">
        <v>1541</v>
      </c>
      <c r="B515">
        <v>49</v>
      </c>
      <c r="C515" t="s">
        <v>54</v>
      </c>
      <c r="D515" t="s">
        <v>28</v>
      </c>
      <c r="E515" t="s">
        <v>44</v>
      </c>
      <c r="F515" t="s">
        <v>57</v>
      </c>
      <c r="G515">
        <v>23</v>
      </c>
      <c r="H515" t="s">
        <v>37</v>
      </c>
      <c r="I515" t="s">
        <v>22</v>
      </c>
      <c r="J515" t="s">
        <v>23</v>
      </c>
      <c r="K515" s="2">
        <v>117363</v>
      </c>
      <c r="L515" s="2">
        <v>139281</v>
      </c>
      <c r="M515" t="s">
        <v>32</v>
      </c>
      <c r="N515">
        <v>35</v>
      </c>
      <c r="O515" t="s">
        <v>25</v>
      </c>
      <c r="P515">
        <v>6</v>
      </c>
      <c r="Q515" s="1">
        <v>24.05</v>
      </c>
      <c r="R515" s="2">
        <f t="shared" si="32"/>
        <v>21918</v>
      </c>
      <c r="S515" s="1">
        <f t="shared" si="33"/>
        <v>18.675391733340149</v>
      </c>
      <c r="T515" t="str">
        <f t="shared" si="34"/>
        <v>Expert</v>
      </c>
      <c r="U515" t="str">
        <f t="shared" si="35"/>
        <v>Low Impact</v>
      </c>
    </row>
    <row r="516" spans="1:21" x14ac:dyDescent="0.3">
      <c r="A516" t="s">
        <v>1747</v>
      </c>
      <c r="B516">
        <v>34</v>
      </c>
      <c r="C516" t="s">
        <v>54</v>
      </c>
      <c r="D516" t="s">
        <v>34</v>
      </c>
      <c r="E516" t="s">
        <v>20</v>
      </c>
      <c r="F516" t="s">
        <v>21</v>
      </c>
      <c r="G516">
        <v>11</v>
      </c>
      <c r="H516" t="s">
        <v>22</v>
      </c>
      <c r="I516" t="s">
        <v>22</v>
      </c>
      <c r="J516" t="s">
        <v>23</v>
      </c>
      <c r="K516" s="2">
        <v>75924</v>
      </c>
      <c r="L516" s="2">
        <v>61533</v>
      </c>
      <c r="M516" t="s">
        <v>24</v>
      </c>
      <c r="N516">
        <v>41</v>
      </c>
      <c r="O516" t="s">
        <v>23</v>
      </c>
      <c r="P516">
        <v>6</v>
      </c>
      <c r="Q516" s="1">
        <v>24.03</v>
      </c>
      <c r="R516" s="2">
        <f t="shared" si="32"/>
        <v>-14391</v>
      </c>
      <c r="S516" s="1">
        <f t="shared" si="33"/>
        <v>-18.954480796586061</v>
      </c>
      <c r="T516" t="str">
        <f t="shared" si="34"/>
        <v>Intermediate</v>
      </c>
      <c r="U516" t="str">
        <f t="shared" si="35"/>
        <v>High Impact</v>
      </c>
    </row>
    <row r="517" spans="1:21" x14ac:dyDescent="0.3">
      <c r="A517" t="s">
        <v>588</v>
      </c>
      <c r="B517">
        <v>25</v>
      </c>
      <c r="C517" t="s">
        <v>27</v>
      </c>
      <c r="D517" t="s">
        <v>34</v>
      </c>
      <c r="E517" t="s">
        <v>35</v>
      </c>
      <c r="F517" t="s">
        <v>36</v>
      </c>
      <c r="G517">
        <v>3</v>
      </c>
      <c r="H517" t="s">
        <v>31</v>
      </c>
      <c r="I517" t="s">
        <v>22</v>
      </c>
      <c r="J517" t="s">
        <v>25</v>
      </c>
      <c r="K517" s="2">
        <v>76220</v>
      </c>
      <c r="L517" s="2">
        <v>81382</v>
      </c>
      <c r="M517" t="s">
        <v>32</v>
      </c>
      <c r="N517">
        <v>48</v>
      </c>
      <c r="O517" t="s">
        <v>23</v>
      </c>
      <c r="P517">
        <v>9</v>
      </c>
      <c r="Q517" s="1">
        <v>24.01</v>
      </c>
      <c r="R517" s="2">
        <f t="shared" si="32"/>
        <v>5162</v>
      </c>
      <c r="S517" s="1">
        <f t="shared" si="33"/>
        <v>6.7725006559958016</v>
      </c>
      <c r="T517" t="str">
        <f t="shared" si="34"/>
        <v>Beginner</v>
      </c>
      <c r="U517" t="str">
        <f t="shared" si="35"/>
        <v>Low Impact</v>
      </c>
    </row>
    <row r="518" spans="1:21" x14ac:dyDescent="0.3">
      <c r="A518" t="s">
        <v>1535</v>
      </c>
      <c r="B518">
        <v>36</v>
      </c>
      <c r="C518" t="s">
        <v>18</v>
      </c>
      <c r="D518" t="s">
        <v>40</v>
      </c>
      <c r="E518" t="s">
        <v>41</v>
      </c>
      <c r="F518" t="s">
        <v>42</v>
      </c>
      <c r="G518">
        <v>13</v>
      </c>
      <c r="H518" t="s">
        <v>31</v>
      </c>
      <c r="I518" t="s">
        <v>37</v>
      </c>
      <c r="J518" t="s">
        <v>23</v>
      </c>
      <c r="K518" s="2">
        <v>116261</v>
      </c>
      <c r="L518" s="2">
        <v>113122</v>
      </c>
      <c r="M518" t="s">
        <v>38</v>
      </c>
      <c r="N518">
        <v>51</v>
      </c>
      <c r="O518" t="s">
        <v>25</v>
      </c>
      <c r="P518">
        <v>7</v>
      </c>
      <c r="Q518" s="1">
        <v>24</v>
      </c>
      <c r="R518" s="2">
        <f t="shared" si="32"/>
        <v>-3139</v>
      </c>
      <c r="S518" s="1">
        <f t="shared" si="33"/>
        <v>-2.6999595737177557</v>
      </c>
      <c r="T518" t="str">
        <f t="shared" si="34"/>
        <v>Intermediate</v>
      </c>
      <c r="U518" t="str">
        <f t="shared" si="35"/>
        <v>Medium Impact</v>
      </c>
    </row>
    <row r="519" spans="1:21" x14ac:dyDescent="0.3">
      <c r="A519" t="s">
        <v>392</v>
      </c>
      <c r="B519">
        <v>56</v>
      </c>
      <c r="C519" t="s">
        <v>27</v>
      </c>
      <c r="D519" t="s">
        <v>34</v>
      </c>
      <c r="E519" t="s">
        <v>44</v>
      </c>
      <c r="F519" t="s">
        <v>45</v>
      </c>
      <c r="G519">
        <v>33</v>
      </c>
      <c r="H519" t="s">
        <v>22</v>
      </c>
      <c r="I519" t="s">
        <v>37</v>
      </c>
      <c r="J519" t="s">
        <v>25</v>
      </c>
      <c r="K519" s="2">
        <v>98056</v>
      </c>
      <c r="L519" s="2">
        <v>111102</v>
      </c>
      <c r="M519" t="s">
        <v>38</v>
      </c>
      <c r="N519">
        <v>41</v>
      </c>
      <c r="O519" t="s">
        <v>25</v>
      </c>
      <c r="P519">
        <v>5</v>
      </c>
      <c r="Q519" s="1">
        <v>23.98</v>
      </c>
      <c r="R519" s="2">
        <f t="shared" si="32"/>
        <v>13046</v>
      </c>
      <c r="S519" s="1">
        <f t="shared" si="33"/>
        <v>13.304642245247614</v>
      </c>
      <c r="T519" t="str">
        <f t="shared" si="34"/>
        <v>Expert</v>
      </c>
      <c r="U519" t="str">
        <f t="shared" si="35"/>
        <v>Medium Impact</v>
      </c>
    </row>
    <row r="520" spans="1:21" x14ac:dyDescent="0.3">
      <c r="A520" t="s">
        <v>735</v>
      </c>
      <c r="B520">
        <v>52</v>
      </c>
      <c r="C520" t="s">
        <v>18</v>
      </c>
      <c r="D520" t="s">
        <v>34</v>
      </c>
      <c r="E520" t="s">
        <v>44</v>
      </c>
      <c r="F520" t="s">
        <v>45</v>
      </c>
      <c r="G520">
        <v>28</v>
      </c>
      <c r="H520" t="s">
        <v>31</v>
      </c>
      <c r="I520" t="s">
        <v>37</v>
      </c>
      <c r="J520" t="s">
        <v>25</v>
      </c>
      <c r="K520" s="2">
        <v>58807</v>
      </c>
      <c r="L520" s="2">
        <v>60298</v>
      </c>
      <c r="M520" t="s">
        <v>38</v>
      </c>
      <c r="N520">
        <v>43</v>
      </c>
      <c r="O520" t="s">
        <v>25</v>
      </c>
      <c r="P520">
        <v>9</v>
      </c>
      <c r="Q520" s="1">
        <v>23.89</v>
      </c>
      <c r="R520" s="2">
        <f t="shared" si="32"/>
        <v>1491</v>
      </c>
      <c r="S520" s="1">
        <f t="shared" si="33"/>
        <v>2.5354124508987024</v>
      </c>
      <c r="T520" t="str">
        <f t="shared" si="34"/>
        <v>Expert</v>
      </c>
      <c r="U520" t="str">
        <f t="shared" si="35"/>
        <v>Medium Impact</v>
      </c>
    </row>
    <row r="521" spans="1:21" x14ac:dyDescent="0.3">
      <c r="A521" t="s">
        <v>1303</v>
      </c>
      <c r="B521">
        <v>35</v>
      </c>
      <c r="C521" t="s">
        <v>54</v>
      </c>
      <c r="D521" t="s">
        <v>28</v>
      </c>
      <c r="E521" t="s">
        <v>29</v>
      </c>
      <c r="F521" t="s">
        <v>30</v>
      </c>
      <c r="G521">
        <v>11</v>
      </c>
      <c r="H521" t="s">
        <v>22</v>
      </c>
      <c r="I521" t="s">
        <v>31</v>
      </c>
      <c r="J521" t="s">
        <v>23</v>
      </c>
      <c r="K521" s="2">
        <v>87450</v>
      </c>
      <c r="L521" s="2">
        <v>86669</v>
      </c>
      <c r="M521" t="s">
        <v>32</v>
      </c>
      <c r="N521">
        <v>43</v>
      </c>
      <c r="O521" t="s">
        <v>25</v>
      </c>
      <c r="P521">
        <v>7</v>
      </c>
      <c r="Q521" s="1">
        <v>23.86</v>
      </c>
      <c r="R521" s="2">
        <f t="shared" si="32"/>
        <v>-781</v>
      </c>
      <c r="S521" s="1">
        <f t="shared" si="33"/>
        <v>-0.89308176100628933</v>
      </c>
      <c r="T521" t="str">
        <f t="shared" si="34"/>
        <v>Intermediate</v>
      </c>
      <c r="U521" t="str">
        <f t="shared" si="35"/>
        <v>Low Impact</v>
      </c>
    </row>
    <row r="522" spans="1:21" x14ac:dyDescent="0.3">
      <c r="A522" t="s">
        <v>2028</v>
      </c>
      <c r="B522">
        <v>35</v>
      </c>
      <c r="C522" t="s">
        <v>54</v>
      </c>
      <c r="D522" t="s">
        <v>28</v>
      </c>
      <c r="E522" t="s">
        <v>51</v>
      </c>
      <c r="F522" t="s">
        <v>130</v>
      </c>
      <c r="G522">
        <v>11</v>
      </c>
      <c r="H522" t="s">
        <v>31</v>
      </c>
      <c r="I522" t="s">
        <v>37</v>
      </c>
      <c r="J522" t="s">
        <v>23</v>
      </c>
      <c r="K522" s="2">
        <v>69023</v>
      </c>
      <c r="L522" s="2">
        <v>74750</v>
      </c>
      <c r="M522" t="s">
        <v>38</v>
      </c>
      <c r="N522">
        <v>51</v>
      </c>
      <c r="O522" t="s">
        <v>25</v>
      </c>
      <c r="P522">
        <v>6</v>
      </c>
      <c r="Q522" s="1">
        <v>23.79</v>
      </c>
      <c r="R522" s="2">
        <f t="shared" si="32"/>
        <v>5727</v>
      </c>
      <c r="S522" s="1">
        <f t="shared" si="33"/>
        <v>8.2972342552482505</v>
      </c>
      <c r="T522" t="str">
        <f t="shared" si="34"/>
        <v>Intermediate</v>
      </c>
      <c r="U522" t="str">
        <f t="shared" si="35"/>
        <v>Medium Impact</v>
      </c>
    </row>
    <row r="523" spans="1:21" x14ac:dyDescent="0.3">
      <c r="A523" t="s">
        <v>1778</v>
      </c>
      <c r="B523">
        <v>33</v>
      </c>
      <c r="C523" t="s">
        <v>27</v>
      </c>
      <c r="D523" t="s">
        <v>40</v>
      </c>
      <c r="E523" t="s">
        <v>35</v>
      </c>
      <c r="F523" t="s">
        <v>36</v>
      </c>
      <c r="G523">
        <v>10</v>
      </c>
      <c r="H523" t="s">
        <v>31</v>
      </c>
      <c r="I523" t="s">
        <v>37</v>
      </c>
      <c r="J523" t="s">
        <v>23</v>
      </c>
      <c r="K523" s="2">
        <v>116426</v>
      </c>
      <c r="L523" s="2">
        <v>123159</v>
      </c>
      <c r="M523" t="s">
        <v>38</v>
      </c>
      <c r="N523">
        <v>50</v>
      </c>
      <c r="O523" t="s">
        <v>25</v>
      </c>
      <c r="P523">
        <v>7</v>
      </c>
      <c r="Q523" s="1">
        <v>23.78</v>
      </c>
      <c r="R523" s="2">
        <f t="shared" si="32"/>
        <v>6733</v>
      </c>
      <c r="S523" s="1">
        <f t="shared" si="33"/>
        <v>5.7830725095768987</v>
      </c>
      <c r="T523" t="str">
        <f t="shared" si="34"/>
        <v>Intermediate</v>
      </c>
      <c r="U523" t="str">
        <f t="shared" si="35"/>
        <v>Medium Impact</v>
      </c>
    </row>
    <row r="524" spans="1:21" x14ac:dyDescent="0.3">
      <c r="A524" t="s">
        <v>1715</v>
      </c>
      <c r="B524">
        <v>49</v>
      </c>
      <c r="C524" t="s">
        <v>18</v>
      </c>
      <c r="D524" t="s">
        <v>34</v>
      </c>
      <c r="E524" t="s">
        <v>29</v>
      </c>
      <c r="F524" t="s">
        <v>104</v>
      </c>
      <c r="G524">
        <v>26</v>
      </c>
      <c r="H524" t="s">
        <v>31</v>
      </c>
      <c r="I524" t="s">
        <v>37</v>
      </c>
      <c r="J524" t="s">
        <v>23</v>
      </c>
      <c r="K524" s="2">
        <v>92820</v>
      </c>
      <c r="L524" s="2">
        <v>93156</v>
      </c>
      <c r="M524" t="s">
        <v>38</v>
      </c>
      <c r="N524">
        <v>54</v>
      </c>
      <c r="O524" t="s">
        <v>25</v>
      </c>
      <c r="P524">
        <v>7</v>
      </c>
      <c r="Q524" s="1">
        <v>23.77</v>
      </c>
      <c r="R524" s="2">
        <f t="shared" si="32"/>
        <v>336</v>
      </c>
      <c r="S524" s="1">
        <f t="shared" si="33"/>
        <v>0.36199095022624433</v>
      </c>
      <c r="T524" t="str">
        <f t="shared" si="34"/>
        <v>Expert</v>
      </c>
      <c r="U524" t="str">
        <f t="shared" si="35"/>
        <v>Medium Impact</v>
      </c>
    </row>
    <row r="525" spans="1:21" x14ac:dyDescent="0.3">
      <c r="A525" t="s">
        <v>1442</v>
      </c>
      <c r="B525">
        <v>38</v>
      </c>
      <c r="C525" t="s">
        <v>54</v>
      </c>
      <c r="D525" t="s">
        <v>34</v>
      </c>
      <c r="E525" t="s">
        <v>59</v>
      </c>
      <c r="F525" t="s">
        <v>60</v>
      </c>
      <c r="G525">
        <v>16</v>
      </c>
      <c r="H525" t="s">
        <v>22</v>
      </c>
      <c r="I525" t="s">
        <v>22</v>
      </c>
      <c r="J525" t="s">
        <v>23</v>
      </c>
      <c r="K525" s="2">
        <v>53212</v>
      </c>
      <c r="L525" s="2">
        <v>62522</v>
      </c>
      <c r="M525" t="s">
        <v>38</v>
      </c>
      <c r="N525">
        <v>53</v>
      </c>
      <c r="O525" t="s">
        <v>25</v>
      </c>
      <c r="P525">
        <v>7</v>
      </c>
      <c r="Q525" s="1">
        <v>23.73</v>
      </c>
      <c r="R525" s="2">
        <f t="shared" si="32"/>
        <v>9310</v>
      </c>
      <c r="S525" s="1">
        <f t="shared" si="33"/>
        <v>17.496053521762008</v>
      </c>
      <c r="T525" t="str">
        <f t="shared" si="34"/>
        <v>Expert</v>
      </c>
      <c r="U525" t="str">
        <f t="shared" si="35"/>
        <v>Medium Impact</v>
      </c>
    </row>
    <row r="526" spans="1:21" x14ac:dyDescent="0.3">
      <c r="A526" t="s">
        <v>1368</v>
      </c>
      <c r="B526">
        <v>47</v>
      </c>
      <c r="C526" t="s">
        <v>18</v>
      </c>
      <c r="D526" t="s">
        <v>34</v>
      </c>
      <c r="E526" t="s">
        <v>35</v>
      </c>
      <c r="F526" t="s">
        <v>98</v>
      </c>
      <c r="G526">
        <v>25</v>
      </c>
      <c r="H526" t="s">
        <v>37</v>
      </c>
      <c r="I526" t="s">
        <v>22</v>
      </c>
      <c r="J526" t="s">
        <v>23</v>
      </c>
      <c r="K526" s="2">
        <v>85401</v>
      </c>
      <c r="L526" s="2">
        <v>91217</v>
      </c>
      <c r="M526" t="s">
        <v>32</v>
      </c>
      <c r="N526">
        <v>48</v>
      </c>
      <c r="O526" t="s">
        <v>23</v>
      </c>
      <c r="P526">
        <v>7</v>
      </c>
      <c r="Q526" s="1">
        <v>23.72</v>
      </c>
      <c r="R526" s="2">
        <f t="shared" si="32"/>
        <v>5816</v>
      </c>
      <c r="S526" s="1">
        <f t="shared" si="33"/>
        <v>6.8102247046287516</v>
      </c>
      <c r="T526" t="str">
        <f t="shared" si="34"/>
        <v>Expert</v>
      </c>
      <c r="U526" t="str">
        <f t="shared" si="35"/>
        <v>Low Impact</v>
      </c>
    </row>
    <row r="527" spans="1:21" x14ac:dyDescent="0.3">
      <c r="A527" t="s">
        <v>386</v>
      </c>
      <c r="B527">
        <v>42</v>
      </c>
      <c r="C527" t="s">
        <v>54</v>
      </c>
      <c r="D527" t="s">
        <v>34</v>
      </c>
      <c r="E527" t="s">
        <v>59</v>
      </c>
      <c r="F527" t="s">
        <v>60</v>
      </c>
      <c r="G527">
        <v>16</v>
      </c>
      <c r="H527" t="s">
        <v>31</v>
      </c>
      <c r="I527" t="s">
        <v>22</v>
      </c>
      <c r="J527" t="s">
        <v>25</v>
      </c>
      <c r="K527" s="2">
        <v>45997</v>
      </c>
      <c r="L527" s="2">
        <v>49506</v>
      </c>
      <c r="M527" t="s">
        <v>32</v>
      </c>
      <c r="N527">
        <v>41</v>
      </c>
      <c r="O527" t="s">
        <v>25</v>
      </c>
      <c r="P527">
        <v>9</v>
      </c>
      <c r="Q527" s="1">
        <v>23.71</v>
      </c>
      <c r="R527" s="2">
        <f t="shared" si="32"/>
        <v>3509</v>
      </c>
      <c r="S527" s="1">
        <f t="shared" si="33"/>
        <v>7.628758397286779</v>
      </c>
      <c r="T527" t="str">
        <f t="shared" si="34"/>
        <v>Expert</v>
      </c>
      <c r="U527" t="str">
        <f t="shared" si="35"/>
        <v>Low Impact</v>
      </c>
    </row>
    <row r="528" spans="1:21" x14ac:dyDescent="0.3">
      <c r="A528" t="s">
        <v>938</v>
      </c>
      <c r="B528">
        <v>23</v>
      </c>
      <c r="C528" t="s">
        <v>54</v>
      </c>
      <c r="D528" t="s">
        <v>34</v>
      </c>
      <c r="E528" t="s">
        <v>35</v>
      </c>
      <c r="F528" t="s">
        <v>98</v>
      </c>
      <c r="G528">
        <v>0</v>
      </c>
      <c r="H528" t="s">
        <v>37</v>
      </c>
      <c r="I528" t="s">
        <v>37</v>
      </c>
      <c r="J528" t="s">
        <v>23</v>
      </c>
      <c r="K528" s="2">
        <v>31674</v>
      </c>
      <c r="L528" s="2">
        <v>29802</v>
      </c>
      <c r="M528" t="s">
        <v>38</v>
      </c>
      <c r="N528">
        <v>54</v>
      </c>
      <c r="O528" t="s">
        <v>23</v>
      </c>
      <c r="P528">
        <v>6</v>
      </c>
      <c r="Q528" s="1">
        <v>23.68</v>
      </c>
      <c r="R528" s="2">
        <f t="shared" si="32"/>
        <v>-1872</v>
      </c>
      <c r="S528" s="1">
        <f t="shared" si="33"/>
        <v>-5.9102102670960406</v>
      </c>
      <c r="T528" t="str">
        <f t="shared" si="34"/>
        <v>Beginner</v>
      </c>
      <c r="U528" t="str">
        <f t="shared" si="35"/>
        <v>Medium Impact</v>
      </c>
    </row>
    <row r="529" spans="1:21" x14ac:dyDescent="0.3">
      <c r="A529" t="s">
        <v>447</v>
      </c>
      <c r="B529">
        <v>49</v>
      </c>
      <c r="C529" t="s">
        <v>27</v>
      </c>
      <c r="D529" t="s">
        <v>34</v>
      </c>
      <c r="E529" t="s">
        <v>59</v>
      </c>
      <c r="F529" t="s">
        <v>77</v>
      </c>
      <c r="G529">
        <v>24</v>
      </c>
      <c r="H529" t="s">
        <v>22</v>
      </c>
      <c r="I529" t="s">
        <v>31</v>
      </c>
      <c r="J529" t="s">
        <v>23</v>
      </c>
      <c r="K529" s="2">
        <v>105948</v>
      </c>
      <c r="L529" s="2">
        <v>145963</v>
      </c>
      <c r="M529" t="s">
        <v>32</v>
      </c>
      <c r="N529">
        <v>53</v>
      </c>
      <c r="O529" t="s">
        <v>25</v>
      </c>
      <c r="P529">
        <v>9</v>
      </c>
      <c r="Q529" s="1">
        <v>23.6</v>
      </c>
      <c r="R529" s="2">
        <f t="shared" si="32"/>
        <v>40015</v>
      </c>
      <c r="S529" s="1">
        <f t="shared" si="33"/>
        <v>37.76852795711104</v>
      </c>
      <c r="T529" t="str">
        <f t="shared" si="34"/>
        <v>Expert</v>
      </c>
      <c r="U529" t="str">
        <f t="shared" si="35"/>
        <v>Low Impact</v>
      </c>
    </row>
    <row r="530" spans="1:21" x14ac:dyDescent="0.3">
      <c r="A530" t="s">
        <v>564</v>
      </c>
      <c r="B530">
        <v>24</v>
      </c>
      <c r="C530" t="s">
        <v>18</v>
      </c>
      <c r="D530" t="s">
        <v>19</v>
      </c>
      <c r="E530" t="s">
        <v>20</v>
      </c>
      <c r="F530" t="s">
        <v>21</v>
      </c>
      <c r="G530">
        <v>0</v>
      </c>
      <c r="H530" t="s">
        <v>22</v>
      </c>
      <c r="I530" t="s">
        <v>37</v>
      </c>
      <c r="J530" t="s">
        <v>23</v>
      </c>
      <c r="K530" s="2">
        <v>75095</v>
      </c>
      <c r="L530" s="2">
        <v>62222</v>
      </c>
      <c r="M530" t="s">
        <v>38</v>
      </c>
      <c r="N530">
        <v>44</v>
      </c>
      <c r="O530" t="s">
        <v>23</v>
      </c>
      <c r="P530">
        <v>6</v>
      </c>
      <c r="Q530" s="1">
        <v>23.6</v>
      </c>
      <c r="R530" s="2">
        <f t="shared" si="32"/>
        <v>-12873</v>
      </c>
      <c r="S530" s="1">
        <f t="shared" si="33"/>
        <v>-17.142286437179571</v>
      </c>
      <c r="T530" t="str">
        <f t="shared" si="34"/>
        <v>Beginner</v>
      </c>
      <c r="U530" t="str">
        <f t="shared" si="35"/>
        <v>Medium Impact</v>
      </c>
    </row>
    <row r="531" spans="1:21" x14ac:dyDescent="0.3">
      <c r="A531" t="s">
        <v>391</v>
      </c>
      <c r="B531">
        <v>29</v>
      </c>
      <c r="C531" t="s">
        <v>54</v>
      </c>
      <c r="D531" t="s">
        <v>34</v>
      </c>
      <c r="E531" t="s">
        <v>51</v>
      </c>
      <c r="F531" t="s">
        <v>130</v>
      </c>
      <c r="G531">
        <v>6</v>
      </c>
      <c r="H531" t="s">
        <v>22</v>
      </c>
      <c r="I531" t="s">
        <v>31</v>
      </c>
      <c r="J531" t="s">
        <v>25</v>
      </c>
      <c r="K531" s="2">
        <v>95095</v>
      </c>
      <c r="L531" s="2">
        <v>90150</v>
      </c>
      <c r="M531" t="s">
        <v>32</v>
      </c>
      <c r="N531">
        <v>35</v>
      </c>
      <c r="O531" t="s">
        <v>25</v>
      </c>
      <c r="P531">
        <v>6</v>
      </c>
      <c r="Q531" s="1">
        <v>23.59</v>
      </c>
      <c r="R531" s="2">
        <f t="shared" si="32"/>
        <v>-4945</v>
      </c>
      <c r="S531" s="1">
        <f t="shared" si="33"/>
        <v>-5.2000630947999369</v>
      </c>
      <c r="T531" t="str">
        <f t="shared" si="34"/>
        <v>Intermediate</v>
      </c>
      <c r="U531" t="str">
        <f t="shared" si="35"/>
        <v>Low Impact</v>
      </c>
    </row>
    <row r="532" spans="1:21" x14ac:dyDescent="0.3">
      <c r="A532" t="s">
        <v>1391</v>
      </c>
      <c r="B532">
        <v>34</v>
      </c>
      <c r="C532" t="s">
        <v>18</v>
      </c>
      <c r="D532" t="s">
        <v>28</v>
      </c>
      <c r="E532" t="s">
        <v>35</v>
      </c>
      <c r="F532" t="s">
        <v>132</v>
      </c>
      <c r="G532">
        <v>8</v>
      </c>
      <c r="H532" t="s">
        <v>22</v>
      </c>
      <c r="I532" t="s">
        <v>37</v>
      </c>
      <c r="J532" t="s">
        <v>23</v>
      </c>
      <c r="K532" s="2">
        <v>52394</v>
      </c>
      <c r="L532" s="2">
        <v>68634</v>
      </c>
      <c r="M532" t="s">
        <v>38</v>
      </c>
      <c r="N532">
        <v>39</v>
      </c>
      <c r="O532" t="s">
        <v>23</v>
      </c>
      <c r="P532">
        <v>7</v>
      </c>
      <c r="Q532" s="1">
        <v>23.57</v>
      </c>
      <c r="R532" s="2">
        <f t="shared" si="32"/>
        <v>16240</v>
      </c>
      <c r="S532" s="1">
        <f t="shared" si="33"/>
        <v>30.995915562850705</v>
      </c>
      <c r="T532" t="str">
        <f t="shared" si="34"/>
        <v>Intermediate</v>
      </c>
      <c r="U532" t="str">
        <f t="shared" si="35"/>
        <v>Medium Impact</v>
      </c>
    </row>
    <row r="533" spans="1:21" x14ac:dyDescent="0.3">
      <c r="A533" t="s">
        <v>1115</v>
      </c>
      <c r="B533">
        <v>39</v>
      </c>
      <c r="C533" t="s">
        <v>18</v>
      </c>
      <c r="D533" t="s">
        <v>40</v>
      </c>
      <c r="E533" t="s">
        <v>41</v>
      </c>
      <c r="F533" t="s">
        <v>55</v>
      </c>
      <c r="G533">
        <v>17</v>
      </c>
      <c r="H533" t="s">
        <v>37</v>
      </c>
      <c r="I533" t="s">
        <v>31</v>
      </c>
      <c r="J533" t="s">
        <v>25</v>
      </c>
      <c r="K533" s="2">
        <v>104656</v>
      </c>
      <c r="L533" s="2">
        <v>123531</v>
      </c>
      <c r="M533" t="s">
        <v>32</v>
      </c>
      <c r="N533">
        <v>53</v>
      </c>
      <c r="O533" t="s">
        <v>25</v>
      </c>
      <c r="P533">
        <v>5</v>
      </c>
      <c r="Q533" s="1">
        <v>23.56</v>
      </c>
      <c r="R533" s="2">
        <f t="shared" si="32"/>
        <v>18875</v>
      </c>
      <c r="S533" s="1">
        <f t="shared" si="33"/>
        <v>18.035277480507567</v>
      </c>
      <c r="T533" t="str">
        <f t="shared" si="34"/>
        <v>Expert</v>
      </c>
      <c r="U533" t="str">
        <f t="shared" si="35"/>
        <v>Low Impact</v>
      </c>
    </row>
    <row r="534" spans="1:21" x14ac:dyDescent="0.3">
      <c r="A534" t="s">
        <v>1211</v>
      </c>
      <c r="B534">
        <v>43</v>
      </c>
      <c r="C534" t="s">
        <v>54</v>
      </c>
      <c r="D534" t="s">
        <v>40</v>
      </c>
      <c r="E534" t="s">
        <v>51</v>
      </c>
      <c r="F534" t="s">
        <v>52</v>
      </c>
      <c r="G534">
        <v>21</v>
      </c>
      <c r="H534" t="s">
        <v>31</v>
      </c>
      <c r="I534" t="s">
        <v>37</v>
      </c>
      <c r="J534" t="s">
        <v>25</v>
      </c>
      <c r="K534" s="2">
        <v>45438</v>
      </c>
      <c r="L534" s="2">
        <v>46585</v>
      </c>
      <c r="M534" t="s">
        <v>38</v>
      </c>
      <c r="N534">
        <v>50</v>
      </c>
      <c r="O534" t="s">
        <v>23</v>
      </c>
      <c r="P534">
        <v>8</v>
      </c>
      <c r="Q534" s="1">
        <v>23.53</v>
      </c>
      <c r="R534" s="2">
        <f t="shared" si="32"/>
        <v>1147</v>
      </c>
      <c r="S534" s="1">
        <f t="shared" si="33"/>
        <v>2.5243188520621507</v>
      </c>
      <c r="T534" t="str">
        <f t="shared" si="34"/>
        <v>Expert</v>
      </c>
      <c r="U534" t="str">
        <f t="shared" si="35"/>
        <v>Medium Impact</v>
      </c>
    </row>
    <row r="535" spans="1:21" x14ac:dyDescent="0.3">
      <c r="A535" t="s">
        <v>1836</v>
      </c>
      <c r="B535">
        <v>54</v>
      </c>
      <c r="C535" t="s">
        <v>54</v>
      </c>
      <c r="D535" t="s">
        <v>34</v>
      </c>
      <c r="E535" t="s">
        <v>44</v>
      </c>
      <c r="F535" t="s">
        <v>45</v>
      </c>
      <c r="G535">
        <v>28</v>
      </c>
      <c r="H535" t="s">
        <v>31</v>
      </c>
      <c r="I535" t="s">
        <v>22</v>
      </c>
      <c r="J535" t="s">
        <v>23</v>
      </c>
      <c r="K535" s="2">
        <v>84862</v>
      </c>
      <c r="L535" s="2">
        <v>89261</v>
      </c>
      <c r="M535" t="s">
        <v>32</v>
      </c>
      <c r="N535">
        <v>47</v>
      </c>
      <c r="O535" t="s">
        <v>23</v>
      </c>
      <c r="P535">
        <v>8</v>
      </c>
      <c r="Q535" s="1">
        <v>23.51</v>
      </c>
      <c r="R535" s="2">
        <f t="shared" si="32"/>
        <v>4399</v>
      </c>
      <c r="S535" s="1">
        <f t="shared" si="33"/>
        <v>5.1837100233319982</v>
      </c>
      <c r="T535" t="str">
        <f t="shared" si="34"/>
        <v>Expert</v>
      </c>
      <c r="U535" t="str">
        <f t="shared" si="35"/>
        <v>Low Impact</v>
      </c>
    </row>
    <row r="536" spans="1:21" x14ac:dyDescent="0.3">
      <c r="A536" t="s">
        <v>529</v>
      </c>
      <c r="B536">
        <v>24</v>
      </c>
      <c r="C536" t="s">
        <v>27</v>
      </c>
      <c r="D536" t="s">
        <v>19</v>
      </c>
      <c r="E536" t="s">
        <v>51</v>
      </c>
      <c r="F536" t="s">
        <v>52</v>
      </c>
      <c r="G536">
        <v>2</v>
      </c>
      <c r="H536" t="s">
        <v>22</v>
      </c>
      <c r="I536" t="s">
        <v>31</v>
      </c>
      <c r="J536" t="s">
        <v>23</v>
      </c>
      <c r="K536" s="2">
        <v>66021</v>
      </c>
      <c r="L536" s="2">
        <v>63380</v>
      </c>
      <c r="M536" t="s">
        <v>32</v>
      </c>
      <c r="N536">
        <v>38</v>
      </c>
      <c r="O536" t="s">
        <v>23</v>
      </c>
      <c r="P536">
        <v>4</v>
      </c>
      <c r="Q536" s="1">
        <v>23.49</v>
      </c>
      <c r="R536" s="2">
        <f t="shared" si="32"/>
        <v>-2641</v>
      </c>
      <c r="S536" s="1">
        <f t="shared" si="33"/>
        <v>-4.000242347131973</v>
      </c>
      <c r="T536" t="str">
        <f t="shared" si="34"/>
        <v>Beginner</v>
      </c>
      <c r="U536" t="str">
        <f t="shared" si="35"/>
        <v>Low Impact</v>
      </c>
    </row>
    <row r="537" spans="1:21" x14ac:dyDescent="0.3">
      <c r="A537" t="s">
        <v>341</v>
      </c>
      <c r="B537">
        <v>32</v>
      </c>
      <c r="C537" t="s">
        <v>18</v>
      </c>
      <c r="D537" t="s">
        <v>28</v>
      </c>
      <c r="E537" t="s">
        <v>41</v>
      </c>
      <c r="F537" t="s">
        <v>55</v>
      </c>
      <c r="G537">
        <v>7</v>
      </c>
      <c r="H537" t="s">
        <v>31</v>
      </c>
      <c r="I537" t="s">
        <v>22</v>
      </c>
      <c r="J537" t="s">
        <v>23</v>
      </c>
      <c r="K537" s="2">
        <v>81501</v>
      </c>
      <c r="L537" s="2">
        <v>78698</v>
      </c>
      <c r="M537" t="s">
        <v>32</v>
      </c>
      <c r="N537">
        <v>44</v>
      </c>
      <c r="O537" t="s">
        <v>23</v>
      </c>
      <c r="P537">
        <v>9</v>
      </c>
      <c r="Q537" s="1">
        <v>23.46</v>
      </c>
      <c r="R537" s="2">
        <f t="shared" si="32"/>
        <v>-2803</v>
      </c>
      <c r="S537" s="1">
        <f t="shared" si="33"/>
        <v>-3.4392216046428876</v>
      </c>
      <c r="T537" t="str">
        <f t="shared" si="34"/>
        <v>Intermediate</v>
      </c>
      <c r="U537" t="str">
        <f t="shared" si="35"/>
        <v>Low Impact</v>
      </c>
    </row>
    <row r="538" spans="1:21" x14ac:dyDescent="0.3">
      <c r="A538" t="s">
        <v>365</v>
      </c>
      <c r="B538">
        <v>50</v>
      </c>
      <c r="C538" t="s">
        <v>27</v>
      </c>
      <c r="D538" t="s">
        <v>19</v>
      </c>
      <c r="E538" t="s">
        <v>59</v>
      </c>
      <c r="F538" t="s">
        <v>60</v>
      </c>
      <c r="G538">
        <v>25</v>
      </c>
      <c r="H538" t="s">
        <v>22</v>
      </c>
      <c r="I538" t="s">
        <v>37</v>
      </c>
      <c r="J538" t="s">
        <v>23</v>
      </c>
      <c r="K538" s="2">
        <v>42411</v>
      </c>
      <c r="L538" s="2">
        <v>55507</v>
      </c>
      <c r="M538" t="s">
        <v>38</v>
      </c>
      <c r="N538">
        <v>39</v>
      </c>
      <c r="O538" t="s">
        <v>23</v>
      </c>
      <c r="P538">
        <v>6</v>
      </c>
      <c r="Q538" s="1">
        <v>23.46</v>
      </c>
      <c r="R538" s="2">
        <f t="shared" si="32"/>
        <v>13096</v>
      </c>
      <c r="S538" s="1">
        <f t="shared" si="33"/>
        <v>30.878781448209192</v>
      </c>
      <c r="T538" t="str">
        <f t="shared" si="34"/>
        <v>Expert</v>
      </c>
      <c r="U538" t="str">
        <f t="shared" si="35"/>
        <v>Medium Impact</v>
      </c>
    </row>
    <row r="539" spans="1:21" x14ac:dyDescent="0.3">
      <c r="A539" t="s">
        <v>2003</v>
      </c>
      <c r="B539">
        <v>37</v>
      </c>
      <c r="C539" t="s">
        <v>18</v>
      </c>
      <c r="D539" t="s">
        <v>34</v>
      </c>
      <c r="E539" t="s">
        <v>35</v>
      </c>
      <c r="F539" t="s">
        <v>132</v>
      </c>
      <c r="G539">
        <v>11</v>
      </c>
      <c r="H539" t="s">
        <v>31</v>
      </c>
      <c r="I539" t="s">
        <v>37</v>
      </c>
      <c r="J539" t="s">
        <v>23</v>
      </c>
      <c r="K539" s="2">
        <v>101880</v>
      </c>
      <c r="L539" s="2">
        <v>97256</v>
      </c>
      <c r="M539" t="s">
        <v>38</v>
      </c>
      <c r="N539">
        <v>43</v>
      </c>
      <c r="O539" t="s">
        <v>25</v>
      </c>
      <c r="P539">
        <v>6</v>
      </c>
      <c r="Q539" s="1">
        <v>23.43</v>
      </c>
      <c r="R539" s="2">
        <f t="shared" si="32"/>
        <v>-4624</v>
      </c>
      <c r="S539" s="1">
        <f t="shared" si="33"/>
        <v>-4.5386729485669415</v>
      </c>
      <c r="T539" t="str">
        <f t="shared" si="34"/>
        <v>Intermediate</v>
      </c>
      <c r="U539" t="str">
        <f t="shared" si="35"/>
        <v>Medium Impact</v>
      </c>
    </row>
    <row r="540" spans="1:21" x14ac:dyDescent="0.3">
      <c r="A540" t="s">
        <v>1327</v>
      </c>
      <c r="B540">
        <v>29</v>
      </c>
      <c r="C540" t="s">
        <v>54</v>
      </c>
      <c r="D540" t="s">
        <v>40</v>
      </c>
      <c r="E540" t="s">
        <v>59</v>
      </c>
      <c r="F540" t="s">
        <v>93</v>
      </c>
      <c r="G540">
        <v>7</v>
      </c>
      <c r="H540" t="s">
        <v>37</v>
      </c>
      <c r="I540" t="s">
        <v>31</v>
      </c>
      <c r="J540" t="s">
        <v>25</v>
      </c>
      <c r="K540" s="2">
        <v>99687</v>
      </c>
      <c r="L540" s="2">
        <v>114913</v>
      </c>
      <c r="M540" t="s">
        <v>32</v>
      </c>
      <c r="N540">
        <v>40</v>
      </c>
      <c r="O540" t="s">
        <v>23</v>
      </c>
      <c r="P540">
        <v>3</v>
      </c>
      <c r="Q540" s="1">
        <v>23.34</v>
      </c>
      <c r="R540" s="2">
        <f t="shared" si="32"/>
        <v>15226</v>
      </c>
      <c r="S540" s="1">
        <f t="shared" si="33"/>
        <v>15.273807015959957</v>
      </c>
      <c r="T540" t="str">
        <f t="shared" si="34"/>
        <v>Intermediate</v>
      </c>
      <c r="U540" t="str">
        <f t="shared" si="35"/>
        <v>Low Impact</v>
      </c>
    </row>
    <row r="541" spans="1:21" x14ac:dyDescent="0.3">
      <c r="A541" t="s">
        <v>1008</v>
      </c>
      <c r="B541">
        <v>31</v>
      </c>
      <c r="C541" t="s">
        <v>54</v>
      </c>
      <c r="D541" t="s">
        <v>34</v>
      </c>
      <c r="E541" t="s">
        <v>51</v>
      </c>
      <c r="F541" t="s">
        <v>52</v>
      </c>
      <c r="G541">
        <v>9</v>
      </c>
      <c r="H541" t="s">
        <v>31</v>
      </c>
      <c r="I541" t="s">
        <v>31</v>
      </c>
      <c r="J541" t="s">
        <v>23</v>
      </c>
      <c r="K541" s="2">
        <v>78773</v>
      </c>
      <c r="L541" s="2">
        <v>83818</v>
      </c>
      <c r="M541" t="s">
        <v>32</v>
      </c>
      <c r="N541">
        <v>43</v>
      </c>
      <c r="O541" t="s">
        <v>25</v>
      </c>
      <c r="P541">
        <v>5</v>
      </c>
      <c r="Q541" s="1">
        <v>23.34</v>
      </c>
      <c r="R541" s="2">
        <f t="shared" si="32"/>
        <v>5045</v>
      </c>
      <c r="S541" s="1">
        <f t="shared" si="33"/>
        <v>6.4044786919375927</v>
      </c>
      <c r="T541" t="str">
        <f t="shared" si="34"/>
        <v>Intermediate</v>
      </c>
      <c r="U541" t="str">
        <f t="shared" si="35"/>
        <v>Low Impact</v>
      </c>
    </row>
    <row r="542" spans="1:21" x14ac:dyDescent="0.3">
      <c r="A542" t="s">
        <v>621</v>
      </c>
      <c r="B542">
        <v>43</v>
      </c>
      <c r="C542" t="s">
        <v>54</v>
      </c>
      <c r="D542" t="s">
        <v>34</v>
      </c>
      <c r="E542" t="s">
        <v>59</v>
      </c>
      <c r="F542" t="s">
        <v>60</v>
      </c>
      <c r="G542">
        <v>21</v>
      </c>
      <c r="H542" t="s">
        <v>22</v>
      </c>
      <c r="I542" t="s">
        <v>31</v>
      </c>
      <c r="J542" t="s">
        <v>23</v>
      </c>
      <c r="K542" s="2">
        <v>31700</v>
      </c>
      <c r="L542" s="2">
        <v>33179</v>
      </c>
      <c r="M542" t="s">
        <v>32</v>
      </c>
      <c r="N542">
        <v>54</v>
      </c>
      <c r="O542" t="s">
        <v>23</v>
      </c>
      <c r="P542">
        <v>9</v>
      </c>
      <c r="Q542" s="1">
        <v>23.32</v>
      </c>
      <c r="R542" s="2">
        <f t="shared" si="32"/>
        <v>1479</v>
      </c>
      <c r="S542" s="1">
        <f t="shared" si="33"/>
        <v>4.6656151419558363</v>
      </c>
      <c r="T542" t="str">
        <f t="shared" si="34"/>
        <v>Expert</v>
      </c>
      <c r="U542" t="str">
        <f t="shared" si="35"/>
        <v>Low Impact</v>
      </c>
    </row>
    <row r="543" spans="1:21" x14ac:dyDescent="0.3">
      <c r="A543" t="s">
        <v>1966</v>
      </c>
      <c r="B543">
        <v>51</v>
      </c>
      <c r="C543" t="s">
        <v>27</v>
      </c>
      <c r="D543" t="s">
        <v>34</v>
      </c>
      <c r="E543" t="s">
        <v>35</v>
      </c>
      <c r="F543" t="s">
        <v>132</v>
      </c>
      <c r="G543">
        <v>28</v>
      </c>
      <c r="H543" t="s">
        <v>31</v>
      </c>
      <c r="I543" t="s">
        <v>37</v>
      </c>
      <c r="J543" t="s">
        <v>23</v>
      </c>
      <c r="K543" s="2">
        <v>52525</v>
      </c>
      <c r="L543" s="2">
        <v>50627</v>
      </c>
      <c r="M543" t="s">
        <v>38</v>
      </c>
      <c r="N543">
        <v>51</v>
      </c>
      <c r="O543" t="s">
        <v>25</v>
      </c>
      <c r="P543">
        <v>8</v>
      </c>
      <c r="Q543" s="1">
        <v>23.3</v>
      </c>
      <c r="R543" s="2">
        <f t="shared" si="32"/>
        <v>-1898</v>
      </c>
      <c r="S543" s="1">
        <f t="shared" si="33"/>
        <v>-3.6135173726796763</v>
      </c>
      <c r="T543" t="str">
        <f t="shared" si="34"/>
        <v>Expert</v>
      </c>
      <c r="U543" t="str">
        <f t="shared" si="35"/>
        <v>Medium Impact</v>
      </c>
    </row>
    <row r="544" spans="1:21" x14ac:dyDescent="0.3">
      <c r="A544" t="s">
        <v>1766</v>
      </c>
      <c r="B544">
        <v>24</v>
      </c>
      <c r="C544" t="s">
        <v>18</v>
      </c>
      <c r="D544" t="s">
        <v>19</v>
      </c>
      <c r="E544" t="s">
        <v>35</v>
      </c>
      <c r="F544" t="s">
        <v>36</v>
      </c>
      <c r="G544">
        <v>1</v>
      </c>
      <c r="H544" t="s">
        <v>37</v>
      </c>
      <c r="I544" t="s">
        <v>22</v>
      </c>
      <c r="J544" t="s">
        <v>23</v>
      </c>
      <c r="K544" s="2">
        <v>64019</v>
      </c>
      <c r="L544" s="2">
        <v>70074</v>
      </c>
      <c r="M544" t="s">
        <v>32</v>
      </c>
      <c r="N544">
        <v>50</v>
      </c>
      <c r="O544" t="s">
        <v>25</v>
      </c>
      <c r="P544">
        <v>9</v>
      </c>
      <c r="Q544" s="1">
        <v>23.29</v>
      </c>
      <c r="R544" s="2">
        <f t="shared" si="32"/>
        <v>6055</v>
      </c>
      <c r="S544" s="1">
        <f t="shared" si="33"/>
        <v>9.4581296177697247</v>
      </c>
      <c r="T544" t="str">
        <f t="shared" si="34"/>
        <v>Beginner</v>
      </c>
      <c r="U544" t="str">
        <f t="shared" si="35"/>
        <v>Low Impact</v>
      </c>
    </row>
    <row r="545" spans="1:21" x14ac:dyDescent="0.3">
      <c r="A545" t="s">
        <v>216</v>
      </c>
      <c r="B545">
        <v>24</v>
      </c>
      <c r="C545" t="s">
        <v>54</v>
      </c>
      <c r="D545" t="s">
        <v>28</v>
      </c>
      <c r="E545" t="s">
        <v>20</v>
      </c>
      <c r="F545" t="s">
        <v>21</v>
      </c>
      <c r="G545">
        <v>0</v>
      </c>
      <c r="H545" t="s">
        <v>31</v>
      </c>
      <c r="I545" t="s">
        <v>37</v>
      </c>
      <c r="J545" t="s">
        <v>23</v>
      </c>
      <c r="K545" s="2">
        <v>54160</v>
      </c>
      <c r="L545" s="2">
        <v>55974</v>
      </c>
      <c r="M545" t="s">
        <v>38</v>
      </c>
      <c r="N545">
        <v>37</v>
      </c>
      <c r="O545" t="s">
        <v>23</v>
      </c>
      <c r="P545">
        <v>8</v>
      </c>
      <c r="Q545" s="1">
        <v>23.25</v>
      </c>
      <c r="R545" s="2">
        <f t="shared" si="32"/>
        <v>1814</v>
      </c>
      <c r="S545" s="1">
        <f t="shared" si="33"/>
        <v>3.3493353028064989</v>
      </c>
      <c r="T545" t="str">
        <f t="shared" si="34"/>
        <v>Beginner</v>
      </c>
      <c r="U545" t="str">
        <f t="shared" si="35"/>
        <v>Medium Impact</v>
      </c>
    </row>
    <row r="546" spans="1:21" x14ac:dyDescent="0.3">
      <c r="A546" t="s">
        <v>615</v>
      </c>
      <c r="B546">
        <v>31</v>
      </c>
      <c r="C546" t="s">
        <v>27</v>
      </c>
      <c r="D546" t="s">
        <v>40</v>
      </c>
      <c r="E546" t="s">
        <v>41</v>
      </c>
      <c r="F546" t="s">
        <v>55</v>
      </c>
      <c r="G546">
        <v>6</v>
      </c>
      <c r="H546" t="s">
        <v>31</v>
      </c>
      <c r="I546" t="s">
        <v>22</v>
      </c>
      <c r="J546" t="s">
        <v>23</v>
      </c>
      <c r="K546" s="2">
        <v>48452</v>
      </c>
      <c r="L546" s="2">
        <v>51456</v>
      </c>
      <c r="M546" t="s">
        <v>32</v>
      </c>
      <c r="N546">
        <v>49</v>
      </c>
      <c r="O546" t="s">
        <v>25</v>
      </c>
      <c r="P546">
        <v>6</v>
      </c>
      <c r="Q546" s="1">
        <v>23.23</v>
      </c>
      <c r="R546" s="2">
        <f t="shared" si="32"/>
        <v>3004</v>
      </c>
      <c r="S546" s="1">
        <f t="shared" si="33"/>
        <v>6.1999504664410132</v>
      </c>
      <c r="T546" t="str">
        <f t="shared" si="34"/>
        <v>Intermediate</v>
      </c>
      <c r="U546" t="str">
        <f t="shared" si="35"/>
        <v>Low Impact</v>
      </c>
    </row>
    <row r="547" spans="1:21" x14ac:dyDescent="0.3">
      <c r="A547" t="s">
        <v>954</v>
      </c>
      <c r="B547">
        <v>58</v>
      </c>
      <c r="C547" t="s">
        <v>27</v>
      </c>
      <c r="D547" t="s">
        <v>19</v>
      </c>
      <c r="E547" t="s">
        <v>20</v>
      </c>
      <c r="F547" t="s">
        <v>88</v>
      </c>
      <c r="G547">
        <v>32</v>
      </c>
      <c r="H547" t="s">
        <v>37</v>
      </c>
      <c r="I547" t="s">
        <v>22</v>
      </c>
      <c r="J547" t="s">
        <v>23</v>
      </c>
      <c r="K547" s="2">
        <v>35636</v>
      </c>
      <c r="L547" s="2">
        <v>34124</v>
      </c>
      <c r="M547" t="s">
        <v>32</v>
      </c>
      <c r="N547">
        <v>43</v>
      </c>
      <c r="O547" t="s">
        <v>25</v>
      </c>
      <c r="P547">
        <v>7</v>
      </c>
      <c r="Q547" s="1">
        <v>23.15</v>
      </c>
      <c r="R547" s="2">
        <f t="shared" si="32"/>
        <v>-1512</v>
      </c>
      <c r="S547" s="1">
        <f t="shared" si="33"/>
        <v>-4.2429004377595687</v>
      </c>
      <c r="T547" t="str">
        <f t="shared" si="34"/>
        <v>Expert</v>
      </c>
      <c r="U547" t="str">
        <f t="shared" si="35"/>
        <v>Low Impact</v>
      </c>
    </row>
    <row r="548" spans="1:21" x14ac:dyDescent="0.3">
      <c r="A548" t="s">
        <v>998</v>
      </c>
      <c r="B548">
        <v>50</v>
      </c>
      <c r="C548" t="s">
        <v>18</v>
      </c>
      <c r="D548" t="s">
        <v>40</v>
      </c>
      <c r="E548" t="s">
        <v>51</v>
      </c>
      <c r="F548" t="s">
        <v>52</v>
      </c>
      <c r="G548">
        <v>27</v>
      </c>
      <c r="H548" t="s">
        <v>31</v>
      </c>
      <c r="I548" t="s">
        <v>22</v>
      </c>
      <c r="J548" t="s">
        <v>25</v>
      </c>
      <c r="K548" s="2">
        <v>56183</v>
      </c>
      <c r="L548" s="2">
        <v>58287</v>
      </c>
      <c r="M548" t="s">
        <v>32</v>
      </c>
      <c r="N548">
        <v>41</v>
      </c>
      <c r="O548" t="s">
        <v>25</v>
      </c>
      <c r="P548">
        <v>6</v>
      </c>
      <c r="Q548" s="1">
        <v>23.08</v>
      </c>
      <c r="R548" s="2">
        <f t="shared" si="32"/>
        <v>2104</v>
      </c>
      <c r="S548" s="1">
        <f t="shared" si="33"/>
        <v>3.7449050424505637</v>
      </c>
      <c r="T548" t="str">
        <f t="shared" si="34"/>
        <v>Expert</v>
      </c>
      <c r="U548" t="str">
        <f t="shared" si="35"/>
        <v>Low Impact</v>
      </c>
    </row>
    <row r="549" spans="1:21" x14ac:dyDescent="0.3">
      <c r="A549" t="s">
        <v>964</v>
      </c>
      <c r="B549">
        <v>33</v>
      </c>
      <c r="C549" t="s">
        <v>54</v>
      </c>
      <c r="D549" t="s">
        <v>19</v>
      </c>
      <c r="E549" t="s">
        <v>59</v>
      </c>
      <c r="F549" t="s">
        <v>77</v>
      </c>
      <c r="G549">
        <v>8</v>
      </c>
      <c r="H549" t="s">
        <v>37</v>
      </c>
      <c r="I549" t="s">
        <v>22</v>
      </c>
      <c r="J549" t="s">
        <v>23</v>
      </c>
      <c r="K549" s="2">
        <v>45198</v>
      </c>
      <c r="L549" s="2">
        <v>49393</v>
      </c>
      <c r="M549" t="s">
        <v>32</v>
      </c>
      <c r="N549">
        <v>46</v>
      </c>
      <c r="O549" t="s">
        <v>25</v>
      </c>
      <c r="P549">
        <v>4</v>
      </c>
      <c r="Q549" s="1">
        <v>23.06</v>
      </c>
      <c r="R549" s="2">
        <f t="shared" si="32"/>
        <v>4195</v>
      </c>
      <c r="S549" s="1">
        <f t="shared" si="33"/>
        <v>9.2813841320412411</v>
      </c>
      <c r="T549" t="str">
        <f t="shared" si="34"/>
        <v>Intermediate</v>
      </c>
      <c r="U549" t="str">
        <f t="shared" si="35"/>
        <v>Low Impact</v>
      </c>
    </row>
    <row r="550" spans="1:21" x14ac:dyDescent="0.3">
      <c r="A550" t="s">
        <v>1832</v>
      </c>
      <c r="B550">
        <v>42</v>
      </c>
      <c r="C550" t="s">
        <v>27</v>
      </c>
      <c r="D550" t="s">
        <v>19</v>
      </c>
      <c r="E550" t="s">
        <v>29</v>
      </c>
      <c r="F550" t="s">
        <v>102</v>
      </c>
      <c r="G550">
        <v>18</v>
      </c>
      <c r="H550" t="s">
        <v>22</v>
      </c>
      <c r="I550" t="s">
        <v>37</v>
      </c>
      <c r="J550" t="s">
        <v>23</v>
      </c>
      <c r="K550" s="2">
        <v>94274</v>
      </c>
      <c r="L550" s="2">
        <v>89268</v>
      </c>
      <c r="M550" t="s">
        <v>38</v>
      </c>
      <c r="N550">
        <v>45</v>
      </c>
      <c r="O550" t="s">
        <v>25</v>
      </c>
      <c r="P550">
        <v>5</v>
      </c>
      <c r="Q550" s="1">
        <v>22.99</v>
      </c>
      <c r="R550" s="2">
        <f t="shared" si="32"/>
        <v>-5006</v>
      </c>
      <c r="S550" s="1">
        <f t="shared" si="33"/>
        <v>-5.3100536733351715</v>
      </c>
      <c r="T550" t="str">
        <f t="shared" si="34"/>
        <v>Expert</v>
      </c>
      <c r="U550" t="str">
        <f t="shared" si="35"/>
        <v>Medium Impact</v>
      </c>
    </row>
    <row r="551" spans="1:21" x14ac:dyDescent="0.3">
      <c r="A551" t="s">
        <v>1361</v>
      </c>
      <c r="B551">
        <v>55</v>
      </c>
      <c r="C551" t="s">
        <v>54</v>
      </c>
      <c r="D551" t="s">
        <v>34</v>
      </c>
      <c r="E551" t="s">
        <v>35</v>
      </c>
      <c r="F551" t="s">
        <v>132</v>
      </c>
      <c r="G551">
        <v>33</v>
      </c>
      <c r="H551" t="s">
        <v>22</v>
      </c>
      <c r="I551" t="s">
        <v>37</v>
      </c>
      <c r="J551" t="s">
        <v>25</v>
      </c>
      <c r="K551" s="2">
        <v>82635</v>
      </c>
      <c r="L551" s="2">
        <v>70127</v>
      </c>
      <c r="M551" t="s">
        <v>38</v>
      </c>
      <c r="N551">
        <v>47</v>
      </c>
      <c r="O551" t="s">
        <v>23</v>
      </c>
      <c r="P551">
        <v>3</v>
      </c>
      <c r="Q551" s="1">
        <v>22.99</v>
      </c>
      <c r="R551" s="2">
        <f t="shared" si="32"/>
        <v>-12508</v>
      </c>
      <c r="S551" s="1">
        <f t="shared" si="33"/>
        <v>-15.136443395655593</v>
      </c>
      <c r="T551" t="str">
        <f t="shared" si="34"/>
        <v>Expert</v>
      </c>
      <c r="U551" t="str">
        <f t="shared" si="35"/>
        <v>Medium Impact</v>
      </c>
    </row>
    <row r="552" spans="1:21" x14ac:dyDescent="0.3">
      <c r="A552" t="s">
        <v>1641</v>
      </c>
      <c r="B552">
        <v>27</v>
      </c>
      <c r="C552" t="s">
        <v>27</v>
      </c>
      <c r="D552" t="s">
        <v>28</v>
      </c>
      <c r="E552" t="s">
        <v>41</v>
      </c>
      <c r="F552" t="s">
        <v>55</v>
      </c>
      <c r="G552">
        <v>2</v>
      </c>
      <c r="H552" t="s">
        <v>31</v>
      </c>
      <c r="I552" t="s">
        <v>22</v>
      </c>
      <c r="J552" t="s">
        <v>25</v>
      </c>
      <c r="K552" s="2">
        <v>78478</v>
      </c>
      <c r="L552" s="2">
        <v>78371</v>
      </c>
      <c r="M552" t="s">
        <v>32</v>
      </c>
      <c r="N552">
        <v>40</v>
      </c>
      <c r="O552" t="s">
        <v>23</v>
      </c>
      <c r="P552">
        <v>4</v>
      </c>
      <c r="Q552" s="1">
        <v>22.97</v>
      </c>
      <c r="R552" s="2">
        <f t="shared" si="32"/>
        <v>-107</v>
      </c>
      <c r="S552" s="1">
        <f t="shared" si="33"/>
        <v>-0.13634394352557405</v>
      </c>
      <c r="T552" t="str">
        <f t="shared" si="34"/>
        <v>Beginner</v>
      </c>
      <c r="U552" t="str">
        <f t="shared" si="35"/>
        <v>Low Impact</v>
      </c>
    </row>
    <row r="553" spans="1:21" x14ac:dyDescent="0.3">
      <c r="A553" t="s">
        <v>214</v>
      </c>
      <c r="B553">
        <v>55</v>
      </c>
      <c r="C553" t="s">
        <v>27</v>
      </c>
      <c r="D553" t="s">
        <v>19</v>
      </c>
      <c r="E553" t="s">
        <v>20</v>
      </c>
      <c r="F553" t="s">
        <v>118</v>
      </c>
      <c r="G553">
        <v>30</v>
      </c>
      <c r="H553" t="s">
        <v>22</v>
      </c>
      <c r="I553" t="s">
        <v>37</v>
      </c>
      <c r="J553" t="s">
        <v>25</v>
      </c>
      <c r="K553" s="2">
        <v>111974</v>
      </c>
      <c r="L553" s="2">
        <v>100070</v>
      </c>
      <c r="M553" t="s">
        <v>38</v>
      </c>
      <c r="N553">
        <v>42</v>
      </c>
      <c r="O553" t="s">
        <v>23</v>
      </c>
      <c r="P553">
        <v>3</v>
      </c>
      <c r="Q553" s="1">
        <v>22.96</v>
      </c>
      <c r="R553" s="2">
        <f t="shared" si="32"/>
        <v>-11904</v>
      </c>
      <c r="S553" s="1">
        <f t="shared" si="33"/>
        <v>-10.63103934842017</v>
      </c>
      <c r="T553" t="str">
        <f t="shared" si="34"/>
        <v>Expert</v>
      </c>
      <c r="U553" t="str">
        <f t="shared" si="35"/>
        <v>Medium Impact</v>
      </c>
    </row>
    <row r="554" spans="1:21" x14ac:dyDescent="0.3">
      <c r="A554" t="s">
        <v>1421</v>
      </c>
      <c r="B554">
        <v>53</v>
      </c>
      <c r="C554" t="s">
        <v>27</v>
      </c>
      <c r="D554" t="s">
        <v>34</v>
      </c>
      <c r="E554" t="s">
        <v>29</v>
      </c>
      <c r="F554" t="s">
        <v>30</v>
      </c>
      <c r="G554">
        <v>30</v>
      </c>
      <c r="H554" t="s">
        <v>31</v>
      </c>
      <c r="I554" t="s">
        <v>22</v>
      </c>
      <c r="J554" t="s">
        <v>23</v>
      </c>
      <c r="K554" s="2">
        <v>85184</v>
      </c>
      <c r="L554" s="2">
        <v>87837</v>
      </c>
      <c r="M554" t="s">
        <v>32</v>
      </c>
      <c r="N554">
        <v>37</v>
      </c>
      <c r="O554" t="s">
        <v>25</v>
      </c>
      <c r="P554">
        <v>8</v>
      </c>
      <c r="Q554" s="1">
        <v>22.92</v>
      </c>
      <c r="R554" s="2">
        <f t="shared" si="32"/>
        <v>2653</v>
      </c>
      <c r="S554" s="1">
        <f t="shared" si="33"/>
        <v>3.1144346356123216</v>
      </c>
      <c r="T554" t="str">
        <f t="shared" si="34"/>
        <v>Expert</v>
      </c>
      <c r="U554" t="str">
        <f t="shared" si="35"/>
        <v>Low Impact</v>
      </c>
    </row>
    <row r="555" spans="1:21" x14ac:dyDescent="0.3">
      <c r="A555" t="s">
        <v>1254</v>
      </c>
      <c r="B555">
        <v>47</v>
      </c>
      <c r="C555" t="s">
        <v>54</v>
      </c>
      <c r="D555" t="s">
        <v>34</v>
      </c>
      <c r="E555" t="s">
        <v>59</v>
      </c>
      <c r="F555" t="s">
        <v>93</v>
      </c>
      <c r="G555">
        <v>24</v>
      </c>
      <c r="H555" t="s">
        <v>22</v>
      </c>
      <c r="I555" t="s">
        <v>22</v>
      </c>
      <c r="J555" t="s">
        <v>25</v>
      </c>
      <c r="K555" s="2">
        <v>79832</v>
      </c>
      <c r="L555" s="2">
        <v>73475</v>
      </c>
      <c r="M555" t="s">
        <v>38</v>
      </c>
      <c r="N555">
        <v>36</v>
      </c>
      <c r="O555" t="s">
        <v>25</v>
      </c>
      <c r="P555">
        <v>4</v>
      </c>
      <c r="Q555" s="1">
        <v>22.91</v>
      </c>
      <c r="R555" s="2">
        <f t="shared" si="32"/>
        <v>-6357</v>
      </c>
      <c r="S555" s="1">
        <f t="shared" si="33"/>
        <v>-7.9629722417075861</v>
      </c>
      <c r="T555" t="str">
        <f t="shared" si="34"/>
        <v>Expert</v>
      </c>
      <c r="U555" t="str">
        <f t="shared" si="35"/>
        <v>Medium Impact</v>
      </c>
    </row>
    <row r="556" spans="1:21" x14ac:dyDescent="0.3">
      <c r="A556" t="s">
        <v>211</v>
      </c>
      <c r="B556">
        <v>50</v>
      </c>
      <c r="C556" t="s">
        <v>27</v>
      </c>
      <c r="D556" t="s">
        <v>19</v>
      </c>
      <c r="E556" t="s">
        <v>59</v>
      </c>
      <c r="F556" t="s">
        <v>93</v>
      </c>
      <c r="G556">
        <v>26</v>
      </c>
      <c r="H556" t="s">
        <v>31</v>
      </c>
      <c r="I556" t="s">
        <v>37</v>
      </c>
      <c r="J556" t="s">
        <v>25</v>
      </c>
      <c r="K556" s="2">
        <v>48449</v>
      </c>
      <c r="L556" s="2">
        <v>48163</v>
      </c>
      <c r="M556" t="s">
        <v>38</v>
      </c>
      <c r="N556">
        <v>52</v>
      </c>
      <c r="O556" t="s">
        <v>25</v>
      </c>
      <c r="P556">
        <v>4</v>
      </c>
      <c r="Q556" s="1">
        <v>22.84</v>
      </c>
      <c r="R556" s="2">
        <f t="shared" si="32"/>
        <v>-286</v>
      </c>
      <c r="S556" s="1">
        <f t="shared" si="33"/>
        <v>-0.59031146153687375</v>
      </c>
      <c r="T556" t="str">
        <f t="shared" si="34"/>
        <v>Expert</v>
      </c>
      <c r="U556" t="str">
        <f t="shared" si="35"/>
        <v>Medium Impact</v>
      </c>
    </row>
    <row r="557" spans="1:21" x14ac:dyDescent="0.3">
      <c r="A557" t="s">
        <v>1979</v>
      </c>
      <c r="B557">
        <v>59</v>
      </c>
      <c r="C557" t="s">
        <v>54</v>
      </c>
      <c r="D557" t="s">
        <v>34</v>
      </c>
      <c r="E557" t="s">
        <v>51</v>
      </c>
      <c r="F557" t="s">
        <v>52</v>
      </c>
      <c r="G557">
        <v>35</v>
      </c>
      <c r="H557" t="s">
        <v>22</v>
      </c>
      <c r="I557" t="s">
        <v>37</v>
      </c>
      <c r="J557" t="s">
        <v>23</v>
      </c>
      <c r="K557" s="2">
        <v>69423</v>
      </c>
      <c r="L557" s="2">
        <v>94039</v>
      </c>
      <c r="M557" t="s">
        <v>38</v>
      </c>
      <c r="N557">
        <v>36</v>
      </c>
      <c r="O557" t="s">
        <v>25</v>
      </c>
      <c r="P557">
        <v>9</v>
      </c>
      <c r="Q557" s="1">
        <v>22.74</v>
      </c>
      <c r="R557" s="2">
        <f t="shared" si="32"/>
        <v>24616</v>
      </c>
      <c r="S557" s="1">
        <f t="shared" si="33"/>
        <v>35.457989427135104</v>
      </c>
      <c r="T557" t="str">
        <f t="shared" si="34"/>
        <v>Expert</v>
      </c>
      <c r="U557" t="str">
        <f t="shared" si="35"/>
        <v>Medium Impact</v>
      </c>
    </row>
    <row r="558" spans="1:21" x14ac:dyDescent="0.3">
      <c r="A558" t="s">
        <v>1438</v>
      </c>
      <c r="B558">
        <v>50</v>
      </c>
      <c r="C558" t="s">
        <v>27</v>
      </c>
      <c r="D558" t="s">
        <v>40</v>
      </c>
      <c r="E558" t="s">
        <v>44</v>
      </c>
      <c r="F558" t="s">
        <v>47</v>
      </c>
      <c r="G558">
        <v>25</v>
      </c>
      <c r="H558" t="s">
        <v>22</v>
      </c>
      <c r="I558" t="s">
        <v>37</v>
      </c>
      <c r="J558" t="s">
        <v>23</v>
      </c>
      <c r="K558" s="2">
        <v>93333</v>
      </c>
      <c r="L558" s="2">
        <v>110945</v>
      </c>
      <c r="M558" t="s">
        <v>38</v>
      </c>
      <c r="N558">
        <v>54</v>
      </c>
      <c r="O558" t="s">
        <v>23</v>
      </c>
      <c r="P558">
        <v>9</v>
      </c>
      <c r="Q558" s="1">
        <v>22.72</v>
      </c>
      <c r="R558" s="2">
        <f t="shared" si="32"/>
        <v>17612</v>
      </c>
      <c r="S558" s="1">
        <f t="shared" si="33"/>
        <v>18.870067393097834</v>
      </c>
      <c r="T558" t="str">
        <f t="shared" si="34"/>
        <v>Expert</v>
      </c>
      <c r="U558" t="str">
        <f t="shared" si="35"/>
        <v>Medium Impact</v>
      </c>
    </row>
    <row r="559" spans="1:21" x14ac:dyDescent="0.3">
      <c r="A559" t="s">
        <v>1164</v>
      </c>
      <c r="B559">
        <v>37</v>
      </c>
      <c r="C559" t="s">
        <v>27</v>
      </c>
      <c r="D559" t="s">
        <v>19</v>
      </c>
      <c r="E559" t="s">
        <v>41</v>
      </c>
      <c r="F559" t="s">
        <v>49</v>
      </c>
      <c r="G559">
        <v>11</v>
      </c>
      <c r="H559" t="s">
        <v>37</v>
      </c>
      <c r="I559" t="s">
        <v>31</v>
      </c>
      <c r="J559" t="s">
        <v>23</v>
      </c>
      <c r="K559" s="2">
        <v>111335</v>
      </c>
      <c r="L559" s="2">
        <v>120116</v>
      </c>
      <c r="M559" t="s">
        <v>32</v>
      </c>
      <c r="N559">
        <v>41</v>
      </c>
      <c r="O559" t="s">
        <v>23</v>
      </c>
      <c r="P559">
        <v>6</v>
      </c>
      <c r="Q559" s="1">
        <v>22.58</v>
      </c>
      <c r="R559" s="2">
        <f t="shared" si="32"/>
        <v>8781</v>
      </c>
      <c r="S559" s="1">
        <f t="shared" si="33"/>
        <v>7.8870076795257553</v>
      </c>
      <c r="T559" t="str">
        <f t="shared" si="34"/>
        <v>Intermediate</v>
      </c>
      <c r="U559" t="str">
        <f t="shared" si="35"/>
        <v>Low Impact</v>
      </c>
    </row>
    <row r="560" spans="1:21" x14ac:dyDescent="0.3">
      <c r="A560" t="s">
        <v>1580</v>
      </c>
      <c r="B560">
        <v>24</v>
      </c>
      <c r="C560" t="s">
        <v>27</v>
      </c>
      <c r="D560" t="s">
        <v>19</v>
      </c>
      <c r="E560" t="s">
        <v>51</v>
      </c>
      <c r="F560" t="s">
        <v>52</v>
      </c>
      <c r="G560">
        <v>0</v>
      </c>
      <c r="H560" t="s">
        <v>22</v>
      </c>
      <c r="I560" t="s">
        <v>22</v>
      </c>
      <c r="J560" t="s">
        <v>23</v>
      </c>
      <c r="K560" s="2">
        <v>59250</v>
      </c>
      <c r="L560" s="2">
        <v>80517</v>
      </c>
      <c r="M560" t="s">
        <v>38</v>
      </c>
      <c r="N560">
        <v>46</v>
      </c>
      <c r="O560" t="s">
        <v>23</v>
      </c>
      <c r="P560">
        <v>7</v>
      </c>
      <c r="Q560" s="1">
        <v>22.47</v>
      </c>
      <c r="R560" s="2">
        <f t="shared" si="32"/>
        <v>21267</v>
      </c>
      <c r="S560" s="1">
        <f t="shared" si="33"/>
        <v>35.893670886075952</v>
      </c>
      <c r="T560" t="str">
        <f t="shared" si="34"/>
        <v>Beginner</v>
      </c>
      <c r="U560" t="str">
        <f t="shared" si="35"/>
        <v>Medium Impact</v>
      </c>
    </row>
    <row r="561" spans="1:21" x14ac:dyDescent="0.3">
      <c r="A561" t="s">
        <v>1433</v>
      </c>
      <c r="B561">
        <v>58</v>
      </c>
      <c r="C561" t="s">
        <v>54</v>
      </c>
      <c r="D561" t="s">
        <v>19</v>
      </c>
      <c r="E561" t="s">
        <v>44</v>
      </c>
      <c r="F561" t="s">
        <v>45</v>
      </c>
      <c r="G561">
        <v>36</v>
      </c>
      <c r="H561" t="s">
        <v>22</v>
      </c>
      <c r="I561" t="s">
        <v>37</v>
      </c>
      <c r="J561" t="s">
        <v>23</v>
      </c>
      <c r="K561" s="2">
        <v>59430</v>
      </c>
      <c r="L561" s="2">
        <v>50225</v>
      </c>
      <c r="M561" t="s">
        <v>38</v>
      </c>
      <c r="N561">
        <v>37</v>
      </c>
      <c r="O561" t="s">
        <v>25</v>
      </c>
      <c r="P561">
        <v>6</v>
      </c>
      <c r="Q561" s="1">
        <v>22.47</v>
      </c>
      <c r="R561" s="2">
        <f t="shared" si="32"/>
        <v>-9205</v>
      </c>
      <c r="S561" s="1">
        <f t="shared" si="33"/>
        <v>-15.488810365135453</v>
      </c>
      <c r="T561" t="str">
        <f t="shared" si="34"/>
        <v>Expert</v>
      </c>
      <c r="U561" t="str">
        <f t="shared" si="35"/>
        <v>Medium Impact</v>
      </c>
    </row>
    <row r="562" spans="1:21" x14ac:dyDescent="0.3">
      <c r="A562" t="s">
        <v>400</v>
      </c>
      <c r="B562">
        <v>40</v>
      </c>
      <c r="C562" t="s">
        <v>54</v>
      </c>
      <c r="D562" t="s">
        <v>19</v>
      </c>
      <c r="E562" t="s">
        <v>59</v>
      </c>
      <c r="F562" t="s">
        <v>60</v>
      </c>
      <c r="G562">
        <v>14</v>
      </c>
      <c r="H562" t="s">
        <v>37</v>
      </c>
      <c r="I562" t="s">
        <v>22</v>
      </c>
      <c r="J562" t="s">
        <v>23</v>
      </c>
      <c r="K562" s="2">
        <v>92539</v>
      </c>
      <c r="L562" s="2">
        <v>105075</v>
      </c>
      <c r="M562" t="s">
        <v>32</v>
      </c>
      <c r="N562">
        <v>38</v>
      </c>
      <c r="O562" t="s">
        <v>23</v>
      </c>
      <c r="P562">
        <v>5</v>
      </c>
      <c r="Q562" s="1">
        <v>22.46</v>
      </c>
      <c r="R562" s="2">
        <f t="shared" si="32"/>
        <v>12536</v>
      </c>
      <c r="S562" s="1">
        <f t="shared" si="33"/>
        <v>13.546720842023364</v>
      </c>
      <c r="T562" t="str">
        <f t="shared" si="34"/>
        <v>Intermediate</v>
      </c>
      <c r="U562" t="str">
        <f t="shared" si="35"/>
        <v>Low Impact</v>
      </c>
    </row>
    <row r="563" spans="1:21" x14ac:dyDescent="0.3">
      <c r="A563" t="s">
        <v>1459</v>
      </c>
      <c r="B563">
        <v>36</v>
      </c>
      <c r="C563" t="s">
        <v>18</v>
      </c>
      <c r="D563" t="s">
        <v>34</v>
      </c>
      <c r="E563" t="s">
        <v>29</v>
      </c>
      <c r="F563" t="s">
        <v>30</v>
      </c>
      <c r="G563">
        <v>12</v>
      </c>
      <c r="H563" t="s">
        <v>37</v>
      </c>
      <c r="I563" t="s">
        <v>22</v>
      </c>
      <c r="J563" t="s">
        <v>25</v>
      </c>
      <c r="K563" s="2">
        <v>101200</v>
      </c>
      <c r="L563" s="2">
        <v>94138</v>
      </c>
      <c r="M563" t="s">
        <v>32</v>
      </c>
      <c r="N563">
        <v>37</v>
      </c>
      <c r="O563" t="s">
        <v>25</v>
      </c>
      <c r="P563">
        <v>3</v>
      </c>
      <c r="Q563" s="1">
        <v>22.45</v>
      </c>
      <c r="R563" s="2">
        <f t="shared" si="32"/>
        <v>-7062</v>
      </c>
      <c r="S563" s="1">
        <f t="shared" si="33"/>
        <v>-6.9782608695652169</v>
      </c>
      <c r="T563" t="str">
        <f t="shared" si="34"/>
        <v>Intermediate</v>
      </c>
      <c r="U563" t="str">
        <f t="shared" si="35"/>
        <v>Low Impact</v>
      </c>
    </row>
    <row r="564" spans="1:21" x14ac:dyDescent="0.3">
      <c r="A564" t="s">
        <v>200</v>
      </c>
      <c r="B564">
        <v>57</v>
      </c>
      <c r="C564" t="s">
        <v>27</v>
      </c>
      <c r="D564" t="s">
        <v>40</v>
      </c>
      <c r="E564" t="s">
        <v>35</v>
      </c>
      <c r="F564" t="s">
        <v>132</v>
      </c>
      <c r="G564">
        <v>32</v>
      </c>
      <c r="H564" t="s">
        <v>22</v>
      </c>
      <c r="I564" t="s">
        <v>37</v>
      </c>
      <c r="J564" t="s">
        <v>25</v>
      </c>
      <c r="K564" s="2">
        <v>94644</v>
      </c>
      <c r="L564" s="2">
        <v>128100</v>
      </c>
      <c r="M564" t="s">
        <v>38</v>
      </c>
      <c r="N564">
        <v>44</v>
      </c>
      <c r="O564" t="s">
        <v>25</v>
      </c>
      <c r="P564">
        <v>3</v>
      </c>
      <c r="Q564" s="1">
        <v>22.43</v>
      </c>
      <c r="R564" s="2">
        <f t="shared" si="32"/>
        <v>33456</v>
      </c>
      <c r="S564" s="1">
        <f t="shared" si="33"/>
        <v>35.349308989476356</v>
      </c>
      <c r="T564" t="str">
        <f t="shared" si="34"/>
        <v>Expert</v>
      </c>
      <c r="U564" t="str">
        <f t="shared" si="35"/>
        <v>Medium Impact</v>
      </c>
    </row>
    <row r="565" spans="1:21" x14ac:dyDescent="0.3">
      <c r="A565" t="s">
        <v>514</v>
      </c>
      <c r="B565">
        <v>50</v>
      </c>
      <c r="C565" t="s">
        <v>54</v>
      </c>
      <c r="D565" t="s">
        <v>19</v>
      </c>
      <c r="E565" t="s">
        <v>51</v>
      </c>
      <c r="F565" t="s">
        <v>130</v>
      </c>
      <c r="G565">
        <v>27</v>
      </c>
      <c r="H565" t="s">
        <v>37</v>
      </c>
      <c r="I565" t="s">
        <v>22</v>
      </c>
      <c r="J565" t="s">
        <v>23</v>
      </c>
      <c r="K565" s="2">
        <v>80961</v>
      </c>
      <c r="L565" s="2">
        <v>79572</v>
      </c>
      <c r="M565" t="s">
        <v>32</v>
      </c>
      <c r="N565">
        <v>52</v>
      </c>
      <c r="O565" t="s">
        <v>25</v>
      </c>
      <c r="P565">
        <v>3</v>
      </c>
      <c r="Q565" s="1">
        <v>22.42</v>
      </c>
      <c r="R565" s="2">
        <f t="shared" si="32"/>
        <v>-1389</v>
      </c>
      <c r="S565" s="1">
        <f t="shared" si="33"/>
        <v>-1.7156408641197614</v>
      </c>
      <c r="T565" t="str">
        <f t="shared" si="34"/>
        <v>Expert</v>
      </c>
      <c r="U565" t="str">
        <f t="shared" si="35"/>
        <v>Low Impact</v>
      </c>
    </row>
    <row r="566" spans="1:21" x14ac:dyDescent="0.3">
      <c r="A566" t="s">
        <v>1203</v>
      </c>
      <c r="B566">
        <v>54</v>
      </c>
      <c r="C566" t="s">
        <v>54</v>
      </c>
      <c r="D566" t="s">
        <v>40</v>
      </c>
      <c r="E566" t="s">
        <v>41</v>
      </c>
      <c r="F566" t="s">
        <v>42</v>
      </c>
      <c r="G566">
        <v>29</v>
      </c>
      <c r="H566" t="s">
        <v>37</v>
      </c>
      <c r="I566" t="s">
        <v>37</v>
      </c>
      <c r="J566" t="s">
        <v>25</v>
      </c>
      <c r="K566" s="2">
        <v>77952</v>
      </c>
      <c r="L566" s="2">
        <v>71978</v>
      </c>
      <c r="M566" t="s">
        <v>38</v>
      </c>
      <c r="N566">
        <v>50</v>
      </c>
      <c r="O566" t="s">
        <v>23</v>
      </c>
      <c r="P566">
        <v>6</v>
      </c>
      <c r="Q566" s="1">
        <v>22.41</v>
      </c>
      <c r="R566" s="2">
        <f t="shared" si="32"/>
        <v>-5974</v>
      </c>
      <c r="S566" s="1">
        <f t="shared" si="33"/>
        <v>-7.6636904761904763</v>
      </c>
      <c r="T566" t="str">
        <f t="shared" si="34"/>
        <v>Expert</v>
      </c>
      <c r="U566" t="str">
        <f t="shared" si="35"/>
        <v>Medium Impact</v>
      </c>
    </row>
    <row r="567" spans="1:21" x14ac:dyDescent="0.3">
      <c r="A567" t="s">
        <v>135</v>
      </c>
      <c r="B567">
        <v>34</v>
      </c>
      <c r="C567" t="s">
        <v>54</v>
      </c>
      <c r="D567" t="s">
        <v>28</v>
      </c>
      <c r="E567" t="s">
        <v>35</v>
      </c>
      <c r="F567" t="s">
        <v>132</v>
      </c>
      <c r="G567">
        <v>11</v>
      </c>
      <c r="H567" t="s">
        <v>31</v>
      </c>
      <c r="I567" t="s">
        <v>31</v>
      </c>
      <c r="J567" t="s">
        <v>23</v>
      </c>
      <c r="K567" s="2">
        <v>92856</v>
      </c>
      <c r="L567" s="2">
        <v>99660</v>
      </c>
      <c r="M567" t="s">
        <v>32</v>
      </c>
      <c r="N567">
        <v>39</v>
      </c>
      <c r="O567" t="s">
        <v>25</v>
      </c>
      <c r="P567">
        <v>7</v>
      </c>
      <c r="Q567" s="1">
        <v>22.37</v>
      </c>
      <c r="R567" s="2">
        <f t="shared" si="32"/>
        <v>6804</v>
      </c>
      <c r="S567" s="1">
        <f t="shared" si="33"/>
        <v>7.3274747996898428</v>
      </c>
      <c r="T567" t="str">
        <f t="shared" si="34"/>
        <v>Intermediate</v>
      </c>
      <c r="U567" t="str">
        <f t="shared" si="35"/>
        <v>Low Impact</v>
      </c>
    </row>
    <row r="568" spans="1:21" x14ac:dyDescent="0.3">
      <c r="A568" t="s">
        <v>706</v>
      </c>
      <c r="B568">
        <v>34</v>
      </c>
      <c r="C568" t="s">
        <v>18</v>
      </c>
      <c r="D568" t="s">
        <v>28</v>
      </c>
      <c r="E568" t="s">
        <v>41</v>
      </c>
      <c r="F568" t="s">
        <v>49</v>
      </c>
      <c r="G568">
        <v>9</v>
      </c>
      <c r="H568" t="s">
        <v>37</v>
      </c>
      <c r="I568" t="s">
        <v>31</v>
      </c>
      <c r="J568" t="s">
        <v>23</v>
      </c>
      <c r="K568" s="2">
        <v>86889</v>
      </c>
      <c r="L568" s="2">
        <v>96865</v>
      </c>
      <c r="M568" t="s">
        <v>32</v>
      </c>
      <c r="N568">
        <v>48</v>
      </c>
      <c r="O568" t="s">
        <v>23</v>
      </c>
      <c r="P568">
        <v>5</v>
      </c>
      <c r="Q568" s="1">
        <v>22.37</v>
      </c>
      <c r="R568" s="2">
        <f t="shared" si="32"/>
        <v>9976</v>
      </c>
      <c r="S568" s="1">
        <f t="shared" si="33"/>
        <v>11.481315241284857</v>
      </c>
      <c r="T568" t="str">
        <f t="shared" si="34"/>
        <v>Intermediate</v>
      </c>
      <c r="U568" t="str">
        <f t="shared" si="35"/>
        <v>Low Impact</v>
      </c>
    </row>
    <row r="569" spans="1:21" x14ac:dyDescent="0.3">
      <c r="A569" t="s">
        <v>1854</v>
      </c>
      <c r="B569">
        <v>45</v>
      </c>
      <c r="C569" t="s">
        <v>18</v>
      </c>
      <c r="D569" t="s">
        <v>40</v>
      </c>
      <c r="E569" t="s">
        <v>59</v>
      </c>
      <c r="F569" t="s">
        <v>60</v>
      </c>
      <c r="G569">
        <v>22</v>
      </c>
      <c r="H569" t="s">
        <v>22</v>
      </c>
      <c r="I569" t="s">
        <v>22</v>
      </c>
      <c r="J569" t="s">
        <v>23</v>
      </c>
      <c r="K569" s="2">
        <v>56567</v>
      </c>
      <c r="L569" s="2">
        <v>52839</v>
      </c>
      <c r="M569" t="s">
        <v>24</v>
      </c>
      <c r="N569">
        <v>47</v>
      </c>
      <c r="O569" t="s">
        <v>23</v>
      </c>
      <c r="P569">
        <v>8</v>
      </c>
      <c r="Q569" s="1">
        <v>22.34</v>
      </c>
      <c r="R569" s="2">
        <f t="shared" si="32"/>
        <v>-3728</v>
      </c>
      <c r="S569" s="1">
        <f t="shared" si="33"/>
        <v>-6.5904149062174051</v>
      </c>
      <c r="T569" t="str">
        <f t="shared" si="34"/>
        <v>Expert</v>
      </c>
      <c r="U569" t="str">
        <f t="shared" si="35"/>
        <v>High Impact</v>
      </c>
    </row>
    <row r="570" spans="1:21" x14ac:dyDescent="0.3">
      <c r="A570" t="s">
        <v>1451</v>
      </c>
      <c r="B570">
        <v>37</v>
      </c>
      <c r="C570" t="s">
        <v>54</v>
      </c>
      <c r="D570" t="s">
        <v>40</v>
      </c>
      <c r="E570" t="s">
        <v>51</v>
      </c>
      <c r="F570" t="s">
        <v>130</v>
      </c>
      <c r="G570">
        <v>13</v>
      </c>
      <c r="H570" t="s">
        <v>22</v>
      </c>
      <c r="I570" t="s">
        <v>22</v>
      </c>
      <c r="J570" t="s">
        <v>23</v>
      </c>
      <c r="K570" s="2">
        <v>57843</v>
      </c>
      <c r="L570" s="2">
        <v>56422</v>
      </c>
      <c r="M570" t="s">
        <v>38</v>
      </c>
      <c r="N570">
        <v>52</v>
      </c>
      <c r="O570" t="s">
        <v>25</v>
      </c>
      <c r="P570">
        <v>4</v>
      </c>
      <c r="Q570" s="1">
        <v>22.32</v>
      </c>
      <c r="R570" s="2">
        <f t="shared" si="32"/>
        <v>-1421</v>
      </c>
      <c r="S570" s="1">
        <f t="shared" si="33"/>
        <v>-2.4566498971353488</v>
      </c>
      <c r="T570" t="str">
        <f t="shared" si="34"/>
        <v>Intermediate</v>
      </c>
      <c r="U570" t="str">
        <f t="shared" si="35"/>
        <v>Medium Impact</v>
      </c>
    </row>
    <row r="571" spans="1:21" x14ac:dyDescent="0.3">
      <c r="A571" t="s">
        <v>1530</v>
      </c>
      <c r="B571">
        <v>41</v>
      </c>
      <c r="C571" t="s">
        <v>27</v>
      </c>
      <c r="D571" t="s">
        <v>40</v>
      </c>
      <c r="E571" t="s">
        <v>59</v>
      </c>
      <c r="F571" t="s">
        <v>77</v>
      </c>
      <c r="G571">
        <v>15</v>
      </c>
      <c r="H571" t="s">
        <v>22</v>
      </c>
      <c r="I571" t="s">
        <v>37</v>
      </c>
      <c r="J571" t="s">
        <v>25</v>
      </c>
      <c r="K571" s="2">
        <v>70639</v>
      </c>
      <c r="L571" s="2">
        <v>93522</v>
      </c>
      <c r="M571" t="s">
        <v>38</v>
      </c>
      <c r="N571">
        <v>35</v>
      </c>
      <c r="O571" t="s">
        <v>25</v>
      </c>
      <c r="P571">
        <v>4</v>
      </c>
      <c r="Q571" s="1">
        <v>22.29</v>
      </c>
      <c r="R571" s="2">
        <f t="shared" si="32"/>
        <v>22883</v>
      </c>
      <c r="S571" s="1">
        <f t="shared" si="33"/>
        <v>32.394286442333552</v>
      </c>
      <c r="T571" t="str">
        <f t="shared" si="34"/>
        <v>Expert</v>
      </c>
      <c r="U571" t="str">
        <f t="shared" si="35"/>
        <v>Medium Impact</v>
      </c>
    </row>
    <row r="572" spans="1:21" x14ac:dyDescent="0.3">
      <c r="A572" t="s">
        <v>580</v>
      </c>
      <c r="B572">
        <v>55</v>
      </c>
      <c r="C572" t="s">
        <v>27</v>
      </c>
      <c r="D572" t="s">
        <v>19</v>
      </c>
      <c r="E572" t="s">
        <v>44</v>
      </c>
      <c r="F572" t="s">
        <v>47</v>
      </c>
      <c r="G572">
        <v>29</v>
      </c>
      <c r="H572" t="s">
        <v>22</v>
      </c>
      <c r="I572" t="s">
        <v>31</v>
      </c>
      <c r="J572" t="s">
        <v>23</v>
      </c>
      <c r="K572" s="2">
        <v>75814</v>
      </c>
      <c r="L572" s="2">
        <v>71339</v>
      </c>
      <c r="M572" t="s">
        <v>32</v>
      </c>
      <c r="N572">
        <v>53</v>
      </c>
      <c r="O572" t="s">
        <v>23</v>
      </c>
      <c r="P572">
        <v>8</v>
      </c>
      <c r="Q572" s="1">
        <v>22.29</v>
      </c>
      <c r="R572" s="2">
        <f t="shared" si="32"/>
        <v>-4475</v>
      </c>
      <c r="S572" s="1">
        <f t="shared" si="33"/>
        <v>-5.9026037407339009</v>
      </c>
      <c r="T572" t="str">
        <f t="shared" si="34"/>
        <v>Expert</v>
      </c>
      <c r="U572" t="str">
        <f t="shared" si="35"/>
        <v>Low Impact</v>
      </c>
    </row>
    <row r="573" spans="1:21" x14ac:dyDescent="0.3">
      <c r="A573" t="s">
        <v>595</v>
      </c>
      <c r="B573">
        <v>56</v>
      </c>
      <c r="C573" t="s">
        <v>27</v>
      </c>
      <c r="D573" t="s">
        <v>34</v>
      </c>
      <c r="E573" t="s">
        <v>44</v>
      </c>
      <c r="F573" t="s">
        <v>57</v>
      </c>
      <c r="G573">
        <v>33</v>
      </c>
      <c r="H573" t="s">
        <v>37</v>
      </c>
      <c r="I573" t="s">
        <v>37</v>
      </c>
      <c r="J573" t="s">
        <v>23</v>
      </c>
      <c r="K573" s="2">
        <v>60109</v>
      </c>
      <c r="L573" s="2">
        <v>65668</v>
      </c>
      <c r="M573" t="s">
        <v>38</v>
      </c>
      <c r="N573">
        <v>40</v>
      </c>
      <c r="O573" t="s">
        <v>23</v>
      </c>
      <c r="P573">
        <v>9</v>
      </c>
      <c r="Q573" s="1">
        <v>22.23</v>
      </c>
      <c r="R573" s="2">
        <f t="shared" si="32"/>
        <v>5559</v>
      </c>
      <c r="S573" s="1">
        <f t="shared" si="33"/>
        <v>9.2481991049593244</v>
      </c>
      <c r="T573" t="str">
        <f t="shared" si="34"/>
        <v>Expert</v>
      </c>
      <c r="U573" t="str">
        <f t="shared" si="35"/>
        <v>Medium Impact</v>
      </c>
    </row>
    <row r="574" spans="1:21" x14ac:dyDescent="0.3">
      <c r="A574" t="s">
        <v>1351</v>
      </c>
      <c r="B574">
        <v>24</v>
      </c>
      <c r="C574" t="s">
        <v>18</v>
      </c>
      <c r="D574" t="s">
        <v>28</v>
      </c>
      <c r="E574" t="s">
        <v>35</v>
      </c>
      <c r="F574" t="s">
        <v>98</v>
      </c>
      <c r="G574">
        <v>1</v>
      </c>
      <c r="H574" t="s">
        <v>37</v>
      </c>
      <c r="I574" t="s">
        <v>22</v>
      </c>
      <c r="J574" t="s">
        <v>23</v>
      </c>
      <c r="K574" s="2">
        <v>62430</v>
      </c>
      <c r="L574" s="2">
        <v>72815</v>
      </c>
      <c r="M574" t="s">
        <v>32</v>
      </c>
      <c r="N574">
        <v>35</v>
      </c>
      <c r="O574" t="s">
        <v>25</v>
      </c>
      <c r="P574">
        <v>5</v>
      </c>
      <c r="Q574" s="1">
        <v>22.18</v>
      </c>
      <c r="R574" s="2">
        <f t="shared" si="32"/>
        <v>10385</v>
      </c>
      <c r="S574" s="1">
        <f t="shared" si="33"/>
        <v>16.634630786480859</v>
      </c>
      <c r="T574" t="str">
        <f t="shared" si="34"/>
        <v>Beginner</v>
      </c>
      <c r="U574" t="str">
        <f t="shared" si="35"/>
        <v>Low Impact</v>
      </c>
    </row>
    <row r="575" spans="1:21" x14ac:dyDescent="0.3">
      <c r="A575" t="s">
        <v>100</v>
      </c>
      <c r="B575">
        <v>47</v>
      </c>
      <c r="C575" t="s">
        <v>27</v>
      </c>
      <c r="D575" t="s">
        <v>19</v>
      </c>
      <c r="E575" t="s">
        <v>29</v>
      </c>
      <c r="F575" t="s">
        <v>30</v>
      </c>
      <c r="G575">
        <v>25</v>
      </c>
      <c r="H575" t="s">
        <v>22</v>
      </c>
      <c r="I575" t="s">
        <v>37</v>
      </c>
      <c r="J575" t="s">
        <v>25</v>
      </c>
      <c r="K575" s="2">
        <v>57751</v>
      </c>
      <c r="L575" s="2">
        <v>70352</v>
      </c>
      <c r="M575" t="s">
        <v>38</v>
      </c>
      <c r="N575">
        <v>50</v>
      </c>
      <c r="O575" t="s">
        <v>25</v>
      </c>
      <c r="P575">
        <v>9</v>
      </c>
      <c r="Q575" s="1">
        <v>22.15</v>
      </c>
      <c r="R575" s="2">
        <f t="shared" si="32"/>
        <v>12601</v>
      </c>
      <c r="S575" s="1">
        <f t="shared" si="33"/>
        <v>21.819535592457274</v>
      </c>
      <c r="T575" t="str">
        <f t="shared" si="34"/>
        <v>Expert</v>
      </c>
      <c r="U575" t="str">
        <f t="shared" si="35"/>
        <v>Medium Impact</v>
      </c>
    </row>
    <row r="576" spans="1:21" x14ac:dyDescent="0.3">
      <c r="A576" t="s">
        <v>577</v>
      </c>
      <c r="B576">
        <v>41</v>
      </c>
      <c r="C576" t="s">
        <v>18</v>
      </c>
      <c r="D576" t="s">
        <v>28</v>
      </c>
      <c r="E576" t="s">
        <v>35</v>
      </c>
      <c r="F576" t="s">
        <v>98</v>
      </c>
      <c r="G576">
        <v>16</v>
      </c>
      <c r="H576" t="s">
        <v>22</v>
      </c>
      <c r="I576" t="s">
        <v>37</v>
      </c>
      <c r="J576" t="s">
        <v>23</v>
      </c>
      <c r="K576" s="2">
        <v>65060</v>
      </c>
      <c r="L576" s="2">
        <v>85483</v>
      </c>
      <c r="M576" t="s">
        <v>38</v>
      </c>
      <c r="N576">
        <v>46</v>
      </c>
      <c r="O576" t="s">
        <v>23</v>
      </c>
      <c r="P576">
        <v>9</v>
      </c>
      <c r="Q576" s="1">
        <v>22.07</v>
      </c>
      <c r="R576" s="2">
        <f t="shared" si="32"/>
        <v>20423</v>
      </c>
      <c r="S576" s="1">
        <f t="shared" si="33"/>
        <v>31.39102367045804</v>
      </c>
      <c r="T576" t="str">
        <f t="shared" si="34"/>
        <v>Expert</v>
      </c>
      <c r="U576" t="str">
        <f t="shared" si="35"/>
        <v>Medium Impact</v>
      </c>
    </row>
    <row r="577" spans="1:21" x14ac:dyDescent="0.3">
      <c r="A577" t="s">
        <v>1699</v>
      </c>
      <c r="B577">
        <v>26</v>
      </c>
      <c r="C577" t="s">
        <v>18</v>
      </c>
      <c r="D577" t="s">
        <v>34</v>
      </c>
      <c r="E577" t="s">
        <v>35</v>
      </c>
      <c r="F577" t="s">
        <v>132</v>
      </c>
      <c r="G577">
        <v>3</v>
      </c>
      <c r="H577" t="s">
        <v>37</v>
      </c>
      <c r="I577" t="s">
        <v>22</v>
      </c>
      <c r="J577" t="s">
        <v>25</v>
      </c>
      <c r="K577" s="2">
        <v>75499</v>
      </c>
      <c r="L577" s="2">
        <v>72226</v>
      </c>
      <c r="M577" t="s">
        <v>32</v>
      </c>
      <c r="N577">
        <v>45</v>
      </c>
      <c r="O577" t="s">
        <v>25</v>
      </c>
      <c r="P577">
        <v>8</v>
      </c>
      <c r="Q577" s="1">
        <v>22.07</v>
      </c>
      <c r="R577" s="2">
        <f t="shared" si="32"/>
        <v>-3273</v>
      </c>
      <c r="S577" s="1">
        <f t="shared" si="33"/>
        <v>-4.3351567570431397</v>
      </c>
      <c r="T577" t="str">
        <f t="shared" si="34"/>
        <v>Beginner</v>
      </c>
      <c r="U577" t="str">
        <f t="shared" si="35"/>
        <v>Low Impact</v>
      </c>
    </row>
    <row r="578" spans="1:21" x14ac:dyDescent="0.3">
      <c r="A578" t="s">
        <v>1659</v>
      </c>
      <c r="B578">
        <v>24</v>
      </c>
      <c r="C578" t="s">
        <v>27</v>
      </c>
      <c r="D578" t="s">
        <v>28</v>
      </c>
      <c r="E578" t="s">
        <v>35</v>
      </c>
      <c r="F578" t="s">
        <v>98</v>
      </c>
      <c r="G578">
        <v>2</v>
      </c>
      <c r="H578" t="s">
        <v>22</v>
      </c>
      <c r="I578" t="s">
        <v>22</v>
      </c>
      <c r="J578" t="s">
        <v>25</v>
      </c>
      <c r="K578" s="2">
        <v>48932</v>
      </c>
      <c r="L578" s="2">
        <v>43900</v>
      </c>
      <c r="M578" t="s">
        <v>38</v>
      </c>
      <c r="N578">
        <v>53</v>
      </c>
      <c r="O578" t="s">
        <v>23</v>
      </c>
      <c r="P578">
        <v>5</v>
      </c>
      <c r="Q578" s="1">
        <v>22.05</v>
      </c>
      <c r="R578" s="2">
        <f t="shared" ref="R578:R641" si="36">L578-K578</f>
        <v>-5032</v>
      </c>
      <c r="S578" s="1">
        <f t="shared" ref="S578:S641" si="37">(L578-K578)/K578*100</f>
        <v>-10.283658955284885</v>
      </c>
      <c r="T578" t="str">
        <f t="shared" ref="T578:T641" si="38">IF(G578&lt;5,"Beginner",IF(G578&lt;15,"Intermediate","Expert"))</f>
        <v>Beginner</v>
      </c>
      <c r="U578" t="str">
        <f t="shared" ref="U578:U641" si="39">IF(M578="Replaced","High Impact",IF(M578="Modified","Medium Impact","Low Impact"))</f>
        <v>Medium Impact</v>
      </c>
    </row>
    <row r="579" spans="1:21" x14ac:dyDescent="0.3">
      <c r="A579" t="s">
        <v>927</v>
      </c>
      <c r="B579">
        <v>41</v>
      </c>
      <c r="C579" t="s">
        <v>18</v>
      </c>
      <c r="D579" t="s">
        <v>19</v>
      </c>
      <c r="E579" t="s">
        <v>20</v>
      </c>
      <c r="F579" t="s">
        <v>21</v>
      </c>
      <c r="G579">
        <v>17</v>
      </c>
      <c r="H579" t="s">
        <v>31</v>
      </c>
      <c r="I579" t="s">
        <v>22</v>
      </c>
      <c r="J579" t="s">
        <v>25</v>
      </c>
      <c r="K579" s="2">
        <v>34994</v>
      </c>
      <c r="L579" s="2">
        <v>35828</v>
      </c>
      <c r="M579" t="s">
        <v>32</v>
      </c>
      <c r="N579">
        <v>38</v>
      </c>
      <c r="O579" t="s">
        <v>25</v>
      </c>
      <c r="P579">
        <v>8</v>
      </c>
      <c r="Q579" s="1">
        <v>22.05</v>
      </c>
      <c r="R579" s="2">
        <f t="shared" si="36"/>
        <v>834</v>
      </c>
      <c r="S579" s="1">
        <f t="shared" si="37"/>
        <v>2.3832657026918902</v>
      </c>
      <c r="T579" t="str">
        <f t="shared" si="38"/>
        <v>Expert</v>
      </c>
      <c r="U579" t="str">
        <f t="shared" si="39"/>
        <v>Low Impact</v>
      </c>
    </row>
    <row r="580" spans="1:21" x14ac:dyDescent="0.3">
      <c r="A580" t="s">
        <v>1939</v>
      </c>
      <c r="B580">
        <v>58</v>
      </c>
      <c r="C580" t="s">
        <v>27</v>
      </c>
      <c r="D580" t="s">
        <v>19</v>
      </c>
      <c r="E580" t="s">
        <v>35</v>
      </c>
      <c r="F580" t="s">
        <v>98</v>
      </c>
      <c r="G580">
        <v>34</v>
      </c>
      <c r="H580" t="s">
        <v>22</v>
      </c>
      <c r="I580" t="s">
        <v>22</v>
      </c>
      <c r="J580" t="s">
        <v>23</v>
      </c>
      <c r="K580" s="2">
        <v>116623</v>
      </c>
      <c r="L580" s="2">
        <v>155556</v>
      </c>
      <c r="M580" t="s">
        <v>24</v>
      </c>
      <c r="N580">
        <v>42</v>
      </c>
      <c r="O580" t="s">
        <v>23</v>
      </c>
      <c r="P580">
        <v>6</v>
      </c>
      <c r="Q580" s="1">
        <v>22.02</v>
      </c>
      <c r="R580" s="2">
        <f t="shared" si="36"/>
        <v>38933</v>
      </c>
      <c r="S580" s="1">
        <f t="shared" si="37"/>
        <v>33.383637875890692</v>
      </c>
      <c r="T580" t="str">
        <f t="shared" si="38"/>
        <v>Expert</v>
      </c>
      <c r="U580" t="str">
        <f t="shared" si="39"/>
        <v>High Impact</v>
      </c>
    </row>
    <row r="581" spans="1:21" x14ac:dyDescent="0.3">
      <c r="A581" t="s">
        <v>1900</v>
      </c>
      <c r="B581">
        <v>51</v>
      </c>
      <c r="C581" t="s">
        <v>27</v>
      </c>
      <c r="D581" t="s">
        <v>19</v>
      </c>
      <c r="E581" t="s">
        <v>20</v>
      </c>
      <c r="F581" t="s">
        <v>88</v>
      </c>
      <c r="G581">
        <v>26</v>
      </c>
      <c r="H581" t="s">
        <v>22</v>
      </c>
      <c r="I581" t="s">
        <v>37</v>
      </c>
      <c r="J581" t="s">
        <v>25</v>
      </c>
      <c r="K581" s="2">
        <v>78328</v>
      </c>
      <c r="L581" s="2">
        <v>103066</v>
      </c>
      <c r="M581" t="s">
        <v>38</v>
      </c>
      <c r="N581">
        <v>54</v>
      </c>
      <c r="O581" t="s">
        <v>23</v>
      </c>
      <c r="P581">
        <v>6</v>
      </c>
      <c r="Q581" s="1">
        <v>22.01</v>
      </c>
      <c r="R581" s="2">
        <f t="shared" si="36"/>
        <v>24738</v>
      </c>
      <c r="S581" s="1">
        <f t="shared" si="37"/>
        <v>31.582575834950465</v>
      </c>
      <c r="T581" t="str">
        <f t="shared" si="38"/>
        <v>Expert</v>
      </c>
      <c r="U581" t="str">
        <f t="shared" si="39"/>
        <v>Medium Impact</v>
      </c>
    </row>
    <row r="582" spans="1:21" x14ac:dyDescent="0.3">
      <c r="A582" t="s">
        <v>1930</v>
      </c>
      <c r="B582">
        <v>23</v>
      </c>
      <c r="C582" t="s">
        <v>27</v>
      </c>
      <c r="D582" t="s">
        <v>19</v>
      </c>
      <c r="E582" t="s">
        <v>41</v>
      </c>
      <c r="F582" t="s">
        <v>42</v>
      </c>
      <c r="G582">
        <v>0</v>
      </c>
      <c r="H582" t="s">
        <v>22</v>
      </c>
      <c r="I582" t="s">
        <v>37</v>
      </c>
      <c r="J582" t="s">
        <v>25</v>
      </c>
      <c r="K582" s="2">
        <v>37903</v>
      </c>
      <c r="L582" s="2">
        <v>41067</v>
      </c>
      <c r="M582" t="s">
        <v>38</v>
      </c>
      <c r="N582">
        <v>39</v>
      </c>
      <c r="O582" t="s">
        <v>25</v>
      </c>
      <c r="P582">
        <v>9</v>
      </c>
      <c r="Q582" s="1">
        <v>21.9</v>
      </c>
      <c r="R582" s="2">
        <f t="shared" si="36"/>
        <v>3164</v>
      </c>
      <c r="S582" s="1">
        <f t="shared" si="37"/>
        <v>8.3476241986122464</v>
      </c>
      <c r="T582" t="str">
        <f t="shared" si="38"/>
        <v>Beginner</v>
      </c>
      <c r="U582" t="str">
        <f t="shared" si="39"/>
        <v>Medium Impact</v>
      </c>
    </row>
    <row r="583" spans="1:21" x14ac:dyDescent="0.3">
      <c r="A583" t="s">
        <v>1739</v>
      </c>
      <c r="B583">
        <v>48</v>
      </c>
      <c r="C583" t="s">
        <v>54</v>
      </c>
      <c r="D583" t="s">
        <v>19</v>
      </c>
      <c r="E583" t="s">
        <v>59</v>
      </c>
      <c r="F583" t="s">
        <v>60</v>
      </c>
      <c r="G583">
        <v>26</v>
      </c>
      <c r="H583" t="s">
        <v>22</v>
      </c>
      <c r="I583" t="s">
        <v>37</v>
      </c>
      <c r="J583" t="s">
        <v>23</v>
      </c>
      <c r="K583" s="2">
        <v>62210</v>
      </c>
      <c r="L583" s="2">
        <v>66763</v>
      </c>
      <c r="M583" t="s">
        <v>38</v>
      </c>
      <c r="N583">
        <v>47</v>
      </c>
      <c r="O583" t="s">
        <v>23</v>
      </c>
      <c r="P583">
        <v>5</v>
      </c>
      <c r="Q583" s="1">
        <v>21.88</v>
      </c>
      <c r="R583" s="2">
        <f t="shared" si="36"/>
        <v>4553</v>
      </c>
      <c r="S583" s="1">
        <f t="shared" si="37"/>
        <v>7.31875904195467</v>
      </c>
      <c r="T583" t="str">
        <f t="shared" si="38"/>
        <v>Expert</v>
      </c>
      <c r="U583" t="str">
        <f t="shared" si="39"/>
        <v>Medium Impact</v>
      </c>
    </row>
    <row r="584" spans="1:21" x14ac:dyDescent="0.3">
      <c r="A584" t="s">
        <v>1265</v>
      </c>
      <c r="B584">
        <v>34</v>
      </c>
      <c r="C584" t="s">
        <v>27</v>
      </c>
      <c r="D584" t="s">
        <v>19</v>
      </c>
      <c r="E584" t="s">
        <v>29</v>
      </c>
      <c r="F584" t="s">
        <v>30</v>
      </c>
      <c r="G584">
        <v>8</v>
      </c>
      <c r="H584" t="s">
        <v>37</v>
      </c>
      <c r="I584" t="s">
        <v>31</v>
      </c>
      <c r="J584" t="s">
        <v>25</v>
      </c>
      <c r="K584" s="2">
        <v>49971</v>
      </c>
      <c r="L584" s="2">
        <v>54705</v>
      </c>
      <c r="M584" t="s">
        <v>32</v>
      </c>
      <c r="N584">
        <v>40</v>
      </c>
      <c r="O584" t="s">
        <v>23</v>
      </c>
      <c r="P584">
        <v>4</v>
      </c>
      <c r="Q584" s="1">
        <v>21.88</v>
      </c>
      <c r="R584" s="2">
        <f t="shared" si="36"/>
        <v>4734</v>
      </c>
      <c r="S584" s="1">
        <f t="shared" si="37"/>
        <v>9.4734946268835927</v>
      </c>
      <c r="T584" t="str">
        <f t="shared" si="38"/>
        <v>Intermediate</v>
      </c>
      <c r="U584" t="str">
        <f t="shared" si="39"/>
        <v>Low Impact</v>
      </c>
    </row>
    <row r="585" spans="1:21" x14ac:dyDescent="0.3">
      <c r="A585" t="s">
        <v>1765</v>
      </c>
      <c r="B585">
        <v>29</v>
      </c>
      <c r="C585" t="s">
        <v>27</v>
      </c>
      <c r="D585" t="s">
        <v>34</v>
      </c>
      <c r="E585" t="s">
        <v>59</v>
      </c>
      <c r="F585" t="s">
        <v>77</v>
      </c>
      <c r="G585">
        <v>5</v>
      </c>
      <c r="H585" t="s">
        <v>37</v>
      </c>
      <c r="I585" t="s">
        <v>37</v>
      </c>
      <c r="J585" t="s">
        <v>25</v>
      </c>
      <c r="K585" s="2">
        <v>30639</v>
      </c>
      <c r="L585" s="2">
        <v>36372</v>
      </c>
      <c r="M585" t="s">
        <v>38</v>
      </c>
      <c r="N585">
        <v>46</v>
      </c>
      <c r="O585" t="s">
        <v>23</v>
      </c>
      <c r="P585">
        <v>3</v>
      </c>
      <c r="Q585" s="1">
        <v>21.81</v>
      </c>
      <c r="R585" s="2">
        <f t="shared" si="36"/>
        <v>5733</v>
      </c>
      <c r="S585" s="1">
        <f t="shared" si="37"/>
        <v>18.711446196024674</v>
      </c>
      <c r="T585" t="str">
        <f t="shared" si="38"/>
        <v>Intermediate</v>
      </c>
      <c r="U585" t="str">
        <f t="shared" si="39"/>
        <v>Medium Impact</v>
      </c>
    </row>
    <row r="586" spans="1:21" x14ac:dyDescent="0.3">
      <c r="A586" t="s">
        <v>123</v>
      </c>
      <c r="B586">
        <v>55</v>
      </c>
      <c r="C586" t="s">
        <v>18</v>
      </c>
      <c r="D586" t="s">
        <v>34</v>
      </c>
      <c r="E586" t="s">
        <v>51</v>
      </c>
      <c r="F586" t="s">
        <v>52</v>
      </c>
      <c r="G586">
        <v>31</v>
      </c>
      <c r="H586" t="s">
        <v>37</v>
      </c>
      <c r="I586" t="s">
        <v>37</v>
      </c>
      <c r="J586" t="s">
        <v>25</v>
      </c>
      <c r="K586" s="2">
        <v>50358</v>
      </c>
      <c r="L586" s="2">
        <v>47107</v>
      </c>
      <c r="M586" t="s">
        <v>38</v>
      </c>
      <c r="N586">
        <v>47</v>
      </c>
      <c r="O586" t="s">
        <v>23</v>
      </c>
      <c r="P586">
        <v>5</v>
      </c>
      <c r="Q586" s="1">
        <v>21.8</v>
      </c>
      <c r="R586" s="2">
        <f t="shared" si="36"/>
        <v>-3251</v>
      </c>
      <c r="S586" s="1">
        <f t="shared" si="37"/>
        <v>-6.4557766392628775</v>
      </c>
      <c r="T586" t="str">
        <f t="shared" si="38"/>
        <v>Expert</v>
      </c>
      <c r="U586" t="str">
        <f t="shared" si="39"/>
        <v>Medium Impact</v>
      </c>
    </row>
    <row r="587" spans="1:21" x14ac:dyDescent="0.3">
      <c r="A587" t="s">
        <v>97</v>
      </c>
      <c r="B587">
        <v>39</v>
      </c>
      <c r="C587" t="s">
        <v>18</v>
      </c>
      <c r="D587" t="s">
        <v>34</v>
      </c>
      <c r="E587" t="s">
        <v>35</v>
      </c>
      <c r="F587" t="s">
        <v>98</v>
      </c>
      <c r="G587">
        <v>17</v>
      </c>
      <c r="H587" t="s">
        <v>22</v>
      </c>
      <c r="I587" t="s">
        <v>31</v>
      </c>
      <c r="J587" t="s">
        <v>23</v>
      </c>
      <c r="K587" s="2">
        <v>62745</v>
      </c>
      <c r="L587" s="2">
        <v>85439</v>
      </c>
      <c r="M587" t="s">
        <v>32</v>
      </c>
      <c r="N587">
        <v>42</v>
      </c>
      <c r="O587" t="s">
        <v>25</v>
      </c>
      <c r="P587">
        <v>8</v>
      </c>
      <c r="Q587" s="1">
        <v>21.76</v>
      </c>
      <c r="R587" s="2">
        <f t="shared" si="36"/>
        <v>22694</v>
      </c>
      <c r="S587" s="1">
        <f t="shared" si="37"/>
        <v>36.168619013467207</v>
      </c>
      <c r="T587" t="str">
        <f t="shared" si="38"/>
        <v>Expert</v>
      </c>
      <c r="U587" t="str">
        <f t="shared" si="39"/>
        <v>Low Impact</v>
      </c>
    </row>
    <row r="588" spans="1:21" x14ac:dyDescent="0.3">
      <c r="A588" t="s">
        <v>594</v>
      </c>
      <c r="B588">
        <v>50</v>
      </c>
      <c r="C588" t="s">
        <v>18</v>
      </c>
      <c r="D588" t="s">
        <v>40</v>
      </c>
      <c r="E588" t="s">
        <v>29</v>
      </c>
      <c r="F588" t="s">
        <v>102</v>
      </c>
      <c r="G588">
        <v>25</v>
      </c>
      <c r="H588" t="s">
        <v>31</v>
      </c>
      <c r="I588" t="s">
        <v>31</v>
      </c>
      <c r="J588" t="s">
        <v>23</v>
      </c>
      <c r="K588" s="2">
        <v>111882</v>
      </c>
      <c r="L588" s="2">
        <v>113510</v>
      </c>
      <c r="M588" t="s">
        <v>32</v>
      </c>
      <c r="N588">
        <v>53</v>
      </c>
      <c r="O588" t="s">
        <v>25</v>
      </c>
      <c r="P588">
        <v>6</v>
      </c>
      <c r="Q588" s="1">
        <v>21.75</v>
      </c>
      <c r="R588" s="2">
        <f t="shared" si="36"/>
        <v>1628</v>
      </c>
      <c r="S588" s="1">
        <f t="shared" si="37"/>
        <v>1.4551044850824975</v>
      </c>
      <c r="T588" t="str">
        <f t="shared" si="38"/>
        <v>Expert</v>
      </c>
      <c r="U588" t="str">
        <f t="shared" si="39"/>
        <v>Low Impact</v>
      </c>
    </row>
    <row r="589" spans="1:21" x14ac:dyDescent="0.3">
      <c r="A589" t="s">
        <v>1689</v>
      </c>
      <c r="B589">
        <v>34</v>
      </c>
      <c r="C589" t="s">
        <v>54</v>
      </c>
      <c r="D589" t="s">
        <v>28</v>
      </c>
      <c r="E589" t="s">
        <v>59</v>
      </c>
      <c r="F589" t="s">
        <v>93</v>
      </c>
      <c r="G589">
        <v>9</v>
      </c>
      <c r="H589" t="s">
        <v>37</v>
      </c>
      <c r="I589" t="s">
        <v>37</v>
      </c>
      <c r="J589" t="s">
        <v>25</v>
      </c>
      <c r="K589" s="2">
        <v>105726</v>
      </c>
      <c r="L589" s="2">
        <v>102977</v>
      </c>
      <c r="M589" t="s">
        <v>38</v>
      </c>
      <c r="N589">
        <v>48</v>
      </c>
      <c r="O589" t="s">
        <v>23</v>
      </c>
      <c r="P589">
        <v>5</v>
      </c>
      <c r="Q589" s="1">
        <v>21.72</v>
      </c>
      <c r="R589" s="2">
        <f t="shared" si="36"/>
        <v>-2749</v>
      </c>
      <c r="S589" s="1">
        <f t="shared" si="37"/>
        <v>-2.6001172843009286</v>
      </c>
      <c r="T589" t="str">
        <f t="shared" si="38"/>
        <v>Intermediate</v>
      </c>
      <c r="U589" t="str">
        <f t="shared" si="39"/>
        <v>Medium Impact</v>
      </c>
    </row>
    <row r="590" spans="1:21" x14ac:dyDescent="0.3">
      <c r="A590" t="s">
        <v>1683</v>
      </c>
      <c r="B590">
        <v>50</v>
      </c>
      <c r="C590" t="s">
        <v>18</v>
      </c>
      <c r="D590" t="s">
        <v>40</v>
      </c>
      <c r="E590" t="s">
        <v>51</v>
      </c>
      <c r="F590" t="s">
        <v>130</v>
      </c>
      <c r="G590">
        <v>25</v>
      </c>
      <c r="H590" t="s">
        <v>37</v>
      </c>
      <c r="I590" t="s">
        <v>22</v>
      </c>
      <c r="J590" t="s">
        <v>23</v>
      </c>
      <c r="K590" s="2">
        <v>33188</v>
      </c>
      <c r="L590" s="2">
        <v>35745</v>
      </c>
      <c r="M590" t="s">
        <v>32</v>
      </c>
      <c r="N590">
        <v>45</v>
      </c>
      <c r="O590" t="s">
        <v>25</v>
      </c>
      <c r="P590">
        <v>6</v>
      </c>
      <c r="Q590" s="1">
        <v>21.72</v>
      </c>
      <c r="R590" s="2">
        <f t="shared" si="36"/>
        <v>2557</v>
      </c>
      <c r="S590" s="1">
        <f t="shared" si="37"/>
        <v>7.7045920212124859</v>
      </c>
      <c r="T590" t="str">
        <f t="shared" si="38"/>
        <v>Expert</v>
      </c>
      <c r="U590" t="str">
        <f t="shared" si="39"/>
        <v>Low Impact</v>
      </c>
    </row>
    <row r="591" spans="1:21" x14ac:dyDescent="0.3">
      <c r="A591" t="s">
        <v>340</v>
      </c>
      <c r="B591">
        <v>46</v>
      </c>
      <c r="C591" t="s">
        <v>54</v>
      </c>
      <c r="D591" t="s">
        <v>19</v>
      </c>
      <c r="E591" t="s">
        <v>29</v>
      </c>
      <c r="F591" t="s">
        <v>104</v>
      </c>
      <c r="G591">
        <v>23</v>
      </c>
      <c r="H591" t="s">
        <v>22</v>
      </c>
      <c r="I591" t="s">
        <v>31</v>
      </c>
      <c r="J591" t="s">
        <v>25</v>
      </c>
      <c r="K591" s="2">
        <v>47727</v>
      </c>
      <c r="L591" s="2">
        <v>42088</v>
      </c>
      <c r="M591" t="s">
        <v>32</v>
      </c>
      <c r="N591">
        <v>37</v>
      </c>
      <c r="O591" t="s">
        <v>25</v>
      </c>
      <c r="P591">
        <v>4</v>
      </c>
      <c r="Q591" s="1">
        <v>21.71</v>
      </c>
      <c r="R591" s="2">
        <f t="shared" si="36"/>
        <v>-5639</v>
      </c>
      <c r="S591" s="1">
        <f t="shared" si="37"/>
        <v>-11.815115133991242</v>
      </c>
      <c r="T591" t="str">
        <f t="shared" si="38"/>
        <v>Expert</v>
      </c>
      <c r="U591" t="str">
        <f t="shared" si="39"/>
        <v>Low Impact</v>
      </c>
    </row>
    <row r="592" spans="1:21" x14ac:dyDescent="0.3">
      <c r="A592" t="s">
        <v>1526</v>
      </c>
      <c r="B592">
        <v>22</v>
      </c>
      <c r="C592" t="s">
        <v>27</v>
      </c>
      <c r="D592" t="s">
        <v>28</v>
      </c>
      <c r="E592" t="s">
        <v>44</v>
      </c>
      <c r="F592" t="s">
        <v>47</v>
      </c>
      <c r="G592">
        <v>0</v>
      </c>
      <c r="H592" t="s">
        <v>31</v>
      </c>
      <c r="I592" t="s">
        <v>37</v>
      </c>
      <c r="J592" t="s">
        <v>23</v>
      </c>
      <c r="K592" s="2">
        <v>111614</v>
      </c>
      <c r="L592" s="2">
        <v>107958</v>
      </c>
      <c r="M592" t="s">
        <v>38</v>
      </c>
      <c r="N592">
        <v>47</v>
      </c>
      <c r="O592" t="s">
        <v>23</v>
      </c>
      <c r="P592">
        <v>3</v>
      </c>
      <c r="Q592" s="1">
        <v>21.69</v>
      </c>
      <c r="R592" s="2">
        <f t="shared" si="36"/>
        <v>-3656</v>
      </c>
      <c r="S592" s="1">
        <f t="shared" si="37"/>
        <v>-3.2755747486874403</v>
      </c>
      <c r="T592" t="str">
        <f t="shared" si="38"/>
        <v>Beginner</v>
      </c>
      <c r="U592" t="str">
        <f t="shared" si="39"/>
        <v>Medium Impact</v>
      </c>
    </row>
    <row r="593" spans="1:21" x14ac:dyDescent="0.3">
      <c r="A593" t="s">
        <v>575</v>
      </c>
      <c r="B593">
        <v>53</v>
      </c>
      <c r="C593" t="s">
        <v>27</v>
      </c>
      <c r="D593" t="s">
        <v>28</v>
      </c>
      <c r="E593" t="s">
        <v>29</v>
      </c>
      <c r="F593" t="s">
        <v>102</v>
      </c>
      <c r="G593">
        <v>29</v>
      </c>
      <c r="H593" t="s">
        <v>22</v>
      </c>
      <c r="I593" t="s">
        <v>22</v>
      </c>
      <c r="J593" t="s">
        <v>25</v>
      </c>
      <c r="K593" s="2">
        <v>119285</v>
      </c>
      <c r="L593" s="2">
        <v>161344</v>
      </c>
      <c r="M593" t="s">
        <v>38</v>
      </c>
      <c r="N593">
        <v>41</v>
      </c>
      <c r="O593" t="s">
        <v>23</v>
      </c>
      <c r="P593">
        <v>7</v>
      </c>
      <c r="Q593" s="1">
        <v>21.68</v>
      </c>
      <c r="R593" s="2">
        <f t="shared" si="36"/>
        <v>42059</v>
      </c>
      <c r="S593" s="1">
        <f t="shared" si="37"/>
        <v>35.259253049419456</v>
      </c>
      <c r="T593" t="str">
        <f t="shared" si="38"/>
        <v>Expert</v>
      </c>
      <c r="U593" t="str">
        <f t="shared" si="39"/>
        <v>Medium Impact</v>
      </c>
    </row>
    <row r="594" spans="1:21" x14ac:dyDescent="0.3">
      <c r="A594" t="s">
        <v>789</v>
      </c>
      <c r="B594">
        <v>50</v>
      </c>
      <c r="C594" t="s">
        <v>54</v>
      </c>
      <c r="D594" t="s">
        <v>40</v>
      </c>
      <c r="E594" t="s">
        <v>44</v>
      </c>
      <c r="F594" t="s">
        <v>57</v>
      </c>
      <c r="G594">
        <v>25</v>
      </c>
      <c r="H594" t="s">
        <v>22</v>
      </c>
      <c r="I594" t="s">
        <v>22</v>
      </c>
      <c r="J594" t="s">
        <v>25</v>
      </c>
      <c r="K594" s="2">
        <v>37493</v>
      </c>
      <c r="L594" s="2">
        <v>43318</v>
      </c>
      <c r="M594" t="s">
        <v>38</v>
      </c>
      <c r="N594">
        <v>35</v>
      </c>
      <c r="O594" t="s">
        <v>25</v>
      </c>
      <c r="P594">
        <v>5</v>
      </c>
      <c r="Q594" s="1">
        <v>21.68</v>
      </c>
      <c r="R594" s="2">
        <f t="shared" si="36"/>
        <v>5825</v>
      </c>
      <c r="S594" s="1">
        <f t="shared" si="37"/>
        <v>15.536233430240312</v>
      </c>
      <c r="T594" t="str">
        <f t="shared" si="38"/>
        <v>Expert</v>
      </c>
      <c r="U594" t="str">
        <f t="shared" si="39"/>
        <v>Medium Impact</v>
      </c>
    </row>
    <row r="595" spans="1:21" x14ac:dyDescent="0.3">
      <c r="A595" t="s">
        <v>1618</v>
      </c>
      <c r="B595">
        <v>51</v>
      </c>
      <c r="C595" t="s">
        <v>54</v>
      </c>
      <c r="D595" t="s">
        <v>34</v>
      </c>
      <c r="E595" t="s">
        <v>35</v>
      </c>
      <c r="F595" t="s">
        <v>132</v>
      </c>
      <c r="G595">
        <v>25</v>
      </c>
      <c r="H595" t="s">
        <v>37</v>
      </c>
      <c r="I595" t="s">
        <v>31</v>
      </c>
      <c r="J595" t="s">
        <v>25</v>
      </c>
      <c r="K595" s="2">
        <v>59203</v>
      </c>
      <c r="L595" s="2">
        <v>56270</v>
      </c>
      <c r="M595" t="s">
        <v>32</v>
      </c>
      <c r="N595">
        <v>47</v>
      </c>
      <c r="O595" t="s">
        <v>23</v>
      </c>
      <c r="P595">
        <v>9</v>
      </c>
      <c r="Q595" s="1">
        <v>21.63</v>
      </c>
      <c r="R595" s="2">
        <f t="shared" si="36"/>
        <v>-2933</v>
      </c>
      <c r="S595" s="1">
        <f t="shared" si="37"/>
        <v>-4.9541408374575617</v>
      </c>
      <c r="T595" t="str">
        <f t="shared" si="38"/>
        <v>Expert</v>
      </c>
      <c r="U595" t="str">
        <f t="shared" si="39"/>
        <v>Low Impact</v>
      </c>
    </row>
    <row r="596" spans="1:21" x14ac:dyDescent="0.3">
      <c r="A596" t="s">
        <v>1172</v>
      </c>
      <c r="B596">
        <v>29</v>
      </c>
      <c r="C596" t="s">
        <v>18</v>
      </c>
      <c r="D596" t="s">
        <v>19</v>
      </c>
      <c r="E596" t="s">
        <v>44</v>
      </c>
      <c r="F596" t="s">
        <v>57</v>
      </c>
      <c r="G596">
        <v>7</v>
      </c>
      <c r="H596" t="s">
        <v>22</v>
      </c>
      <c r="I596" t="s">
        <v>37</v>
      </c>
      <c r="J596" t="s">
        <v>23</v>
      </c>
      <c r="K596" s="2">
        <v>47459</v>
      </c>
      <c r="L596" s="2">
        <v>59328</v>
      </c>
      <c r="M596" t="s">
        <v>38</v>
      </c>
      <c r="N596">
        <v>44</v>
      </c>
      <c r="O596" t="s">
        <v>25</v>
      </c>
      <c r="P596">
        <v>6</v>
      </c>
      <c r="Q596" s="1">
        <v>21.6</v>
      </c>
      <c r="R596" s="2">
        <f t="shared" si="36"/>
        <v>11869</v>
      </c>
      <c r="S596" s="1">
        <f t="shared" si="37"/>
        <v>25.008955098084662</v>
      </c>
      <c r="T596" t="str">
        <f t="shared" si="38"/>
        <v>Intermediate</v>
      </c>
      <c r="U596" t="str">
        <f t="shared" si="39"/>
        <v>Medium Impact</v>
      </c>
    </row>
    <row r="597" spans="1:21" x14ac:dyDescent="0.3">
      <c r="A597" t="s">
        <v>1297</v>
      </c>
      <c r="B597">
        <v>33</v>
      </c>
      <c r="C597" t="s">
        <v>27</v>
      </c>
      <c r="D597" t="s">
        <v>19</v>
      </c>
      <c r="E597" t="s">
        <v>51</v>
      </c>
      <c r="F597" t="s">
        <v>75</v>
      </c>
      <c r="G597">
        <v>8</v>
      </c>
      <c r="H597" t="s">
        <v>31</v>
      </c>
      <c r="I597" t="s">
        <v>37</v>
      </c>
      <c r="J597" t="s">
        <v>23</v>
      </c>
      <c r="K597" s="2">
        <v>113694</v>
      </c>
      <c r="L597" s="2">
        <v>109131</v>
      </c>
      <c r="M597" t="s">
        <v>38</v>
      </c>
      <c r="N597">
        <v>47</v>
      </c>
      <c r="O597" t="s">
        <v>23</v>
      </c>
      <c r="P597">
        <v>7</v>
      </c>
      <c r="Q597" s="1">
        <v>21.55</v>
      </c>
      <c r="R597" s="2">
        <f t="shared" si="36"/>
        <v>-4563</v>
      </c>
      <c r="S597" s="1">
        <f t="shared" si="37"/>
        <v>-4.0134044012876666</v>
      </c>
      <c r="T597" t="str">
        <f t="shared" si="38"/>
        <v>Intermediate</v>
      </c>
      <c r="U597" t="str">
        <f t="shared" si="39"/>
        <v>Medium Impact</v>
      </c>
    </row>
    <row r="598" spans="1:21" x14ac:dyDescent="0.3">
      <c r="A598" t="s">
        <v>499</v>
      </c>
      <c r="B598">
        <v>53</v>
      </c>
      <c r="C598" t="s">
        <v>54</v>
      </c>
      <c r="D598" t="s">
        <v>40</v>
      </c>
      <c r="E598" t="s">
        <v>59</v>
      </c>
      <c r="F598" t="s">
        <v>60</v>
      </c>
      <c r="G598">
        <v>27</v>
      </c>
      <c r="H598" t="s">
        <v>31</v>
      </c>
      <c r="I598" t="s">
        <v>37</v>
      </c>
      <c r="J598" t="s">
        <v>25</v>
      </c>
      <c r="K598" s="2">
        <v>35845</v>
      </c>
      <c r="L598" s="2">
        <v>37938</v>
      </c>
      <c r="M598" t="s">
        <v>38</v>
      </c>
      <c r="N598">
        <v>44</v>
      </c>
      <c r="O598" t="s">
        <v>23</v>
      </c>
      <c r="P598">
        <v>8</v>
      </c>
      <c r="Q598" s="1">
        <v>21.55</v>
      </c>
      <c r="R598" s="2">
        <f t="shared" si="36"/>
        <v>2093</v>
      </c>
      <c r="S598" s="1">
        <f t="shared" si="37"/>
        <v>5.8390291532989265</v>
      </c>
      <c r="T598" t="str">
        <f t="shared" si="38"/>
        <v>Expert</v>
      </c>
      <c r="U598" t="str">
        <f t="shared" si="39"/>
        <v>Medium Impact</v>
      </c>
    </row>
    <row r="599" spans="1:21" x14ac:dyDescent="0.3">
      <c r="A599" t="s">
        <v>769</v>
      </c>
      <c r="B599">
        <v>49</v>
      </c>
      <c r="C599" t="s">
        <v>18</v>
      </c>
      <c r="D599" t="s">
        <v>40</v>
      </c>
      <c r="E599" t="s">
        <v>20</v>
      </c>
      <c r="F599" t="s">
        <v>21</v>
      </c>
      <c r="G599">
        <v>27</v>
      </c>
      <c r="H599" t="s">
        <v>22</v>
      </c>
      <c r="I599" t="s">
        <v>37</v>
      </c>
      <c r="J599" t="s">
        <v>23</v>
      </c>
      <c r="K599" s="2">
        <v>92559</v>
      </c>
      <c r="L599" s="2">
        <v>86613</v>
      </c>
      <c r="M599" t="s">
        <v>38</v>
      </c>
      <c r="N599">
        <v>42</v>
      </c>
      <c r="O599" t="s">
        <v>25</v>
      </c>
      <c r="P599">
        <v>3</v>
      </c>
      <c r="Q599" s="1">
        <v>21.54</v>
      </c>
      <c r="R599" s="2">
        <f t="shared" si="36"/>
        <v>-5946</v>
      </c>
      <c r="S599" s="1">
        <f t="shared" si="37"/>
        <v>-6.424010631056948</v>
      </c>
      <c r="T599" t="str">
        <f t="shared" si="38"/>
        <v>Expert</v>
      </c>
      <c r="U599" t="str">
        <f t="shared" si="39"/>
        <v>Medium Impact</v>
      </c>
    </row>
    <row r="600" spans="1:21" x14ac:dyDescent="0.3">
      <c r="A600" t="s">
        <v>237</v>
      </c>
      <c r="B600">
        <v>29</v>
      </c>
      <c r="C600" t="s">
        <v>18</v>
      </c>
      <c r="D600" t="s">
        <v>28</v>
      </c>
      <c r="E600" t="s">
        <v>59</v>
      </c>
      <c r="F600" t="s">
        <v>93</v>
      </c>
      <c r="G600">
        <v>3</v>
      </c>
      <c r="H600" t="s">
        <v>31</v>
      </c>
      <c r="I600" t="s">
        <v>37</v>
      </c>
      <c r="J600" t="s">
        <v>23</v>
      </c>
      <c r="K600" s="2">
        <v>41344</v>
      </c>
      <c r="L600" s="2">
        <v>43362</v>
      </c>
      <c r="M600" t="s">
        <v>38</v>
      </c>
      <c r="N600">
        <v>40</v>
      </c>
      <c r="O600" t="s">
        <v>25</v>
      </c>
      <c r="P600">
        <v>3</v>
      </c>
      <c r="Q600" s="1">
        <v>21.54</v>
      </c>
      <c r="R600" s="2">
        <f t="shared" si="36"/>
        <v>2018</v>
      </c>
      <c r="S600" s="1">
        <f t="shared" si="37"/>
        <v>4.8809984520123839</v>
      </c>
      <c r="T600" t="str">
        <f t="shared" si="38"/>
        <v>Beginner</v>
      </c>
      <c r="U600" t="str">
        <f t="shared" si="39"/>
        <v>Medium Impact</v>
      </c>
    </row>
    <row r="601" spans="1:21" x14ac:dyDescent="0.3">
      <c r="A601" t="s">
        <v>722</v>
      </c>
      <c r="B601">
        <v>42</v>
      </c>
      <c r="C601" t="s">
        <v>27</v>
      </c>
      <c r="D601" t="s">
        <v>28</v>
      </c>
      <c r="E601" t="s">
        <v>35</v>
      </c>
      <c r="F601" t="s">
        <v>132</v>
      </c>
      <c r="G601">
        <v>19</v>
      </c>
      <c r="H601" t="s">
        <v>37</v>
      </c>
      <c r="I601" t="s">
        <v>31</v>
      </c>
      <c r="J601" t="s">
        <v>23</v>
      </c>
      <c r="K601" s="2">
        <v>69454</v>
      </c>
      <c r="L601" s="2">
        <v>63608</v>
      </c>
      <c r="M601" t="s">
        <v>32</v>
      </c>
      <c r="N601">
        <v>42</v>
      </c>
      <c r="O601" t="s">
        <v>25</v>
      </c>
      <c r="P601">
        <v>7</v>
      </c>
      <c r="Q601" s="1">
        <v>21.52</v>
      </c>
      <c r="R601" s="2">
        <f t="shared" si="36"/>
        <v>-5846</v>
      </c>
      <c r="S601" s="1">
        <f t="shared" si="37"/>
        <v>-8.4170818095430082</v>
      </c>
      <c r="T601" t="str">
        <f t="shared" si="38"/>
        <v>Expert</v>
      </c>
      <c r="U601" t="str">
        <f t="shared" si="39"/>
        <v>Low Impact</v>
      </c>
    </row>
    <row r="602" spans="1:21" x14ac:dyDescent="0.3">
      <c r="A602" t="s">
        <v>1665</v>
      </c>
      <c r="B602">
        <v>41</v>
      </c>
      <c r="C602" t="s">
        <v>54</v>
      </c>
      <c r="D602" t="s">
        <v>40</v>
      </c>
      <c r="E602" t="s">
        <v>29</v>
      </c>
      <c r="F602" t="s">
        <v>30</v>
      </c>
      <c r="G602">
        <v>17</v>
      </c>
      <c r="H602" t="s">
        <v>22</v>
      </c>
      <c r="I602" t="s">
        <v>37</v>
      </c>
      <c r="J602" t="s">
        <v>25</v>
      </c>
      <c r="K602" s="2">
        <v>116879</v>
      </c>
      <c r="L602" s="2">
        <v>128301</v>
      </c>
      <c r="M602" t="s">
        <v>38</v>
      </c>
      <c r="N602">
        <v>50</v>
      </c>
      <c r="O602" t="s">
        <v>23</v>
      </c>
      <c r="P602">
        <v>4</v>
      </c>
      <c r="Q602" s="1">
        <v>21.4</v>
      </c>
      <c r="R602" s="2">
        <f t="shared" si="36"/>
        <v>11422</v>
      </c>
      <c r="S602" s="1">
        <f t="shared" si="37"/>
        <v>9.7724997647139347</v>
      </c>
      <c r="T602" t="str">
        <f t="shared" si="38"/>
        <v>Expert</v>
      </c>
      <c r="U602" t="str">
        <f t="shared" si="39"/>
        <v>Medium Impact</v>
      </c>
    </row>
    <row r="603" spans="1:21" x14ac:dyDescent="0.3">
      <c r="A603" t="s">
        <v>1078</v>
      </c>
      <c r="B603">
        <v>40</v>
      </c>
      <c r="C603" t="s">
        <v>54</v>
      </c>
      <c r="D603" t="s">
        <v>19</v>
      </c>
      <c r="E603" t="s">
        <v>51</v>
      </c>
      <c r="F603" t="s">
        <v>52</v>
      </c>
      <c r="G603">
        <v>14</v>
      </c>
      <c r="H603" t="s">
        <v>22</v>
      </c>
      <c r="I603" t="s">
        <v>31</v>
      </c>
      <c r="J603" t="s">
        <v>23</v>
      </c>
      <c r="K603" s="2">
        <v>36862</v>
      </c>
      <c r="L603" s="2">
        <v>29912</v>
      </c>
      <c r="M603" t="s">
        <v>32</v>
      </c>
      <c r="N603">
        <v>42</v>
      </c>
      <c r="O603" t="s">
        <v>23</v>
      </c>
      <c r="P603">
        <v>4</v>
      </c>
      <c r="Q603" s="1">
        <v>21.39</v>
      </c>
      <c r="R603" s="2">
        <f t="shared" si="36"/>
        <v>-6950</v>
      </c>
      <c r="S603" s="1">
        <f t="shared" si="37"/>
        <v>-18.854104497856873</v>
      </c>
      <c r="T603" t="str">
        <f t="shared" si="38"/>
        <v>Intermediate</v>
      </c>
      <c r="U603" t="str">
        <f t="shared" si="39"/>
        <v>Low Impact</v>
      </c>
    </row>
    <row r="604" spans="1:21" x14ac:dyDescent="0.3">
      <c r="A604" t="s">
        <v>1623</v>
      </c>
      <c r="B604">
        <v>53</v>
      </c>
      <c r="C604" t="s">
        <v>54</v>
      </c>
      <c r="D604" t="s">
        <v>28</v>
      </c>
      <c r="E604" t="s">
        <v>51</v>
      </c>
      <c r="F604" t="s">
        <v>75</v>
      </c>
      <c r="G604">
        <v>27</v>
      </c>
      <c r="H604" t="s">
        <v>37</v>
      </c>
      <c r="I604" t="s">
        <v>31</v>
      </c>
      <c r="J604" t="s">
        <v>25</v>
      </c>
      <c r="K604" s="2">
        <v>31614</v>
      </c>
      <c r="L604" s="2">
        <v>30831</v>
      </c>
      <c r="M604" t="s">
        <v>32</v>
      </c>
      <c r="N604">
        <v>49</v>
      </c>
      <c r="O604" t="s">
        <v>25</v>
      </c>
      <c r="P604">
        <v>4</v>
      </c>
      <c r="Q604" s="1">
        <v>21.38</v>
      </c>
      <c r="R604" s="2">
        <f t="shared" si="36"/>
        <v>-783</v>
      </c>
      <c r="S604" s="1">
        <f t="shared" si="37"/>
        <v>-2.4767508066046688</v>
      </c>
      <c r="T604" t="str">
        <f t="shared" si="38"/>
        <v>Expert</v>
      </c>
      <c r="U604" t="str">
        <f t="shared" si="39"/>
        <v>Low Impact</v>
      </c>
    </row>
    <row r="605" spans="1:21" x14ac:dyDescent="0.3">
      <c r="A605" t="s">
        <v>1512</v>
      </c>
      <c r="B605">
        <v>38</v>
      </c>
      <c r="C605" t="s">
        <v>18</v>
      </c>
      <c r="D605" t="s">
        <v>40</v>
      </c>
      <c r="E605" t="s">
        <v>59</v>
      </c>
      <c r="F605" t="s">
        <v>93</v>
      </c>
      <c r="G605">
        <v>14</v>
      </c>
      <c r="H605" t="s">
        <v>22</v>
      </c>
      <c r="I605" t="s">
        <v>22</v>
      </c>
      <c r="J605" t="s">
        <v>25</v>
      </c>
      <c r="K605" s="2">
        <v>117616</v>
      </c>
      <c r="L605" s="2">
        <v>127688</v>
      </c>
      <c r="M605" t="s">
        <v>24</v>
      </c>
      <c r="N605">
        <v>49</v>
      </c>
      <c r="O605" t="s">
        <v>25</v>
      </c>
      <c r="P605">
        <v>4</v>
      </c>
      <c r="Q605" s="1">
        <v>21.35</v>
      </c>
      <c r="R605" s="2">
        <f t="shared" si="36"/>
        <v>10072</v>
      </c>
      <c r="S605" s="1">
        <f t="shared" si="37"/>
        <v>8.5634607536389602</v>
      </c>
      <c r="T605" t="str">
        <f t="shared" si="38"/>
        <v>Intermediate</v>
      </c>
      <c r="U605" t="str">
        <f t="shared" si="39"/>
        <v>High Impact</v>
      </c>
    </row>
    <row r="606" spans="1:21" x14ac:dyDescent="0.3">
      <c r="A606" t="s">
        <v>476</v>
      </c>
      <c r="B606">
        <v>53</v>
      </c>
      <c r="C606" t="s">
        <v>18</v>
      </c>
      <c r="D606" t="s">
        <v>19</v>
      </c>
      <c r="E606" t="s">
        <v>41</v>
      </c>
      <c r="F606" t="s">
        <v>49</v>
      </c>
      <c r="G606">
        <v>30</v>
      </c>
      <c r="H606" t="s">
        <v>31</v>
      </c>
      <c r="I606" t="s">
        <v>22</v>
      </c>
      <c r="J606" t="s">
        <v>25</v>
      </c>
      <c r="K606" s="2">
        <v>96677</v>
      </c>
      <c r="L606" s="2">
        <v>102075</v>
      </c>
      <c r="M606" t="s">
        <v>32</v>
      </c>
      <c r="N606">
        <v>41</v>
      </c>
      <c r="O606" t="s">
        <v>25</v>
      </c>
      <c r="P606">
        <v>4</v>
      </c>
      <c r="Q606" s="1">
        <v>21.3</v>
      </c>
      <c r="R606" s="2">
        <f t="shared" si="36"/>
        <v>5398</v>
      </c>
      <c r="S606" s="1">
        <f t="shared" si="37"/>
        <v>5.5835410697477172</v>
      </c>
      <c r="T606" t="str">
        <f t="shared" si="38"/>
        <v>Expert</v>
      </c>
      <c r="U606" t="str">
        <f t="shared" si="39"/>
        <v>Low Impact</v>
      </c>
    </row>
    <row r="607" spans="1:21" x14ac:dyDescent="0.3">
      <c r="A607" t="s">
        <v>1296</v>
      </c>
      <c r="B607">
        <v>51</v>
      </c>
      <c r="C607" t="s">
        <v>18</v>
      </c>
      <c r="D607" t="s">
        <v>28</v>
      </c>
      <c r="E607" t="s">
        <v>59</v>
      </c>
      <c r="F607" t="s">
        <v>77</v>
      </c>
      <c r="G607">
        <v>25</v>
      </c>
      <c r="H607" t="s">
        <v>37</v>
      </c>
      <c r="I607" t="s">
        <v>22</v>
      </c>
      <c r="J607" t="s">
        <v>25</v>
      </c>
      <c r="K607" s="2">
        <v>77734</v>
      </c>
      <c r="L607" s="2">
        <v>72411</v>
      </c>
      <c r="M607" t="s">
        <v>32</v>
      </c>
      <c r="N607">
        <v>54</v>
      </c>
      <c r="O607" t="s">
        <v>25</v>
      </c>
      <c r="P607">
        <v>7</v>
      </c>
      <c r="Q607" s="1">
        <v>21.3</v>
      </c>
      <c r="R607" s="2">
        <f t="shared" si="36"/>
        <v>-5323</v>
      </c>
      <c r="S607" s="1">
        <f t="shared" si="37"/>
        <v>-6.8477114261455734</v>
      </c>
      <c r="T607" t="str">
        <f t="shared" si="38"/>
        <v>Expert</v>
      </c>
      <c r="U607" t="str">
        <f t="shared" si="39"/>
        <v>Low Impact</v>
      </c>
    </row>
    <row r="608" spans="1:21" x14ac:dyDescent="0.3">
      <c r="A608" t="s">
        <v>1241</v>
      </c>
      <c r="B608">
        <v>31</v>
      </c>
      <c r="C608" t="s">
        <v>18</v>
      </c>
      <c r="D608" t="s">
        <v>40</v>
      </c>
      <c r="E608" t="s">
        <v>51</v>
      </c>
      <c r="F608" t="s">
        <v>75</v>
      </c>
      <c r="G608">
        <v>6</v>
      </c>
      <c r="H608" t="s">
        <v>37</v>
      </c>
      <c r="I608" t="s">
        <v>22</v>
      </c>
      <c r="J608" t="s">
        <v>25</v>
      </c>
      <c r="K608" s="2">
        <v>76144</v>
      </c>
      <c r="L608" s="2">
        <v>70963</v>
      </c>
      <c r="M608" t="s">
        <v>32</v>
      </c>
      <c r="N608">
        <v>49</v>
      </c>
      <c r="O608" t="s">
        <v>25</v>
      </c>
      <c r="P608">
        <v>3</v>
      </c>
      <c r="Q608" s="1">
        <v>21.3</v>
      </c>
      <c r="R608" s="2">
        <f t="shared" si="36"/>
        <v>-5181</v>
      </c>
      <c r="S608" s="1">
        <f t="shared" si="37"/>
        <v>-6.8042130699726835</v>
      </c>
      <c r="T608" t="str">
        <f t="shared" si="38"/>
        <v>Intermediate</v>
      </c>
      <c r="U608" t="str">
        <f t="shared" si="39"/>
        <v>Low Impact</v>
      </c>
    </row>
    <row r="609" spans="1:21" x14ac:dyDescent="0.3">
      <c r="A609" t="s">
        <v>1733</v>
      </c>
      <c r="B609">
        <v>25</v>
      </c>
      <c r="C609" t="s">
        <v>54</v>
      </c>
      <c r="D609" t="s">
        <v>19</v>
      </c>
      <c r="E609" t="s">
        <v>59</v>
      </c>
      <c r="F609" t="s">
        <v>77</v>
      </c>
      <c r="G609">
        <v>0</v>
      </c>
      <c r="H609" t="s">
        <v>37</v>
      </c>
      <c r="I609" t="s">
        <v>31</v>
      </c>
      <c r="J609" t="s">
        <v>23</v>
      </c>
      <c r="K609" s="2">
        <v>60482</v>
      </c>
      <c r="L609" s="2">
        <v>69738</v>
      </c>
      <c r="M609" t="s">
        <v>32</v>
      </c>
      <c r="N609">
        <v>36</v>
      </c>
      <c r="O609" t="s">
        <v>23</v>
      </c>
      <c r="P609">
        <v>5</v>
      </c>
      <c r="Q609" s="1">
        <v>21.3</v>
      </c>
      <c r="R609" s="2">
        <f t="shared" si="36"/>
        <v>9256</v>
      </c>
      <c r="S609" s="1">
        <f t="shared" si="37"/>
        <v>15.303726728613473</v>
      </c>
      <c r="T609" t="str">
        <f t="shared" si="38"/>
        <v>Beginner</v>
      </c>
      <c r="U609" t="str">
        <f t="shared" si="39"/>
        <v>Low Impact</v>
      </c>
    </row>
    <row r="610" spans="1:21" x14ac:dyDescent="0.3">
      <c r="A610" t="s">
        <v>2039</v>
      </c>
      <c r="B610">
        <v>43</v>
      </c>
      <c r="C610" t="s">
        <v>27</v>
      </c>
      <c r="D610" t="s">
        <v>19</v>
      </c>
      <c r="E610" t="s">
        <v>44</v>
      </c>
      <c r="F610" t="s">
        <v>57</v>
      </c>
      <c r="G610">
        <v>18</v>
      </c>
      <c r="H610" t="s">
        <v>37</v>
      </c>
      <c r="I610" t="s">
        <v>31</v>
      </c>
      <c r="J610" t="s">
        <v>25</v>
      </c>
      <c r="K610" s="2">
        <v>84486</v>
      </c>
      <c r="L610" s="2">
        <v>95392</v>
      </c>
      <c r="M610" t="s">
        <v>32</v>
      </c>
      <c r="N610">
        <v>54</v>
      </c>
      <c r="O610" t="s">
        <v>25</v>
      </c>
      <c r="P610">
        <v>7</v>
      </c>
      <c r="Q610" s="1">
        <v>21.28</v>
      </c>
      <c r="R610" s="2">
        <f t="shared" si="36"/>
        <v>10906</v>
      </c>
      <c r="S610" s="1">
        <f t="shared" si="37"/>
        <v>12.908647586582392</v>
      </c>
      <c r="T610" t="str">
        <f t="shared" si="38"/>
        <v>Expert</v>
      </c>
      <c r="U610" t="str">
        <f t="shared" si="39"/>
        <v>Low Impact</v>
      </c>
    </row>
    <row r="611" spans="1:21" x14ac:dyDescent="0.3">
      <c r="A611" t="s">
        <v>527</v>
      </c>
      <c r="B611">
        <v>31</v>
      </c>
      <c r="C611" t="s">
        <v>54</v>
      </c>
      <c r="D611" t="s">
        <v>28</v>
      </c>
      <c r="E611" t="s">
        <v>35</v>
      </c>
      <c r="F611" t="s">
        <v>98</v>
      </c>
      <c r="G611">
        <v>5</v>
      </c>
      <c r="H611" t="s">
        <v>31</v>
      </c>
      <c r="I611" t="s">
        <v>22</v>
      </c>
      <c r="J611" t="s">
        <v>25</v>
      </c>
      <c r="K611" s="2">
        <v>92507</v>
      </c>
      <c r="L611" s="2">
        <v>89267</v>
      </c>
      <c r="M611" t="s">
        <v>32</v>
      </c>
      <c r="N611">
        <v>47</v>
      </c>
      <c r="O611" t="s">
        <v>25</v>
      </c>
      <c r="P611">
        <v>7</v>
      </c>
      <c r="Q611" s="1">
        <v>21.28</v>
      </c>
      <c r="R611" s="2">
        <f t="shared" si="36"/>
        <v>-3240</v>
      </c>
      <c r="S611" s="1">
        <f t="shared" si="37"/>
        <v>-3.5024376533667723</v>
      </c>
      <c r="T611" t="str">
        <f t="shared" si="38"/>
        <v>Intermediate</v>
      </c>
      <c r="U611" t="str">
        <f t="shared" si="39"/>
        <v>Low Impact</v>
      </c>
    </row>
    <row r="612" spans="1:21" x14ac:dyDescent="0.3">
      <c r="A612" t="s">
        <v>269</v>
      </c>
      <c r="B612">
        <v>58</v>
      </c>
      <c r="C612" t="s">
        <v>27</v>
      </c>
      <c r="D612" t="s">
        <v>34</v>
      </c>
      <c r="E612" t="s">
        <v>41</v>
      </c>
      <c r="F612" t="s">
        <v>55</v>
      </c>
      <c r="G612">
        <v>32</v>
      </c>
      <c r="H612" t="s">
        <v>22</v>
      </c>
      <c r="I612" t="s">
        <v>37</v>
      </c>
      <c r="J612" t="s">
        <v>23</v>
      </c>
      <c r="K612" s="2">
        <v>112197</v>
      </c>
      <c r="L612" s="2">
        <v>152850</v>
      </c>
      <c r="M612" t="s">
        <v>38</v>
      </c>
      <c r="N612">
        <v>52</v>
      </c>
      <c r="O612" t="s">
        <v>25</v>
      </c>
      <c r="P612">
        <v>6</v>
      </c>
      <c r="Q612" s="1">
        <v>21.27</v>
      </c>
      <c r="R612" s="2">
        <f t="shared" si="36"/>
        <v>40653</v>
      </c>
      <c r="S612" s="1">
        <f t="shared" si="37"/>
        <v>36.233589133399292</v>
      </c>
      <c r="T612" t="str">
        <f t="shared" si="38"/>
        <v>Expert</v>
      </c>
      <c r="U612" t="str">
        <f t="shared" si="39"/>
        <v>Medium Impact</v>
      </c>
    </row>
    <row r="613" spans="1:21" x14ac:dyDescent="0.3">
      <c r="A613" t="s">
        <v>1348</v>
      </c>
      <c r="B613">
        <v>33</v>
      </c>
      <c r="C613" t="s">
        <v>27</v>
      </c>
      <c r="D613" t="s">
        <v>28</v>
      </c>
      <c r="E613" t="s">
        <v>59</v>
      </c>
      <c r="F613" t="s">
        <v>60</v>
      </c>
      <c r="G613">
        <v>11</v>
      </c>
      <c r="H613" t="s">
        <v>31</v>
      </c>
      <c r="I613" t="s">
        <v>31</v>
      </c>
      <c r="J613" t="s">
        <v>23</v>
      </c>
      <c r="K613" s="2">
        <v>32580</v>
      </c>
      <c r="L613" s="2">
        <v>32440</v>
      </c>
      <c r="M613" t="s">
        <v>32</v>
      </c>
      <c r="N613">
        <v>45</v>
      </c>
      <c r="O613" t="s">
        <v>25</v>
      </c>
      <c r="P613">
        <v>6</v>
      </c>
      <c r="Q613" s="1">
        <v>21.27</v>
      </c>
      <c r="R613" s="2">
        <f t="shared" si="36"/>
        <v>-140</v>
      </c>
      <c r="S613" s="1">
        <f t="shared" si="37"/>
        <v>-0.42971147943523635</v>
      </c>
      <c r="T613" t="str">
        <f t="shared" si="38"/>
        <v>Intermediate</v>
      </c>
      <c r="U613" t="str">
        <f t="shared" si="39"/>
        <v>Low Impact</v>
      </c>
    </row>
    <row r="614" spans="1:21" x14ac:dyDescent="0.3">
      <c r="A614" t="s">
        <v>1908</v>
      </c>
      <c r="B614">
        <v>37</v>
      </c>
      <c r="C614" t="s">
        <v>54</v>
      </c>
      <c r="D614" t="s">
        <v>40</v>
      </c>
      <c r="E614" t="s">
        <v>51</v>
      </c>
      <c r="F614" t="s">
        <v>75</v>
      </c>
      <c r="G614">
        <v>14</v>
      </c>
      <c r="H614" t="s">
        <v>31</v>
      </c>
      <c r="I614" t="s">
        <v>37</v>
      </c>
      <c r="J614" t="s">
        <v>25</v>
      </c>
      <c r="K614" s="2">
        <v>78155</v>
      </c>
      <c r="L614" s="2">
        <v>77656</v>
      </c>
      <c r="M614" t="s">
        <v>38</v>
      </c>
      <c r="N614">
        <v>46</v>
      </c>
      <c r="O614" t="s">
        <v>23</v>
      </c>
      <c r="P614">
        <v>5</v>
      </c>
      <c r="Q614" s="1">
        <v>21.25</v>
      </c>
      <c r="R614" s="2">
        <f t="shared" si="36"/>
        <v>-499</v>
      </c>
      <c r="S614" s="1">
        <f t="shared" si="37"/>
        <v>-0.63847482566694391</v>
      </c>
      <c r="T614" t="str">
        <f t="shared" si="38"/>
        <v>Intermediate</v>
      </c>
      <c r="U614" t="str">
        <f t="shared" si="39"/>
        <v>Medium Impact</v>
      </c>
    </row>
    <row r="615" spans="1:21" x14ac:dyDescent="0.3">
      <c r="A615" t="s">
        <v>1723</v>
      </c>
      <c r="B615">
        <v>22</v>
      </c>
      <c r="C615" t="s">
        <v>54</v>
      </c>
      <c r="D615" t="s">
        <v>19</v>
      </c>
      <c r="E615" t="s">
        <v>29</v>
      </c>
      <c r="F615" t="s">
        <v>30</v>
      </c>
      <c r="G615">
        <v>0</v>
      </c>
      <c r="H615" t="s">
        <v>31</v>
      </c>
      <c r="I615" t="s">
        <v>22</v>
      </c>
      <c r="J615" t="s">
        <v>23</v>
      </c>
      <c r="K615" s="2">
        <v>85041</v>
      </c>
      <c r="L615" s="2">
        <v>83422</v>
      </c>
      <c r="M615" t="s">
        <v>32</v>
      </c>
      <c r="N615">
        <v>44</v>
      </c>
      <c r="O615" t="s">
        <v>25</v>
      </c>
      <c r="P615">
        <v>4</v>
      </c>
      <c r="Q615" s="1">
        <v>21.24</v>
      </c>
      <c r="R615" s="2">
        <f t="shared" si="36"/>
        <v>-1619</v>
      </c>
      <c r="S615" s="1">
        <f t="shared" si="37"/>
        <v>-1.903787584812032</v>
      </c>
      <c r="T615" t="str">
        <f t="shared" si="38"/>
        <v>Beginner</v>
      </c>
      <c r="U615" t="str">
        <f t="shared" si="39"/>
        <v>Low Impact</v>
      </c>
    </row>
    <row r="616" spans="1:21" x14ac:dyDescent="0.3">
      <c r="A616" t="s">
        <v>684</v>
      </c>
      <c r="B616">
        <v>37</v>
      </c>
      <c r="C616" t="s">
        <v>54</v>
      </c>
      <c r="D616" t="s">
        <v>34</v>
      </c>
      <c r="E616" t="s">
        <v>20</v>
      </c>
      <c r="F616" t="s">
        <v>118</v>
      </c>
      <c r="G616">
        <v>15</v>
      </c>
      <c r="H616" t="s">
        <v>22</v>
      </c>
      <c r="I616" t="s">
        <v>37</v>
      </c>
      <c r="J616" t="s">
        <v>23</v>
      </c>
      <c r="K616" s="2">
        <v>95982</v>
      </c>
      <c r="L616" s="2">
        <v>109011</v>
      </c>
      <c r="M616" t="s">
        <v>38</v>
      </c>
      <c r="N616">
        <v>41</v>
      </c>
      <c r="O616" t="s">
        <v>23</v>
      </c>
      <c r="P616">
        <v>3</v>
      </c>
      <c r="Q616" s="1">
        <v>21.22</v>
      </c>
      <c r="R616" s="2">
        <f t="shared" si="36"/>
        <v>13029</v>
      </c>
      <c r="S616" s="1">
        <f t="shared" si="37"/>
        <v>13.574420203788209</v>
      </c>
      <c r="T616" t="str">
        <f t="shared" si="38"/>
        <v>Expert</v>
      </c>
      <c r="U616" t="str">
        <f t="shared" si="39"/>
        <v>Medium Impact</v>
      </c>
    </row>
    <row r="617" spans="1:21" x14ac:dyDescent="0.3">
      <c r="A617" t="s">
        <v>1060</v>
      </c>
      <c r="B617">
        <v>35</v>
      </c>
      <c r="C617" t="s">
        <v>27</v>
      </c>
      <c r="D617" t="s">
        <v>28</v>
      </c>
      <c r="E617" t="s">
        <v>29</v>
      </c>
      <c r="F617" t="s">
        <v>104</v>
      </c>
      <c r="G617">
        <v>11</v>
      </c>
      <c r="H617" t="s">
        <v>22</v>
      </c>
      <c r="I617" t="s">
        <v>22</v>
      </c>
      <c r="J617" t="s">
        <v>23</v>
      </c>
      <c r="K617" s="2">
        <v>87184</v>
      </c>
      <c r="L617" s="2">
        <v>121304</v>
      </c>
      <c r="M617" t="s">
        <v>24</v>
      </c>
      <c r="N617">
        <v>49</v>
      </c>
      <c r="O617" t="s">
        <v>25</v>
      </c>
      <c r="P617">
        <v>5</v>
      </c>
      <c r="Q617" s="1">
        <v>21.2</v>
      </c>
      <c r="R617" s="2">
        <f t="shared" si="36"/>
        <v>34120</v>
      </c>
      <c r="S617" s="1">
        <f t="shared" si="37"/>
        <v>39.135621214901818</v>
      </c>
      <c r="T617" t="str">
        <f t="shared" si="38"/>
        <v>Intermediate</v>
      </c>
      <c r="U617" t="str">
        <f t="shared" si="39"/>
        <v>High Impact</v>
      </c>
    </row>
    <row r="618" spans="1:21" x14ac:dyDescent="0.3">
      <c r="A618" t="s">
        <v>439</v>
      </c>
      <c r="B618">
        <v>41</v>
      </c>
      <c r="C618" t="s">
        <v>54</v>
      </c>
      <c r="D618" t="s">
        <v>28</v>
      </c>
      <c r="E618" t="s">
        <v>51</v>
      </c>
      <c r="F618" t="s">
        <v>52</v>
      </c>
      <c r="G618">
        <v>15</v>
      </c>
      <c r="H618" t="s">
        <v>37</v>
      </c>
      <c r="I618" t="s">
        <v>37</v>
      </c>
      <c r="J618" t="s">
        <v>25</v>
      </c>
      <c r="K618" s="2">
        <v>117969</v>
      </c>
      <c r="L618" s="2">
        <v>117677</v>
      </c>
      <c r="M618" t="s">
        <v>38</v>
      </c>
      <c r="N618">
        <v>49</v>
      </c>
      <c r="O618" t="s">
        <v>23</v>
      </c>
      <c r="P618">
        <v>9</v>
      </c>
      <c r="Q618" s="1">
        <v>21.18</v>
      </c>
      <c r="R618" s="2">
        <f t="shared" si="36"/>
        <v>-292</v>
      </c>
      <c r="S618" s="1">
        <f t="shared" si="37"/>
        <v>-0.24752265425662676</v>
      </c>
      <c r="T618" t="str">
        <f t="shared" si="38"/>
        <v>Expert</v>
      </c>
      <c r="U618" t="str">
        <f t="shared" si="39"/>
        <v>Medium Impact</v>
      </c>
    </row>
    <row r="619" spans="1:21" x14ac:dyDescent="0.3">
      <c r="A619" t="s">
        <v>666</v>
      </c>
      <c r="B619">
        <v>54</v>
      </c>
      <c r="C619" t="s">
        <v>18</v>
      </c>
      <c r="D619" t="s">
        <v>28</v>
      </c>
      <c r="E619" t="s">
        <v>20</v>
      </c>
      <c r="F619" t="s">
        <v>88</v>
      </c>
      <c r="G619">
        <v>30</v>
      </c>
      <c r="H619" t="s">
        <v>37</v>
      </c>
      <c r="I619" t="s">
        <v>22</v>
      </c>
      <c r="J619" t="s">
        <v>25</v>
      </c>
      <c r="K619" s="2">
        <v>116795</v>
      </c>
      <c r="L619" s="2">
        <v>121053</v>
      </c>
      <c r="M619" t="s">
        <v>32</v>
      </c>
      <c r="N619">
        <v>40</v>
      </c>
      <c r="O619" t="s">
        <v>23</v>
      </c>
      <c r="P619">
        <v>5</v>
      </c>
      <c r="Q619" s="1">
        <v>21.14</v>
      </c>
      <c r="R619" s="2">
        <f t="shared" si="36"/>
        <v>4258</v>
      </c>
      <c r="S619" s="1">
        <f t="shared" si="37"/>
        <v>3.6457040113018535</v>
      </c>
      <c r="T619" t="str">
        <f t="shared" si="38"/>
        <v>Expert</v>
      </c>
      <c r="U619" t="str">
        <f t="shared" si="39"/>
        <v>Low Impact</v>
      </c>
    </row>
    <row r="620" spans="1:21" x14ac:dyDescent="0.3">
      <c r="A620" t="s">
        <v>2004</v>
      </c>
      <c r="B620">
        <v>47</v>
      </c>
      <c r="C620" t="s">
        <v>54</v>
      </c>
      <c r="D620" t="s">
        <v>34</v>
      </c>
      <c r="E620" t="s">
        <v>41</v>
      </c>
      <c r="F620" t="s">
        <v>55</v>
      </c>
      <c r="G620">
        <v>23</v>
      </c>
      <c r="H620" t="s">
        <v>37</v>
      </c>
      <c r="I620" t="s">
        <v>31</v>
      </c>
      <c r="J620" t="s">
        <v>23</v>
      </c>
      <c r="K620" s="2">
        <v>66509</v>
      </c>
      <c r="L620" s="2">
        <v>78192</v>
      </c>
      <c r="M620" t="s">
        <v>32</v>
      </c>
      <c r="N620">
        <v>46</v>
      </c>
      <c r="O620" t="s">
        <v>23</v>
      </c>
      <c r="P620">
        <v>9</v>
      </c>
      <c r="Q620" s="1">
        <v>21.14</v>
      </c>
      <c r="R620" s="2">
        <f t="shared" si="36"/>
        <v>11683</v>
      </c>
      <c r="S620" s="1">
        <f t="shared" si="37"/>
        <v>17.566043693334738</v>
      </c>
      <c r="T620" t="str">
        <f t="shared" si="38"/>
        <v>Expert</v>
      </c>
      <c r="U620" t="str">
        <f t="shared" si="39"/>
        <v>Low Impact</v>
      </c>
    </row>
    <row r="621" spans="1:21" x14ac:dyDescent="0.3">
      <c r="A621" t="s">
        <v>224</v>
      </c>
      <c r="B621">
        <v>47</v>
      </c>
      <c r="C621" t="s">
        <v>18</v>
      </c>
      <c r="D621" t="s">
        <v>34</v>
      </c>
      <c r="E621" t="s">
        <v>51</v>
      </c>
      <c r="F621" t="s">
        <v>52</v>
      </c>
      <c r="G621">
        <v>24</v>
      </c>
      <c r="H621" t="s">
        <v>31</v>
      </c>
      <c r="I621" t="s">
        <v>37</v>
      </c>
      <c r="J621" t="s">
        <v>25</v>
      </c>
      <c r="K621" s="2">
        <v>106908</v>
      </c>
      <c r="L621" s="2">
        <v>112647</v>
      </c>
      <c r="M621" t="s">
        <v>38</v>
      </c>
      <c r="N621">
        <v>40</v>
      </c>
      <c r="O621" t="s">
        <v>23</v>
      </c>
      <c r="P621">
        <v>4</v>
      </c>
      <c r="Q621" s="1">
        <v>20.99</v>
      </c>
      <c r="R621" s="2">
        <f t="shared" si="36"/>
        <v>5739</v>
      </c>
      <c r="S621" s="1">
        <f t="shared" si="37"/>
        <v>5.3681670221124707</v>
      </c>
      <c r="T621" t="str">
        <f t="shared" si="38"/>
        <v>Expert</v>
      </c>
      <c r="U621" t="str">
        <f t="shared" si="39"/>
        <v>Medium Impact</v>
      </c>
    </row>
    <row r="622" spans="1:21" x14ac:dyDescent="0.3">
      <c r="A622" t="s">
        <v>188</v>
      </c>
      <c r="B622">
        <v>25</v>
      </c>
      <c r="C622" t="s">
        <v>27</v>
      </c>
      <c r="D622" t="s">
        <v>40</v>
      </c>
      <c r="E622" t="s">
        <v>35</v>
      </c>
      <c r="F622" t="s">
        <v>98</v>
      </c>
      <c r="G622">
        <v>3</v>
      </c>
      <c r="H622" t="s">
        <v>22</v>
      </c>
      <c r="I622" t="s">
        <v>37</v>
      </c>
      <c r="J622" t="s">
        <v>25</v>
      </c>
      <c r="K622" s="2">
        <v>44060</v>
      </c>
      <c r="L622" s="2">
        <v>50800</v>
      </c>
      <c r="M622" t="s">
        <v>38</v>
      </c>
      <c r="N622">
        <v>42</v>
      </c>
      <c r="O622" t="s">
        <v>25</v>
      </c>
      <c r="P622">
        <v>9</v>
      </c>
      <c r="Q622" s="1">
        <v>20.98</v>
      </c>
      <c r="R622" s="2">
        <f t="shared" si="36"/>
        <v>6740</v>
      </c>
      <c r="S622" s="1">
        <f t="shared" si="37"/>
        <v>15.297321833862915</v>
      </c>
      <c r="T622" t="str">
        <f t="shared" si="38"/>
        <v>Beginner</v>
      </c>
      <c r="U622" t="str">
        <f t="shared" si="39"/>
        <v>Medium Impact</v>
      </c>
    </row>
    <row r="623" spans="1:21" x14ac:dyDescent="0.3">
      <c r="A623" t="s">
        <v>1033</v>
      </c>
      <c r="B623">
        <v>27</v>
      </c>
      <c r="C623" t="s">
        <v>18</v>
      </c>
      <c r="D623" t="s">
        <v>28</v>
      </c>
      <c r="E623" t="s">
        <v>29</v>
      </c>
      <c r="F623" t="s">
        <v>102</v>
      </c>
      <c r="G623">
        <v>5</v>
      </c>
      <c r="H623" t="s">
        <v>37</v>
      </c>
      <c r="I623" t="s">
        <v>22</v>
      </c>
      <c r="J623" t="s">
        <v>25</v>
      </c>
      <c r="K623" s="2">
        <v>58036</v>
      </c>
      <c r="L623" s="2">
        <v>58418</v>
      </c>
      <c r="M623" t="s">
        <v>32</v>
      </c>
      <c r="N623">
        <v>47</v>
      </c>
      <c r="O623" t="s">
        <v>23</v>
      </c>
      <c r="P623">
        <v>4</v>
      </c>
      <c r="Q623" s="1">
        <v>20.95</v>
      </c>
      <c r="R623" s="2">
        <f t="shared" si="36"/>
        <v>382</v>
      </c>
      <c r="S623" s="1">
        <f t="shared" si="37"/>
        <v>0.65821214418636709</v>
      </c>
      <c r="T623" t="str">
        <f t="shared" si="38"/>
        <v>Intermediate</v>
      </c>
      <c r="U623" t="str">
        <f t="shared" si="39"/>
        <v>Low Impact</v>
      </c>
    </row>
    <row r="624" spans="1:21" x14ac:dyDescent="0.3">
      <c r="A624" t="s">
        <v>1474</v>
      </c>
      <c r="B624">
        <v>59</v>
      </c>
      <c r="C624" t="s">
        <v>54</v>
      </c>
      <c r="D624" t="s">
        <v>34</v>
      </c>
      <c r="E624" t="s">
        <v>35</v>
      </c>
      <c r="F624" t="s">
        <v>98</v>
      </c>
      <c r="G624">
        <v>33</v>
      </c>
      <c r="H624" t="s">
        <v>31</v>
      </c>
      <c r="I624" t="s">
        <v>31</v>
      </c>
      <c r="J624" t="s">
        <v>25</v>
      </c>
      <c r="K624" s="2">
        <v>100077</v>
      </c>
      <c r="L624" s="2">
        <v>100681</v>
      </c>
      <c r="M624" t="s">
        <v>32</v>
      </c>
      <c r="N624">
        <v>39</v>
      </c>
      <c r="O624" t="s">
        <v>23</v>
      </c>
      <c r="P624">
        <v>5</v>
      </c>
      <c r="Q624" s="1">
        <v>20.89</v>
      </c>
      <c r="R624" s="2">
        <f t="shared" si="36"/>
        <v>604</v>
      </c>
      <c r="S624" s="1">
        <f t="shared" si="37"/>
        <v>0.6035352778360662</v>
      </c>
      <c r="T624" t="str">
        <f t="shared" si="38"/>
        <v>Expert</v>
      </c>
      <c r="U624" t="str">
        <f t="shared" si="39"/>
        <v>Low Impact</v>
      </c>
    </row>
    <row r="625" spans="1:21" x14ac:dyDescent="0.3">
      <c r="A625" t="s">
        <v>1843</v>
      </c>
      <c r="B625">
        <v>51</v>
      </c>
      <c r="C625" t="s">
        <v>54</v>
      </c>
      <c r="D625" t="s">
        <v>34</v>
      </c>
      <c r="E625" t="s">
        <v>51</v>
      </c>
      <c r="F625" t="s">
        <v>75</v>
      </c>
      <c r="G625">
        <v>27</v>
      </c>
      <c r="H625" t="s">
        <v>22</v>
      </c>
      <c r="I625" t="s">
        <v>37</v>
      </c>
      <c r="J625" t="s">
        <v>23</v>
      </c>
      <c r="K625" s="2">
        <v>104486</v>
      </c>
      <c r="L625" s="2">
        <v>88855</v>
      </c>
      <c r="M625" t="s">
        <v>38</v>
      </c>
      <c r="N625">
        <v>41</v>
      </c>
      <c r="O625" t="s">
        <v>23</v>
      </c>
      <c r="P625">
        <v>3</v>
      </c>
      <c r="Q625" s="1">
        <v>20.89</v>
      </c>
      <c r="R625" s="2">
        <f t="shared" si="36"/>
        <v>-15631</v>
      </c>
      <c r="S625" s="1">
        <f t="shared" si="37"/>
        <v>-14.959898933828455</v>
      </c>
      <c r="T625" t="str">
        <f t="shared" si="38"/>
        <v>Expert</v>
      </c>
      <c r="U625" t="str">
        <f t="shared" si="39"/>
        <v>Medium Impact</v>
      </c>
    </row>
    <row r="626" spans="1:21" x14ac:dyDescent="0.3">
      <c r="A626" t="s">
        <v>183</v>
      </c>
      <c r="B626">
        <v>34</v>
      </c>
      <c r="C626" t="s">
        <v>18</v>
      </c>
      <c r="D626" t="s">
        <v>28</v>
      </c>
      <c r="E626" t="s">
        <v>20</v>
      </c>
      <c r="F626" t="s">
        <v>88</v>
      </c>
      <c r="G626">
        <v>11</v>
      </c>
      <c r="H626" t="s">
        <v>31</v>
      </c>
      <c r="I626" t="s">
        <v>37</v>
      </c>
      <c r="J626" t="s">
        <v>23</v>
      </c>
      <c r="K626" s="2">
        <v>64387</v>
      </c>
      <c r="L626" s="2">
        <v>63626</v>
      </c>
      <c r="M626" t="s">
        <v>38</v>
      </c>
      <c r="N626">
        <v>51</v>
      </c>
      <c r="O626" t="s">
        <v>23</v>
      </c>
      <c r="P626">
        <v>3</v>
      </c>
      <c r="Q626" s="1">
        <v>20.89</v>
      </c>
      <c r="R626" s="2">
        <f t="shared" si="36"/>
        <v>-761</v>
      </c>
      <c r="S626" s="1">
        <f t="shared" si="37"/>
        <v>-1.1819156040815693</v>
      </c>
      <c r="T626" t="str">
        <f t="shared" si="38"/>
        <v>Intermediate</v>
      </c>
      <c r="U626" t="str">
        <f t="shared" si="39"/>
        <v>Medium Impact</v>
      </c>
    </row>
    <row r="627" spans="1:21" x14ac:dyDescent="0.3">
      <c r="A627" t="s">
        <v>1385</v>
      </c>
      <c r="B627">
        <v>33</v>
      </c>
      <c r="C627" t="s">
        <v>18</v>
      </c>
      <c r="D627" t="s">
        <v>19</v>
      </c>
      <c r="E627" t="s">
        <v>41</v>
      </c>
      <c r="F627" t="s">
        <v>42</v>
      </c>
      <c r="G627">
        <v>11</v>
      </c>
      <c r="H627" t="s">
        <v>22</v>
      </c>
      <c r="I627" t="s">
        <v>22</v>
      </c>
      <c r="J627" t="s">
        <v>25</v>
      </c>
      <c r="K627" s="2">
        <v>72722</v>
      </c>
      <c r="L627" s="2">
        <v>73330</v>
      </c>
      <c r="M627" t="s">
        <v>38</v>
      </c>
      <c r="N627">
        <v>46</v>
      </c>
      <c r="O627" t="s">
        <v>23</v>
      </c>
      <c r="P627">
        <v>3</v>
      </c>
      <c r="Q627" s="1">
        <v>20.86</v>
      </c>
      <c r="R627" s="2">
        <f t="shared" si="36"/>
        <v>608</v>
      </c>
      <c r="S627" s="1">
        <f t="shared" si="37"/>
        <v>0.83606061439454371</v>
      </c>
      <c r="T627" t="str">
        <f t="shared" si="38"/>
        <v>Intermediate</v>
      </c>
      <c r="U627" t="str">
        <f t="shared" si="39"/>
        <v>Medium Impact</v>
      </c>
    </row>
    <row r="628" spans="1:21" x14ac:dyDescent="0.3">
      <c r="A628" t="s">
        <v>1834</v>
      </c>
      <c r="B628">
        <v>42</v>
      </c>
      <c r="C628" t="s">
        <v>54</v>
      </c>
      <c r="D628" t="s">
        <v>28</v>
      </c>
      <c r="E628" t="s">
        <v>29</v>
      </c>
      <c r="F628" t="s">
        <v>30</v>
      </c>
      <c r="G628">
        <v>17</v>
      </c>
      <c r="H628" t="s">
        <v>37</v>
      </c>
      <c r="I628" t="s">
        <v>31</v>
      </c>
      <c r="J628" t="s">
        <v>23</v>
      </c>
      <c r="K628" s="2">
        <v>31942</v>
      </c>
      <c r="L628" s="2">
        <v>36904</v>
      </c>
      <c r="M628" t="s">
        <v>32</v>
      </c>
      <c r="N628">
        <v>41</v>
      </c>
      <c r="O628" t="s">
        <v>25</v>
      </c>
      <c r="P628">
        <v>4</v>
      </c>
      <c r="Q628" s="1">
        <v>20.86</v>
      </c>
      <c r="R628" s="2">
        <f t="shared" si="36"/>
        <v>4962</v>
      </c>
      <c r="S628" s="1">
        <f t="shared" si="37"/>
        <v>15.534406111076326</v>
      </c>
      <c r="T628" t="str">
        <f t="shared" si="38"/>
        <v>Expert</v>
      </c>
      <c r="U628" t="str">
        <f t="shared" si="39"/>
        <v>Low Impact</v>
      </c>
    </row>
    <row r="629" spans="1:21" x14ac:dyDescent="0.3">
      <c r="A629" t="s">
        <v>1437</v>
      </c>
      <c r="B629">
        <v>22</v>
      </c>
      <c r="C629" t="s">
        <v>27</v>
      </c>
      <c r="D629" t="s">
        <v>19</v>
      </c>
      <c r="E629" t="s">
        <v>29</v>
      </c>
      <c r="F629" t="s">
        <v>104</v>
      </c>
      <c r="G629">
        <v>0</v>
      </c>
      <c r="H629" t="s">
        <v>37</v>
      </c>
      <c r="I629" t="s">
        <v>22</v>
      </c>
      <c r="J629" t="s">
        <v>23</v>
      </c>
      <c r="K629" s="2">
        <v>116576</v>
      </c>
      <c r="L629" s="2">
        <v>113479</v>
      </c>
      <c r="M629" t="s">
        <v>32</v>
      </c>
      <c r="N629">
        <v>47</v>
      </c>
      <c r="O629" t="s">
        <v>23</v>
      </c>
      <c r="P629">
        <v>5</v>
      </c>
      <c r="Q629" s="1">
        <v>20.83</v>
      </c>
      <c r="R629" s="2">
        <f t="shared" si="36"/>
        <v>-3097</v>
      </c>
      <c r="S629" s="1">
        <f t="shared" si="37"/>
        <v>-2.6566360142739502</v>
      </c>
      <c r="T629" t="str">
        <f t="shared" si="38"/>
        <v>Beginner</v>
      </c>
      <c r="U629" t="str">
        <f t="shared" si="39"/>
        <v>Low Impact</v>
      </c>
    </row>
    <row r="630" spans="1:21" x14ac:dyDescent="0.3">
      <c r="A630" t="s">
        <v>344</v>
      </c>
      <c r="B630">
        <v>53</v>
      </c>
      <c r="C630" t="s">
        <v>54</v>
      </c>
      <c r="D630" t="s">
        <v>28</v>
      </c>
      <c r="E630" t="s">
        <v>29</v>
      </c>
      <c r="F630" t="s">
        <v>30</v>
      </c>
      <c r="G630">
        <v>27</v>
      </c>
      <c r="H630" t="s">
        <v>22</v>
      </c>
      <c r="I630" t="s">
        <v>31</v>
      </c>
      <c r="J630" t="s">
        <v>25</v>
      </c>
      <c r="K630" s="2">
        <v>86549</v>
      </c>
      <c r="L630" s="2">
        <v>100023</v>
      </c>
      <c r="M630" t="s">
        <v>32</v>
      </c>
      <c r="N630">
        <v>46</v>
      </c>
      <c r="O630" t="s">
        <v>23</v>
      </c>
      <c r="P630">
        <v>7</v>
      </c>
      <c r="Q630" s="1">
        <v>20.81</v>
      </c>
      <c r="R630" s="2">
        <f t="shared" si="36"/>
        <v>13474</v>
      </c>
      <c r="S630" s="1">
        <f t="shared" si="37"/>
        <v>15.568059711839535</v>
      </c>
      <c r="T630" t="str">
        <f t="shared" si="38"/>
        <v>Expert</v>
      </c>
      <c r="U630" t="str">
        <f t="shared" si="39"/>
        <v>Low Impact</v>
      </c>
    </row>
    <row r="631" spans="1:21" x14ac:dyDescent="0.3">
      <c r="A631" t="s">
        <v>263</v>
      </c>
      <c r="B631">
        <v>34</v>
      </c>
      <c r="C631" t="s">
        <v>27</v>
      </c>
      <c r="D631" t="s">
        <v>40</v>
      </c>
      <c r="E631" t="s">
        <v>35</v>
      </c>
      <c r="F631" t="s">
        <v>132</v>
      </c>
      <c r="G631">
        <v>10</v>
      </c>
      <c r="H631" t="s">
        <v>22</v>
      </c>
      <c r="I631" t="s">
        <v>22</v>
      </c>
      <c r="J631" t="s">
        <v>23</v>
      </c>
      <c r="K631" s="2">
        <v>81756</v>
      </c>
      <c r="L631" s="2">
        <v>99618</v>
      </c>
      <c r="M631" t="s">
        <v>38</v>
      </c>
      <c r="N631">
        <v>40</v>
      </c>
      <c r="O631" t="s">
        <v>23</v>
      </c>
      <c r="P631">
        <v>6</v>
      </c>
      <c r="Q631" s="1">
        <v>20.81</v>
      </c>
      <c r="R631" s="2">
        <f t="shared" si="36"/>
        <v>17862</v>
      </c>
      <c r="S631" s="1">
        <f t="shared" si="37"/>
        <v>21.847937766035518</v>
      </c>
      <c r="T631" t="str">
        <f t="shared" si="38"/>
        <v>Intermediate</v>
      </c>
      <c r="U631" t="str">
        <f t="shared" si="39"/>
        <v>Medium Impact</v>
      </c>
    </row>
    <row r="632" spans="1:21" x14ac:dyDescent="0.3">
      <c r="A632" t="s">
        <v>1539</v>
      </c>
      <c r="B632">
        <v>29</v>
      </c>
      <c r="C632" t="s">
        <v>27</v>
      </c>
      <c r="D632" t="s">
        <v>19</v>
      </c>
      <c r="E632" t="s">
        <v>20</v>
      </c>
      <c r="F632" t="s">
        <v>88</v>
      </c>
      <c r="G632">
        <v>7</v>
      </c>
      <c r="H632" t="s">
        <v>22</v>
      </c>
      <c r="I632" t="s">
        <v>31</v>
      </c>
      <c r="J632" t="s">
        <v>23</v>
      </c>
      <c r="K632" s="2">
        <v>109834</v>
      </c>
      <c r="L632" s="2">
        <v>139358</v>
      </c>
      <c r="M632" t="s">
        <v>32</v>
      </c>
      <c r="N632">
        <v>42</v>
      </c>
      <c r="O632" t="s">
        <v>25</v>
      </c>
      <c r="P632">
        <v>3</v>
      </c>
      <c r="Q632" s="1">
        <v>20.8</v>
      </c>
      <c r="R632" s="2">
        <f t="shared" si="36"/>
        <v>29524</v>
      </c>
      <c r="S632" s="1">
        <f t="shared" si="37"/>
        <v>26.880565216599596</v>
      </c>
      <c r="T632" t="str">
        <f t="shared" si="38"/>
        <v>Intermediate</v>
      </c>
      <c r="U632" t="str">
        <f t="shared" si="39"/>
        <v>Low Impact</v>
      </c>
    </row>
    <row r="633" spans="1:21" x14ac:dyDescent="0.3">
      <c r="A633" t="s">
        <v>1831</v>
      </c>
      <c r="B633">
        <v>39</v>
      </c>
      <c r="C633" t="s">
        <v>54</v>
      </c>
      <c r="D633" t="s">
        <v>19</v>
      </c>
      <c r="E633" t="s">
        <v>41</v>
      </c>
      <c r="F633" t="s">
        <v>55</v>
      </c>
      <c r="G633">
        <v>13</v>
      </c>
      <c r="H633" t="s">
        <v>37</v>
      </c>
      <c r="I633" t="s">
        <v>22</v>
      </c>
      <c r="J633" t="s">
        <v>23</v>
      </c>
      <c r="K633" s="2">
        <v>104095</v>
      </c>
      <c r="L633" s="2">
        <v>109924</v>
      </c>
      <c r="M633" t="s">
        <v>32</v>
      </c>
      <c r="N633">
        <v>54</v>
      </c>
      <c r="O633" t="s">
        <v>23</v>
      </c>
      <c r="P633">
        <v>7</v>
      </c>
      <c r="Q633" s="1">
        <v>20.8</v>
      </c>
      <c r="R633" s="2">
        <f t="shared" si="36"/>
        <v>5829</v>
      </c>
      <c r="S633" s="1">
        <f t="shared" si="37"/>
        <v>5.599692588500889</v>
      </c>
      <c r="T633" t="str">
        <f t="shared" si="38"/>
        <v>Intermediate</v>
      </c>
      <c r="U633" t="str">
        <f t="shared" si="39"/>
        <v>Low Impact</v>
      </c>
    </row>
    <row r="634" spans="1:21" x14ac:dyDescent="0.3">
      <c r="A634" t="s">
        <v>1621</v>
      </c>
      <c r="B634">
        <v>38</v>
      </c>
      <c r="C634" t="s">
        <v>54</v>
      </c>
      <c r="D634" t="s">
        <v>28</v>
      </c>
      <c r="E634" t="s">
        <v>41</v>
      </c>
      <c r="F634" t="s">
        <v>55</v>
      </c>
      <c r="G634">
        <v>14</v>
      </c>
      <c r="H634" t="s">
        <v>31</v>
      </c>
      <c r="I634" t="s">
        <v>22</v>
      </c>
      <c r="J634" t="s">
        <v>23</v>
      </c>
      <c r="K634" s="2">
        <v>95408</v>
      </c>
      <c r="L634" s="2">
        <v>99829</v>
      </c>
      <c r="M634" t="s">
        <v>32</v>
      </c>
      <c r="N634">
        <v>38</v>
      </c>
      <c r="O634" t="s">
        <v>23</v>
      </c>
      <c r="P634">
        <v>9</v>
      </c>
      <c r="Q634" s="1">
        <v>20.79</v>
      </c>
      <c r="R634" s="2">
        <f t="shared" si="36"/>
        <v>4421</v>
      </c>
      <c r="S634" s="1">
        <f t="shared" si="37"/>
        <v>4.6337833305383196</v>
      </c>
      <c r="T634" t="str">
        <f t="shared" si="38"/>
        <v>Intermediate</v>
      </c>
      <c r="U634" t="str">
        <f t="shared" si="39"/>
        <v>Low Impact</v>
      </c>
    </row>
    <row r="635" spans="1:21" x14ac:dyDescent="0.3">
      <c r="A635" t="s">
        <v>249</v>
      </c>
      <c r="B635">
        <v>36</v>
      </c>
      <c r="C635" t="s">
        <v>18</v>
      </c>
      <c r="D635" t="s">
        <v>28</v>
      </c>
      <c r="E635" t="s">
        <v>51</v>
      </c>
      <c r="F635" t="s">
        <v>130</v>
      </c>
      <c r="G635">
        <v>14</v>
      </c>
      <c r="H635" t="s">
        <v>31</v>
      </c>
      <c r="I635" t="s">
        <v>22</v>
      </c>
      <c r="J635" t="s">
        <v>23</v>
      </c>
      <c r="K635" s="2">
        <v>34494</v>
      </c>
      <c r="L635" s="2">
        <v>34757</v>
      </c>
      <c r="M635" t="s">
        <v>32</v>
      </c>
      <c r="N635">
        <v>46</v>
      </c>
      <c r="O635" t="s">
        <v>25</v>
      </c>
      <c r="P635">
        <v>5</v>
      </c>
      <c r="Q635" s="1">
        <v>20.78</v>
      </c>
      <c r="R635" s="2">
        <f t="shared" si="36"/>
        <v>263</v>
      </c>
      <c r="S635" s="1">
        <f t="shared" si="37"/>
        <v>0.76245144083028926</v>
      </c>
      <c r="T635" t="str">
        <f t="shared" si="38"/>
        <v>Intermediate</v>
      </c>
      <c r="U635" t="str">
        <f t="shared" si="39"/>
        <v>Low Impact</v>
      </c>
    </row>
    <row r="636" spans="1:21" x14ac:dyDescent="0.3">
      <c r="A636" t="s">
        <v>1829</v>
      </c>
      <c r="B636">
        <v>28</v>
      </c>
      <c r="C636" t="s">
        <v>27</v>
      </c>
      <c r="D636" t="s">
        <v>34</v>
      </c>
      <c r="E636" t="s">
        <v>59</v>
      </c>
      <c r="F636" t="s">
        <v>77</v>
      </c>
      <c r="G636">
        <v>5</v>
      </c>
      <c r="H636" t="s">
        <v>31</v>
      </c>
      <c r="I636" t="s">
        <v>31</v>
      </c>
      <c r="J636" t="s">
        <v>23</v>
      </c>
      <c r="K636" s="2">
        <v>113749</v>
      </c>
      <c r="L636" s="2">
        <v>120476</v>
      </c>
      <c r="M636" t="s">
        <v>32</v>
      </c>
      <c r="N636">
        <v>41</v>
      </c>
      <c r="O636" t="s">
        <v>23</v>
      </c>
      <c r="P636">
        <v>4</v>
      </c>
      <c r="Q636" s="1">
        <v>20.76</v>
      </c>
      <c r="R636" s="2">
        <f t="shared" si="36"/>
        <v>6727</v>
      </c>
      <c r="S636" s="1">
        <f t="shared" si="37"/>
        <v>5.9138981441595098</v>
      </c>
      <c r="T636" t="str">
        <f t="shared" si="38"/>
        <v>Intermediate</v>
      </c>
      <c r="U636" t="str">
        <f t="shared" si="39"/>
        <v>Low Impact</v>
      </c>
    </row>
    <row r="637" spans="1:21" x14ac:dyDescent="0.3">
      <c r="A637" t="s">
        <v>1646</v>
      </c>
      <c r="B637">
        <v>38</v>
      </c>
      <c r="C637" t="s">
        <v>18</v>
      </c>
      <c r="D637" t="s">
        <v>28</v>
      </c>
      <c r="E637" t="s">
        <v>20</v>
      </c>
      <c r="F637" t="s">
        <v>118</v>
      </c>
      <c r="G637">
        <v>13</v>
      </c>
      <c r="H637" t="s">
        <v>31</v>
      </c>
      <c r="I637" t="s">
        <v>31</v>
      </c>
      <c r="J637" t="s">
        <v>25</v>
      </c>
      <c r="K637" s="2">
        <v>58804</v>
      </c>
      <c r="L637" s="2">
        <v>61946</v>
      </c>
      <c r="M637" t="s">
        <v>32</v>
      </c>
      <c r="N637">
        <v>44</v>
      </c>
      <c r="O637" t="s">
        <v>25</v>
      </c>
      <c r="P637">
        <v>8</v>
      </c>
      <c r="Q637" s="1">
        <v>20.75</v>
      </c>
      <c r="R637" s="2">
        <f t="shared" si="36"/>
        <v>3142</v>
      </c>
      <c r="S637" s="1">
        <f t="shared" si="37"/>
        <v>5.3431739337460034</v>
      </c>
      <c r="T637" t="str">
        <f t="shared" si="38"/>
        <v>Intermediate</v>
      </c>
      <c r="U637" t="str">
        <f t="shared" si="39"/>
        <v>Low Impact</v>
      </c>
    </row>
    <row r="638" spans="1:21" x14ac:dyDescent="0.3">
      <c r="A638" t="s">
        <v>811</v>
      </c>
      <c r="B638">
        <v>33</v>
      </c>
      <c r="C638" t="s">
        <v>27</v>
      </c>
      <c r="D638" t="s">
        <v>19</v>
      </c>
      <c r="E638" t="s">
        <v>29</v>
      </c>
      <c r="F638" t="s">
        <v>102</v>
      </c>
      <c r="G638">
        <v>8</v>
      </c>
      <c r="H638" t="s">
        <v>31</v>
      </c>
      <c r="I638" t="s">
        <v>31</v>
      </c>
      <c r="J638" t="s">
        <v>25</v>
      </c>
      <c r="K638" s="2">
        <v>30692</v>
      </c>
      <c r="L638" s="2">
        <v>30056</v>
      </c>
      <c r="M638" t="s">
        <v>32</v>
      </c>
      <c r="N638">
        <v>47</v>
      </c>
      <c r="O638" t="s">
        <v>23</v>
      </c>
      <c r="P638">
        <v>8</v>
      </c>
      <c r="Q638" s="1">
        <v>20.71</v>
      </c>
      <c r="R638" s="2">
        <f t="shared" si="36"/>
        <v>-636</v>
      </c>
      <c r="S638" s="1">
        <f t="shared" si="37"/>
        <v>-2.072201225074938</v>
      </c>
      <c r="T638" t="str">
        <f t="shared" si="38"/>
        <v>Intermediate</v>
      </c>
      <c r="U638" t="str">
        <f t="shared" si="39"/>
        <v>Low Impact</v>
      </c>
    </row>
    <row r="639" spans="1:21" x14ac:dyDescent="0.3">
      <c r="A639" t="s">
        <v>737</v>
      </c>
      <c r="B639">
        <v>51</v>
      </c>
      <c r="C639" t="s">
        <v>54</v>
      </c>
      <c r="D639" t="s">
        <v>40</v>
      </c>
      <c r="E639" t="s">
        <v>51</v>
      </c>
      <c r="F639" t="s">
        <v>52</v>
      </c>
      <c r="G639">
        <v>28</v>
      </c>
      <c r="H639" t="s">
        <v>31</v>
      </c>
      <c r="I639" t="s">
        <v>22</v>
      </c>
      <c r="J639" t="s">
        <v>23</v>
      </c>
      <c r="K639" s="2">
        <v>57877</v>
      </c>
      <c r="L639" s="2">
        <v>59595</v>
      </c>
      <c r="M639" t="s">
        <v>32</v>
      </c>
      <c r="N639">
        <v>41</v>
      </c>
      <c r="O639" t="s">
        <v>25</v>
      </c>
      <c r="P639">
        <v>6</v>
      </c>
      <c r="Q639" s="1">
        <v>20.65</v>
      </c>
      <c r="R639" s="2">
        <f t="shared" si="36"/>
        <v>1718</v>
      </c>
      <c r="S639" s="1">
        <f t="shared" si="37"/>
        <v>2.9683639442265495</v>
      </c>
      <c r="T639" t="str">
        <f t="shared" si="38"/>
        <v>Expert</v>
      </c>
      <c r="U639" t="str">
        <f t="shared" si="39"/>
        <v>Low Impact</v>
      </c>
    </row>
    <row r="640" spans="1:21" x14ac:dyDescent="0.3">
      <c r="A640" t="s">
        <v>1491</v>
      </c>
      <c r="B640">
        <v>25</v>
      </c>
      <c r="C640" t="s">
        <v>54</v>
      </c>
      <c r="D640" t="s">
        <v>19</v>
      </c>
      <c r="E640" t="s">
        <v>29</v>
      </c>
      <c r="F640" t="s">
        <v>104</v>
      </c>
      <c r="G640">
        <v>2</v>
      </c>
      <c r="H640" t="s">
        <v>37</v>
      </c>
      <c r="I640" t="s">
        <v>22</v>
      </c>
      <c r="J640" t="s">
        <v>25</v>
      </c>
      <c r="K640" s="2">
        <v>47634</v>
      </c>
      <c r="L640" s="2">
        <v>53019</v>
      </c>
      <c r="M640" t="s">
        <v>32</v>
      </c>
      <c r="N640">
        <v>36</v>
      </c>
      <c r="O640" t="s">
        <v>23</v>
      </c>
      <c r="P640">
        <v>7</v>
      </c>
      <c r="Q640" s="1">
        <v>20.64</v>
      </c>
      <c r="R640" s="2">
        <f t="shared" si="36"/>
        <v>5385</v>
      </c>
      <c r="S640" s="1">
        <f t="shared" si="37"/>
        <v>11.304950245622875</v>
      </c>
      <c r="T640" t="str">
        <f t="shared" si="38"/>
        <v>Beginner</v>
      </c>
      <c r="U640" t="str">
        <f t="shared" si="39"/>
        <v>Low Impact</v>
      </c>
    </row>
    <row r="641" spans="1:21" x14ac:dyDescent="0.3">
      <c r="A641" t="s">
        <v>767</v>
      </c>
      <c r="B641">
        <v>32</v>
      </c>
      <c r="C641" t="s">
        <v>27</v>
      </c>
      <c r="D641" t="s">
        <v>40</v>
      </c>
      <c r="E641" t="s">
        <v>20</v>
      </c>
      <c r="F641" t="s">
        <v>118</v>
      </c>
      <c r="G641">
        <v>6</v>
      </c>
      <c r="H641" t="s">
        <v>31</v>
      </c>
      <c r="I641" t="s">
        <v>22</v>
      </c>
      <c r="J641" t="s">
        <v>25</v>
      </c>
      <c r="K641" s="2">
        <v>70130</v>
      </c>
      <c r="L641" s="2">
        <v>70035</v>
      </c>
      <c r="M641" t="s">
        <v>32</v>
      </c>
      <c r="N641">
        <v>51</v>
      </c>
      <c r="O641" t="s">
        <v>23</v>
      </c>
      <c r="P641">
        <v>8</v>
      </c>
      <c r="Q641" s="1">
        <v>20.59</v>
      </c>
      <c r="R641" s="2">
        <f t="shared" si="36"/>
        <v>-95</v>
      </c>
      <c r="S641" s="1">
        <f t="shared" si="37"/>
        <v>-0.13546271210608871</v>
      </c>
      <c r="T641" t="str">
        <f t="shared" si="38"/>
        <v>Intermediate</v>
      </c>
      <c r="U641" t="str">
        <f t="shared" si="39"/>
        <v>Low Impact</v>
      </c>
    </row>
    <row r="642" spans="1:21" x14ac:dyDescent="0.3">
      <c r="A642" t="s">
        <v>1201</v>
      </c>
      <c r="B642">
        <v>38</v>
      </c>
      <c r="C642" t="s">
        <v>27</v>
      </c>
      <c r="D642" t="s">
        <v>28</v>
      </c>
      <c r="E642" t="s">
        <v>20</v>
      </c>
      <c r="F642" t="s">
        <v>118</v>
      </c>
      <c r="G642">
        <v>12</v>
      </c>
      <c r="H642" t="s">
        <v>31</v>
      </c>
      <c r="I642" t="s">
        <v>31</v>
      </c>
      <c r="J642" t="s">
        <v>23</v>
      </c>
      <c r="K642" s="2">
        <v>53704</v>
      </c>
      <c r="L642" s="2">
        <v>54268</v>
      </c>
      <c r="M642" t="s">
        <v>32</v>
      </c>
      <c r="N642">
        <v>38</v>
      </c>
      <c r="O642" t="s">
        <v>23</v>
      </c>
      <c r="P642">
        <v>6</v>
      </c>
      <c r="Q642" s="1">
        <v>20.59</v>
      </c>
      <c r="R642" s="2">
        <f t="shared" ref="R642:R705" si="40">L642-K642</f>
        <v>564</v>
      </c>
      <c r="S642" s="1">
        <f t="shared" ref="S642:S705" si="41">(L642-K642)/K642*100</f>
        <v>1.0502011023387456</v>
      </c>
      <c r="T642" t="str">
        <f t="shared" ref="T642:T705" si="42">IF(G642&lt;5,"Beginner",IF(G642&lt;15,"Intermediate","Expert"))</f>
        <v>Intermediate</v>
      </c>
      <c r="U642" t="str">
        <f t="shared" ref="U642:U705" si="43">IF(M642="Replaced","High Impact",IF(M642="Modified","Medium Impact","Low Impact"))</f>
        <v>Low Impact</v>
      </c>
    </row>
    <row r="643" spans="1:21" x14ac:dyDescent="0.3">
      <c r="A643" t="s">
        <v>271</v>
      </c>
      <c r="B643">
        <v>47</v>
      </c>
      <c r="C643" t="s">
        <v>27</v>
      </c>
      <c r="D643" t="s">
        <v>34</v>
      </c>
      <c r="E643" t="s">
        <v>20</v>
      </c>
      <c r="F643" t="s">
        <v>21</v>
      </c>
      <c r="G643">
        <v>23</v>
      </c>
      <c r="H643" t="s">
        <v>37</v>
      </c>
      <c r="I643" t="s">
        <v>37</v>
      </c>
      <c r="J643" t="s">
        <v>25</v>
      </c>
      <c r="K643" s="2">
        <v>97889</v>
      </c>
      <c r="L643" s="2">
        <v>117177</v>
      </c>
      <c r="M643" t="s">
        <v>38</v>
      </c>
      <c r="N643">
        <v>46</v>
      </c>
      <c r="O643" t="s">
        <v>23</v>
      </c>
      <c r="P643">
        <v>6</v>
      </c>
      <c r="Q643" s="1">
        <v>20.56</v>
      </c>
      <c r="R643" s="2">
        <f t="shared" si="40"/>
        <v>19288</v>
      </c>
      <c r="S643" s="1">
        <f t="shared" si="41"/>
        <v>19.703950392791835</v>
      </c>
      <c r="T643" t="str">
        <f t="shared" si="42"/>
        <v>Expert</v>
      </c>
      <c r="U643" t="str">
        <f t="shared" si="43"/>
        <v>Medium Impact</v>
      </c>
    </row>
    <row r="644" spans="1:21" x14ac:dyDescent="0.3">
      <c r="A644" t="s">
        <v>1341</v>
      </c>
      <c r="B644">
        <v>32</v>
      </c>
      <c r="C644" t="s">
        <v>27</v>
      </c>
      <c r="D644" t="s">
        <v>19</v>
      </c>
      <c r="E644" t="s">
        <v>35</v>
      </c>
      <c r="F644" t="s">
        <v>36</v>
      </c>
      <c r="G644">
        <v>6</v>
      </c>
      <c r="H644" t="s">
        <v>31</v>
      </c>
      <c r="I644" t="s">
        <v>37</v>
      </c>
      <c r="J644" t="s">
        <v>25</v>
      </c>
      <c r="K644" s="2">
        <v>108287</v>
      </c>
      <c r="L644" s="2">
        <v>117506</v>
      </c>
      <c r="M644" t="s">
        <v>38</v>
      </c>
      <c r="N644">
        <v>46</v>
      </c>
      <c r="O644" t="s">
        <v>25</v>
      </c>
      <c r="P644">
        <v>5</v>
      </c>
      <c r="Q644" s="1">
        <v>20.45</v>
      </c>
      <c r="R644" s="2">
        <f t="shared" si="40"/>
        <v>9219</v>
      </c>
      <c r="S644" s="1">
        <f t="shared" si="41"/>
        <v>8.5134873068789414</v>
      </c>
      <c r="T644" t="str">
        <f t="shared" si="42"/>
        <v>Intermediate</v>
      </c>
      <c r="U644" t="str">
        <f t="shared" si="43"/>
        <v>Medium Impact</v>
      </c>
    </row>
    <row r="645" spans="1:21" x14ac:dyDescent="0.3">
      <c r="A645" t="s">
        <v>1572</v>
      </c>
      <c r="B645">
        <v>54</v>
      </c>
      <c r="C645" t="s">
        <v>54</v>
      </c>
      <c r="D645" t="s">
        <v>28</v>
      </c>
      <c r="E645" t="s">
        <v>51</v>
      </c>
      <c r="F645" t="s">
        <v>52</v>
      </c>
      <c r="G645">
        <v>29</v>
      </c>
      <c r="H645" t="s">
        <v>22</v>
      </c>
      <c r="I645" t="s">
        <v>31</v>
      </c>
      <c r="J645" t="s">
        <v>23</v>
      </c>
      <c r="K645" s="2">
        <v>31626</v>
      </c>
      <c r="L645" s="2">
        <v>41687</v>
      </c>
      <c r="M645" t="s">
        <v>32</v>
      </c>
      <c r="N645">
        <v>45</v>
      </c>
      <c r="O645" t="s">
        <v>23</v>
      </c>
      <c r="P645">
        <v>7</v>
      </c>
      <c r="Q645" s="1">
        <v>20.440000000000001</v>
      </c>
      <c r="R645" s="2">
        <f t="shared" si="40"/>
        <v>10061</v>
      </c>
      <c r="S645" s="1">
        <f t="shared" si="41"/>
        <v>31.812432808448744</v>
      </c>
      <c r="T645" t="str">
        <f t="shared" si="42"/>
        <v>Expert</v>
      </c>
      <c r="U645" t="str">
        <f t="shared" si="43"/>
        <v>Low Impact</v>
      </c>
    </row>
    <row r="646" spans="1:21" x14ac:dyDescent="0.3">
      <c r="A646" t="s">
        <v>2044</v>
      </c>
      <c r="B646">
        <v>27</v>
      </c>
      <c r="C646" t="s">
        <v>18</v>
      </c>
      <c r="D646" t="s">
        <v>19</v>
      </c>
      <c r="E646" t="s">
        <v>29</v>
      </c>
      <c r="F646" t="s">
        <v>30</v>
      </c>
      <c r="G646">
        <v>4</v>
      </c>
      <c r="H646" t="s">
        <v>37</v>
      </c>
      <c r="I646" t="s">
        <v>37</v>
      </c>
      <c r="J646" t="s">
        <v>23</v>
      </c>
      <c r="K646" s="2">
        <v>51159</v>
      </c>
      <c r="L646" s="2">
        <v>47581</v>
      </c>
      <c r="M646" t="s">
        <v>38</v>
      </c>
      <c r="N646">
        <v>38</v>
      </c>
      <c r="O646" t="s">
        <v>23</v>
      </c>
      <c r="P646">
        <v>7</v>
      </c>
      <c r="Q646" s="1">
        <v>20.420000000000002</v>
      </c>
      <c r="R646" s="2">
        <f t="shared" si="40"/>
        <v>-3578</v>
      </c>
      <c r="S646" s="1">
        <f t="shared" si="41"/>
        <v>-6.9938818194257122</v>
      </c>
      <c r="T646" t="str">
        <f t="shared" si="42"/>
        <v>Beginner</v>
      </c>
      <c r="U646" t="str">
        <f t="shared" si="43"/>
        <v>Medium Impact</v>
      </c>
    </row>
    <row r="647" spans="1:21" x14ac:dyDescent="0.3">
      <c r="A647" t="s">
        <v>536</v>
      </c>
      <c r="B647">
        <v>49</v>
      </c>
      <c r="C647" t="s">
        <v>18</v>
      </c>
      <c r="D647" t="s">
        <v>34</v>
      </c>
      <c r="E647" t="s">
        <v>35</v>
      </c>
      <c r="F647" t="s">
        <v>98</v>
      </c>
      <c r="G647">
        <v>23</v>
      </c>
      <c r="H647" t="s">
        <v>31</v>
      </c>
      <c r="I647" t="s">
        <v>37</v>
      </c>
      <c r="J647" t="s">
        <v>25</v>
      </c>
      <c r="K647" s="2">
        <v>63870</v>
      </c>
      <c r="L647" s="2">
        <v>61248</v>
      </c>
      <c r="M647" t="s">
        <v>38</v>
      </c>
      <c r="N647">
        <v>38</v>
      </c>
      <c r="O647" t="s">
        <v>23</v>
      </c>
      <c r="P647">
        <v>4</v>
      </c>
      <c r="Q647" s="1">
        <v>20.3</v>
      </c>
      <c r="R647" s="2">
        <f t="shared" si="40"/>
        <v>-2622</v>
      </c>
      <c r="S647" s="1">
        <f t="shared" si="41"/>
        <v>-4.1052137153593238</v>
      </c>
      <c r="T647" t="str">
        <f t="shared" si="42"/>
        <v>Expert</v>
      </c>
      <c r="U647" t="str">
        <f t="shared" si="43"/>
        <v>Medium Impact</v>
      </c>
    </row>
    <row r="648" spans="1:21" x14ac:dyDescent="0.3">
      <c r="A648" t="s">
        <v>336</v>
      </c>
      <c r="B648">
        <v>48</v>
      </c>
      <c r="C648" t="s">
        <v>27</v>
      </c>
      <c r="D648" t="s">
        <v>40</v>
      </c>
      <c r="E648" t="s">
        <v>44</v>
      </c>
      <c r="F648" t="s">
        <v>45</v>
      </c>
      <c r="G648">
        <v>22</v>
      </c>
      <c r="H648" t="s">
        <v>37</v>
      </c>
      <c r="I648" t="s">
        <v>31</v>
      </c>
      <c r="J648" t="s">
        <v>23</v>
      </c>
      <c r="K648" s="2">
        <v>85826</v>
      </c>
      <c r="L648" s="2">
        <v>99159</v>
      </c>
      <c r="M648" t="s">
        <v>32</v>
      </c>
      <c r="N648">
        <v>52</v>
      </c>
      <c r="O648" t="s">
        <v>23</v>
      </c>
      <c r="P648">
        <v>5</v>
      </c>
      <c r="Q648" s="1">
        <v>20.29</v>
      </c>
      <c r="R648" s="2">
        <f t="shared" si="40"/>
        <v>13333</v>
      </c>
      <c r="S648" s="1">
        <f t="shared" si="41"/>
        <v>15.53491948826696</v>
      </c>
      <c r="T648" t="str">
        <f t="shared" si="42"/>
        <v>Expert</v>
      </c>
      <c r="U648" t="str">
        <f t="shared" si="43"/>
        <v>Low Impact</v>
      </c>
    </row>
    <row r="649" spans="1:21" x14ac:dyDescent="0.3">
      <c r="A649" t="s">
        <v>1382</v>
      </c>
      <c r="B649">
        <v>52</v>
      </c>
      <c r="C649" t="s">
        <v>27</v>
      </c>
      <c r="D649" t="s">
        <v>34</v>
      </c>
      <c r="E649" t="s">
        <v>29</v>
      </c>
      <c r="F649" t="s">
        <v>104</v>
      </c>
      <c r="G649">
        <v>30</v>
      </c>
      <c r="H649" t="s">
        <v>37</v>
      </c>
      <c r="I649" t="s">
        <v>22</v>
      </c>
      <c r="J649" t="s">
        <v>23</v>
      </c>
      <c r="K649" s="2">
        <v>85918</v>
      </c>
      <c r="L649" s="2">
        <v>85578</v>
      </c>
      <c r="M649" t="s">
        <v>32</v>
      </c>
      <c r="N649">
        <v>50</v>
      </c>
      <c r="O649" t="s">
        <v>23</v>
      </c>
      <c r="P649">
        <v>9</v>
      </c>
      <c r="Q649" s="1">
        <v>20.22</v>
      </c>
      <c r="R649" s="2">
        <f t="shared" si="40"/>
        <v>-340</v>
      </c>
      <c r="S649" s="1">
        <f t="shared" si="41"/>
        <v>-0.39572615749901069</v>
      </c>
      <c r="T649" t="str">
        <f t="shared" si="42"/>
        <v>Expert</v>
      </c>
      <c r="U649" t="str">
        <f t="shared" si="43"/>
        <v>Low Impact</v>
      </c>
    </row>
    <row r="650" spans="1:21" x14ac:dyDescent="0.3">
      <c r="A650" t="s">
        <v>343</v>
      </c>
      <c r="B650">
        <v>25</v>
      </c>
      <c r="C650" t="s">
        <v>18</v>
      </c>
      <c r="D650" t="s">
        <v>19</v>
      </c>
      <c r="E650" t="s">
        <v>59</v>
      </c>
      <c r="F650" t="s">
        <v>93</v>
      </c>
      <c r="G650">
        <v>0</v>
      </c>
      <c r="H650" t="s">
        <v>31</v>
      </c>
      <c r="I650" t="s">
        <v>31</v>
      </c>
      <c r="J650" t="s">
        <v>23</v>
      </c>
      <c r="K650" s="2">
        <v>102240</v>
      </c>
      <c r="L650" s="2">
        <v>109885</v>
      </c>
      <c r="M650" t="s">
        <v>32</v>
      </c>
      <c r="N650">
        <v>46</v>
      </c>
      <c r="O650" t="s">
        <v>25</v>
      </c>
      <c r="P650">
        <v>5</v>
      </c>
      <c r="Q650" s="1">
        <v>20.18</v>
      </c>
      <c r="R650" s="2">
        <f t="shared" si="40"/>
        <v>7645</v>
      </c>
      <c r="S650" s="1">
        <f t="shared" si="41"/>
        <v>7.4775039123630673</v>
      </c>
      <c r="T650" t="str">
        <f t="shared" si="42"/>
        <v>Beginner</v>
      </c>
      <c r="U650" t="str">
        <f t="shared" si="43"/>
        <v>Low Impact</v>
      </c>
    </row>
    <row r="651" spans="1:21" x14ac:dyDescent="0.3">
      <c r="A651" t="s">
        <v>1082</v>
      </c>
      <c r="B651">
        <v>47</v>
      </c>
      <c r="C651" t="s">
        <v>18</v>
      </c>
      <c r="D651" t="s">
        <v>19</v>
      </c>
      <c r="E651" t="s">
        <v>59</v>
      </c>
      <c r="F651" t="s">
        <v>60</v>
      </c>
      <c r="G651">
        <v>21</v>
      </c>
      <c r="H651" t="s">
        <v>22</v>
      </c>
      <c r="I651" t="s">
        <v>22</v>
      </c>
      <c r="J651" t="s">
        <v>23</v>
      </c>
      <c r="K651" s="2">
        <v>65790</v>
      </c>
      <c r="L651" s="2">
        <v>86856</v>
      </c>
      <c r="M651" t="s">
        <v>38</v>
      </c>
      <c r="N651">
        <v>35</v>
      </c>
      <c r="O651" t="s">
        <v>25</v>
      </c>
      <c r="P651">
        <v>5</v>
      </c>
      <c r="Q651" s="1">
        <v>20.16</v>
      </c>
      <c r="R651" s="2">
        <f t="shared" si="40"/>
        <v>21066</v>
      </c>
      <c r="S651" s="1">
        <f t="shared" si="41"/>
        <v>32.020063839489282</v>
      </c>
      <c r="T651" t="str">
        <f t="shared" si="42"/>
        <v>Expert</v>
      </c>
      <c r="U651" t="str">
        <f t="shared" si="43"/>
        <v>Medium Impact</v>
      </c>
    </row>
    <row r="652" spans="1:21" x14ac:dyDescent="0.3">
      <c r="A652" t="s">
        <v>217</v>
      </c>
      <c r="B652">
        <v>53</v>
      </c>
      <c r="C652" t="s">
        <v>27</v>
      </c>
      <c r="D652" t="s">
        <v>28</v>
      </c>
      <c r="E652" t="s">
        <v>35</v>
      </c>
      <c r="F652" t="s">
        <v>36</v>
      </c>
      <c r="G652">
        <v>29</v>
      </c>
      <c r="H652" t="s">
        <v>37</v>
      </c>
      <c r="I652" t="s">
        <v>22</v>
      </c>
      <c r="J652" t="s">
        <v>25</v>
      </c>
      <c r="K652" s="2">
        <v>42175</v>
      </c>
      <c r="L652" s="2">
        <v>42982</v>
      </c>
      <c r="M652" t="s">
        <v>32</v>
      </c>
      <c r="N652">
        <v>48</v>
      </c>
      <c r="O652" t="s">
        <v>25</v>
      </c>
      <c r="P652">
        <v>9</v>
      </c>
      <c r="Q652" s="1">
        <v>20.09</v>
      </c>
      <c r="R652" s="2">
        <f t="shared" si="40"/>
        <v>807</v>
      </c>
      <c r="S652" s="1">
        <f t="shared" si="41"/>
        <v>1.9134558387670419</v>
      </c>
      <c r="T652" t="str">
        <f t="shared" si="42"/>
        <v>Expert</v>
      </c>
      <c r="U652" t="str">
        <f t="shared" si="43"/>
        <v>Low Impact</v>
      </c>
    </row>
    <row r="653" spans="1:21" x14ac:dyDescent="0.3">
      <c r="A653" t="s">
        <v>1931</v>
      </c>
      <c r="B653">
        <v>33</v>
      </c>
      <c r="C653" t="s">
        <v>18</v>
      </c>
      <c r="D653" t="s">
        <v>34</v>
      </c>
      <c r="E653" t="s">
        <v>20</v>
      </c>
      <c r="F653" t="s">
        <v>118</v>
      </c>
      <c r="G653">
        <v>9</v>
      </c>
      <c r="H653" t="s">
        <v>37</v>
      </c>
      <c r="I653" t="s">
        <v>22</v>
      </c>
      <c r="J653" t="s">
        <v>23</v>
      </c>
      <c r="K653" s="2">
        <v>53901</v>
      </c>
      <c r="L653" s="2">
        <v>52876</v>
      </c>
      <c r="M653" t="s">
        <v>32</v>
      </c>
      <c r="N653">
        <v>50</v>
      </c>
      <c r="O653" t="s">
        <v>25</v>
      </c>
      <c r="P653">
        <v>6</v>
      </c>
      <c r="Q653" s="1">
        <v>20.079999999999998</v>
      </c>
      <c r="R653" s="2">
        <f t="shared" si="40"/>
        <v>-1025</v>
      </c>
      <c r="S653" s="1">
        <f t="shared" si="41"/>
        <v>-1.9016344780245265</v>
      </c>
      <c r="T653" t="str">
        <f t="shared" si="42"/>
        <v>Intermediate</v>
      </c>
      <c r="U653" t="str">
        <f t="shared" si="43"/>
        <v>Low Impact</v>
      </c>
    </row>
    <row r="654" spans="1:21" x14ac:dyDescent="0.3">
      <c r="A654" t="s">
        <v>1103</v>
      </c>
      <c r="B654">
        <v>42</v>
      </c>
      <c r="C654" t="s">
        <v>27</v>
      </c>
      <c r="D654" t="s">
        <v>28</v>
      </c>
      <c r="E654" t="s">
        <v>20</v>
      </c>
      <c r="F654" t="s">
        <v>21</v>
      </c>
      <c r="G654">
        <v>16</v>
      </c>
      <c r="H654" t="s">
        <v>37</v>
      </c>
      <c r="I654" t="s">
        <v>37</v>
      </c>
      <c r="J654" t="s">
        <v>23</v>
      </c>
      <c r="K654" s="2">
        <v>53806</v>
      </c>
      <c r="L654" s="2">
        <v>61631</v>
      </c>
      <c r="M654" t="s">
        <v>38</v>
      </c>
      <c r="N654">
        <v>36</v>
      </c>
      <c r="O654" t="s">
        <v>25</v>
      </c>
      <c r="P654">
        <v>3</v>
      </c>
      <c r="Q654" s="1">
        <v>20.04</v>
      </c>
      <c r="R654" s="2">
        <f t="shared" si="40"/>
        <v>7825</v>
      </c>
      <c r="S654" s="1">
        <f t="shared" si="41"/>
        <v>14.542987770880572</v>
      </c>
      <c r="T654" t="str">
        <f t="shared" si="42"/>
        <v>Expert</v>
      </c>
      <c r="U654" t="str">
        <f t="shared" si="43"/>
        <v>Medium Impact</v>
      </c>
    </row>
    <row r="655" spans="1:21" x14ac:dyDescent="0.3">
      <c r="A655" t="s">
        <v>1126</v>
      </c>
      <c r="B655">
        <v>57</v>
      </c>
      <c r="C655" t="s">
        <v>27</v>
      </c>
      <c r="D655" t="s">
        <v>34</v>
      </c>
      <c r="E655" t="s">
        <v>44</v>
      </c>
      <c r="F655" t="s">
        <v>45</v>
      </c>
      <c r="G655">
        <v>33</v>
      </c>
      <c r="H655" t="s">
        <v>37</v>
      </c>
      <c r="I655" t="s">
        <v>31</v>
      </c>
      <c r="J655" t="s">
        <v>23</v>
      </c>
      <c r="K655" s="2">
        <v>112315</v>
      </c>
      <c r="L655" s="2">
        <v>120900</v>
      </c>
      <c r="M655" t="s">
        <v>32</v>
      </c>
      <c r="N655">
        <v>39</v>
      </c>
      <c r="O655" t="s">
        <v>25</v>
      </c>
      <c r="P655">
        <v>9</v>
      </c>
      <c r="Q655" s="1">
        <v>20.02</v>
      </c>
      <c r="R655" s="2">
        <f t="shared" si="40"/>
        <v>8585</v>
      </c>
      <c r="S655" s="1">
        <f t="shared" si="41"/>
        <v>7.6436807194052436</v>
      </c>
      <c r="T655" t="str">
        <f t="shared" si="42"/>
        <v>Expert</v>
      </c>
      <c r="U655" t="str">
        <f t="shared" si="43"/>
        <v>Low Impact</v>
      </c>
    </row>
    <row r="656" spans="1:21" x14ac:dyDescent="0.3">
      <c r="A656" t="s">
        <v>550</v>
      </c>
      <c r="B656">
        <v>53</v>
      </c>
      <c r="C656" t="s">
        <v>18</v>
      </c>
      <c r="D656" t="s">
        <v>19</v>
      </c>
      <c r="E656" t="s">
        <v>59</v>
      </c>
      <c r="F656" t="s">
        <v>60</v>
      </c>
      <c r="G656">
        <v>28</v>
      </c>
      <c r="H656" t="s">
        <v>22</v>
      </c>
      <c r="I656" t="s">
        <v>31</v>
      </c>
      <c r="J656" t="s">
        <v>23</v>
      </c>
      <c r="K656" s="2">
        <v>93069</v>
      </c>
      <c r="L656" s="2">
        <v>110228</v>
      </c>
      <c r="M656" t="s">
        <v>32</v>
      </c>
      <c r="N656">
        <v>54</v>
      </c>
      <c r="O656" t="s">
        <v>23</v>
      </c>
      <c r="P656">
        <v>4</v>
      </c>
      <c r="Q656" s="1">
        <v>20</v>
      </c>
      <c r="R656" s="2">
        <f t="shared" si="40"/>
        <v>17159</v>
      </c>
      <c r="S656" s="1">
        <f t="shared" si="41"/>
        <v>18.436858674746691</v>
      </c>
      <c r="T656" t="str">
        <f t="shared" si="42"/>
        <v>Expert</v>
      </c>
      <c r="U656" t="str">
        <f t="shared" si="43"/>
        <v>Low Impact</v>
      </c>
    </row>
    <row r="657" spans="1:21" x14ac:dyDescent="0.3">
      <c r="A657" t="s">
        <v>937</v>
      </c>
      <c r="B657">
        <v>31</v>
      </c>
      <c r="C657" t="s">
        <v>27</v>
      </c>
      <c r="D657" t="s">
        <v>34</v>
      </c>
      <c r="E657" t="s">
        <v>51</v>
      </c>
      <c r="F657" t="s">
        <v>75</v>
      </c>
      <c r="G657">
        <v>8</v>
      </c>
      <c r="H657" t="s">
        <v>22</v>
      </c>
      <c r="I657" t="s">
        <v>37</v>
      </c>
      <c r="J657" t="s">
        <v>23</v>
      </c>
      <c r="K657" s="2">
        <v>63541</v>
      </c>
      <c r="L657" s="2">
        <v>58153</v>
      </c>
      <c r="M657" t="s">
        <v>38</v>
      </c>
      <c r="N657">
        <v>46</v>
      </c>
      <c r="O657" t="s">
        <v>25</v>
      </c>
      <c r="P657">
        <v>3</v>
      </c>
      <c r="Q657" s="1">
        <v>20</v>
      </c>
      <c r="R657" s="2">
        <f t="shared" si="40"/>
        <v>-5388</v>
      </c>
      <c r="S657" s="1">
        <f t="shared" si="41"/>
        <v>-8.479564375757386</v>
      </c>
      <c r="T657" t="str">
        <f t="shared" si="42"/>
        <v>Intermediate</v>
      </c>
      <c r="U657" t="str">
        <f t="shared" si="43"/>
        <v>Medium Impact</v>
      </c>
    </row>
    <row r="658" spans="1:21" x14ac:dyDescent="0.3">
      <c r="A658" t="s">
        <v>1594</v>
      </c>
      <c r="B658">
        <v>33</v>
      </c>
      <c r="C658" t="s">
        <v>54</v>
      </c>
      <c r="D658" t="s">
        <v>19</v>
      </c>
      <c r="E658" t="s">
        <v>20</v>
      </c>
      <c r="F658" t="s">
        <v>118</v>
      </c>
      <c r="G658">
        <v>9</v>
      </c>
      <c r="H658" t="s">
        <v>22</v>
      </c>
      <c r="I658" t="s">
        <v>31</v>
      </c>
      <c r="J658" t="s">
        <v>23</v>
      </c>
      <c r="K658" s="2">
        <v>32365</v>
      </c>
      <c r="L658" s="2">
        <v>41038</v>
      </c>
      <c r="M658" t="s">
        <v>32</v>
      </c>
      <c r="N658">
        <v>47</v>
      </c>
      <c r="O658" t="s">
        <v>25</v>
      </c>
      <c r="P658">
        <v>7</v>
      </c>
      <c r="Q658" s="1">
        <v>20</v>
      </c>
      <c r="R658" s="2">
        <f t="shared" si="40"/>
        <v>8673</v>
      </c>
      <c r="S658" s="1">
        <f t="shared" si="41"/>
        <v>26.797466398887686</v>
      </c>
      <c r="T658" t="str">
        <f t="shared" si="42"/>
        <v>Intermediate</v>
      </c>
      <c r="U658" t="str">
        <f t="shared" si="43"/>
        <v>Low Impact</v>
      </c>
    </row>
    <row r="659" spans="1:21" x14ac:dyDescent="0.3">
      <c r="A659" t="s">
        <v>347</v>
      </c>
      <c r="B659">
        <v>51</v>
      </c>
      <c r="C659" t="s">
        <v>54</v>
      </c>
      <c r="D659" t="s">
        <v>40</v>
      </c>
      <c r="E659" t="s">
        <v>41</v>
      </c>
      <c r="F659" t="s">
        <v>42</v>
      </c>
      <c r="G659">
        <v>29</v>
      </c>
      <c r="H659" t="s">
        <v>22</v>
      </c>
      <c r="I659" t="s">
        <v>31</v>
      </c>
      <c r="J659" t="s">
        <v>25</v>
      </c>
      <c r="K659" s="2">
        <v>98619</v>
      </c>
      <c r="L659" s="2">
        <v>99461</v>
      </c>
      <c r="M659" t="s">
        <v>32</v>
      </c>
      <c r="N659">
        <v>54</v>
      </c>
      <c r="O659" t="s">
        <v>25</v>
      </c>
      <c r="P659">
        <v>5</v>
      </c>
      <c r="Q659" s="1">
        <v>19.89</v>
      </c>
      <c r="R659" s="2">
        <f t="shared" si="40"/>
        <v>842</v>
      </c>
      <c r="S659" s="1">
        <f t="shared" si="41"/>
        <v>0.85379085166144464</v>
      </c>
      <c r="T659" t="str">
        <f t="shared" si="42"/>
        <v>Expert</v>
      </c>
      <c r="U659" t="str">
        <f t="shared" si="43"/>
        <v>Low Impact</v>
      </c>
    </row>
    <row r="660" spans="1:21" x14ac:dyDescent="0.3">
      <c r="A660" t="s">
        <v>2023</v>
      </c>
      <c r="B660">
        <v>34</v>
      </c>
      <c r="C660" t="s">
        <v>27</v>
      </c>
      <c r="D660" t="s">
        <v>19</v>
      </c>
      <c r="E660" t="s">
        <v>59</v>
      </c>
      <c r="F660" t="s">
        <v>93</v>
      </c>
      <c r="G660">
        <v>12</v>
      </c>
      <c r="H660" t="s">
        <v>22</v>
      </c>
      <c r="I660" t="s">
        <v>31</v>
      </c>
      <c r="J660" t="s">
        <v>23</v>
      </c>
      <c r="K660" s="2">
        <v>111032</v>
      </c>
      <c r="L660" s="2">
        <v>97608</v>
      </c>
      <c r="M660" t="s">
        <v>32</v>
      </c>
      <c r="N660">
        <v>35</v>
      </c>
      <c r="O660" t="s">
        <v>25</v>
      </c>
      <c r="P660">
        <v>4</v>
      </c>
      <c r="Q660" s="1">
        <v>19.86</v>
      </c>
      <c r="R660" s="2">
        <f t="shared" si="40"/>
        <v>-13424</v>
      </c>
      <c r="S660" s="1">
        <f t="shared" si="41"/>
        <v>-12.09020822825852</v>
      </c>
      <c r="T660" t="str">
        <f t="shared" si="42"/>
        <v>Intermediate</v>
      </c>
      <c r="U660" t="str">
        <f t="shared" si="43"/>
        <v>Low Impact</v>
      </c>
    </row>
    <row r="661" spans="1:21" x14ac:dyDescent="0.3">
      <c r="A661" t="s">
        <v>1485</v>
      </c>
      <c r="B661">
        <v>56</v>
      </c>
      <c r="C661" t="s">
        <v>18</v>
      </c>
      <c r="D661" t="s">
        <v>34</v>
      </c>
      <c r="E661" t="s">
        <v>29</v>
      </c>
      <c r="F661" t="s">
        <v>30</v>
      </c>
      <c r="G661">
        <v>34</v>
      </c>
      <c r="H661" t="s">
        <v>22</v>
      </c>
      <c r="I661" t="s">
        <v>37</v>
      </c>
      <c r="J661" t="s">
        <v>23</v>
      </c>
      <c r="K661" s="2">
        <v>113108</v>
      </c>
      <c r="L661" s="2">
        <v>116088</v>
      </c>
      <c r="M661" t="s">
        <v>38</v>
      </c>
      <c r="N661">
        <v>48</v>
      </c>
      <c r="O661" t="s">
        <v>25</v>
      </c>
      <c r="P661">
        <v>3</v>
      </c>
      <c r="Q661" s="1">
        <v>19.84</v>
      </c>
      <c r="R661" s="2">
        <f t="shared" si="40"/>
        <v>2980</v>
      </c>
      <c r="S661" s="1">
        <f t="shared" si="41"/>
        <v>2.6346500689606396</v>
      </c>
      <c r="T661" t="str">
        <f t="shared" si="42"/>
        <v>Expert</v>
      </c>
      <c r="U661" t="str">
        <f t="shared" si="43"/>
        <v>Medium Impact</v>
      </c>
    </row>
    <row r="662" spans="1:21" x14ac:dyDescent="0.3">
      <c r="A662" t="s">
        <v>967</v>
      </c>
      <c r="B662">
        <v>26</v>
      </c>
      <c r="C662" t="s">
        <v>54</v>
      </c>
      <c r="D662" t="s">
        <v>40</v>
      </c>
      <c r="E662" t="s">
        <v>51</v>
      </c>
      <c r="F662" t="s">
        <v>75</v>
      </c>
      <c r="G662">
        <v>3</v>
      </c>
      <c r="H662" t="s">
        <v>37</v>
      </c>
      <c r="I662" t="s">
        <v>37</v>
      </c>
      <c r="J662" t="s">
        <v>23</v>
      </c>
      <c r="K662" s="2">
        <v>49177</v>
      </c>
      <c r="L662" s="2">
        <v>49708</v>
      </c>
      <c r="M662" t="s">
        <v>38</v>
      </c>
      <c r="N662">
        <v>51</v>
      </c>
      <c r="O662" t="s">
        <v>23</v>
      </c>
      <c r="P662">
        <v>5</v>
      </c>
      <c r="Q662" s="1">
        <v>19.82</v>
      </c>
      <c r="R662" s="2">
        <f t="shared" si="40"/>
        <v>531</v>
      </c>
      <c r="S662" s="1">
        <f t="shared" si="41"/>
        <v>1.0797730646440409</v>
      </c>
      <c r="T662" t="str">
        <f t="shared" si="42"/>
        <v>Beginner</v>
      </c>
      <c r="U662" t="str">
        <f t="shared" si="43"/>
        <v>Medium Impact</v>
      </c>
    </row>
    <row r="663" spans="1:21" x14ac:dyDescent="0.3">
      <c r="A663" t="s">
        <v>1999</v>
      </c>
      <c r="B663">
        <v>53</v>
      </c>
      <c r="C663" t="s">
        <v>27</v>
      </c>
      <c r="D663" t="s">
        <v>34</v>
      </c>
      <c r="E663" t="s">
        <v>51</v>
      </c>
      <c r="F663" t="s">
        <v>75</v>
      </c>
      <c r="G663">
        <v>27</v>
      </c>
      <c r="H663" t="s">
        <v>22</v>
      </c>
      <c r="I663" t="s">
        <v>37</v>
      </c>
      <c r="J663" t="s">
        <v>23</v>
      </c>
      <c r="K663" s="2">
        <v>103678</v>
      </c>
      <c r="L663" s="2">
        <v>94116</v>
      </c>
      <c r="M663" t="s">
        <v>38</v>
      </c>
      <c r="N663">
        <v>51</v>
      </c>
      <c r="O663" t="s">
        <v>25</v>
      </c>
      <c r="P663">
        <v>6</v>
      </c>
      <c r="Q663" s="1">
        <v>19.760000000000002</v>
      </c>
      <c r="R663" s="2">
        <f t="shared" si="40"/>
        <v>-9562</v>
      </c>
      <c r="S663" s="1">
        <f t="shared" si="41"/>
        <v>-9.2227859333706288</v>
      </c>
      <c r="T663" t="str">
        <f t="shared" si="42"/>
        <v>Expert</v>
      </c>
      <c r="U663" t="str">
        <f t="shared" si="43"/>
        <v>Medium Impact</v>
      </c>
    </row>
    <row r="664" spans="1:21" x14ac:dyDescent="0.3">
      <c r="A664" t="s">
        <v>1408</v>
      </c>
      <c r="B664">
        <v>46</v>
      </c>
      <c r="C664" t="s">
        <v>27</v>
      </c>
      <c r="D664" t="s">
        <v>34</v>
      </c>
      <c r="E664" t="s">
        <v>29</v>
      </c>
      <c r="F664" t="s">
        <v>30</v>
      </c>
      <c r="G664">
        <v>21</v>
      </c>
      <c r="H664" t="s">
        <v>22</v>
      </c>
      <c r="I664" t="s">
        <v>22</v>
      </c>
      <c r="J664" t="s">
        <v>23</v>
      </c>
      <c r="K664" s="2">
        <v>31212</v>
      </c>
      <c r="L664" s="2">
        <v>30637</v>
      </c>
      <c r="M664" t="s">
        <v>38</v>
      </c>
      <c r="N664">
        <v>46</v>
      </c>
      <c r="O664" t="s">
        <v>23</v>
      </c>
      <c r="P664">
        <v>3</v>
      </c>
      <c r="Q664" s="1">
        <v>19.739999999999998</v>
      </c>
      <c r="R664" s="2">
        <f t="shared" si="40"/>
        <v>-575</v>
      </c>
      <c r="S664" s="1">
        <f t="shared" si="41"/>
        <v>-1.8422401640394721</v>
      </c>
      <c r="T664" t="str">
        <f t="shared" si="42"/>
        <v>Expert</v>
      </c>
      <c r="U664" t="str">
        <f t="shared" si="43"/>
        <v>Medium Impact</v>
      </c>
    </row>
    <row r="665" spans="1:21" x14ac:dyDescent="0.3">
      <c r="A665" t="s">
        <v>261</v>
      </c>
      <c r="B665">
        <v>50</v>
      </c>
      <c r="C665" t="s">
        <v>27</v>
      </c>
      <c r="D665" t="s">
        <v>19</v>
      </c>
      <c r="E665" t="s">
        <v>44</v>
      </c>
      <c r="F665" t="s">
        <v>45</v>
      </c>
      <c r="G665">
        <v>26</v>
      </c>
      <c r="H665" t="s">
        <v>22</v>
      </c>
      <c r="I665" t="s">
        <v>31</v>
      </c>
      <c r="J665" t="s">
        <v>25</v>
      </c>
      <c r="K665" s="2">
        <v>49129</v>
      </c>
      <c r="L665" s="2">
        <v>56144</v>
      </c>
      <c r="M665" t="s">
        <v>32</v>
      </c>
      <c r="N665">
        <v>42</v>
      </c>
      <c r="O665" t="s">
        <v>25</v>
      </c>
      <c r="P665">
        <v>5</v>
      </c>
      <c r="Q665" s="1">
        <v>19.73</v>
      </c>
      <c r="R665" s="2">
        <f t="shared" si="40"/>
        <v>7015</v>
      </c>
      <c r="S665" s="1">
        <f t="shared" si="41"/>
        <v>14.278735573693746</v>
      </c>
      <c r="T665" t="str">
        <f t="shared" si="42"/>
        <v>Expert</v>
      </c>
      <c r="U665" t="str">
        <f t="shared" si="43"/>
        <v>Low Impact</v>
      </c>
    </row>
    <row r="666" spans="1:21" x14ac:dyDescent="0.3">
      <c r="A666" t="s">
        <v>730</v>
      </c>
      <c r="B666">
        <v>36</v>
      </c>
      <c r="C666" t="s">
        <v>27</v>
      </c>
      <c r="D666" t="s">
        <v>28</v>
      </c>
      <c r="E666" t="s">
        <v>51</v>
      </c>
      <c r="F666" t="s">
        <v>75</v>
      </c>
      <c r="G666">
        <v>12</v>
      </c>
      <c r="H666" t="s">
        <v>31</v>
      </c>
      <c r="I666" t="s">
        <v>22</v>
      </c>
      <c r="J666" t="s">
        <v>25</v>
      </c>
      <c r="K666" s="2">
        <v>83822</v>
      </c>
      <c r="L666" s="2">
        <v>91430</v>
      </c>
      <c r="M666" t="s">
        <v>32</v>
      </c>
      <c r="N666">
        <v>51</v>
      </c>
      <c r="O666" t="s">
        <v>25</v>
      </c>
      <c r="P666">
        <v>5</v>
      </c>
      <c r="Q666" s="1">
        <v>19.71</v>
      </c>
      <c r="R666" s="2">
        <f t="shared" si="40"/>
        <v>7608</v>
      </c>
      <c r="S666" s="1">
        <f t="shared" si="41"/>
        <v>9.0763761303715018</v>
      </c>
      <c r="T666" t="str">
        <f t="shared" si="42"/>
        <v>Intermediate</v>
      </c>
      <c r="U666" t="str">
        <f t="shared" si="43"/>
        <v>Low Impact</v>
      </c>
    </row>
    <row r="667" spans="1:21" x14ac:dyDescent="0.3">
      <c r="A667" t="s">
        <v>1423</v>
      </c>
      <c r="B667">
        <v>52</v>
      </c>
      <c r="C667" t="s">
        <v>54</v>
      </c>
      <c r="D667" t="s">
        <v>40</v>
      </c>
      <c r="E667" t="s">
        <v>20</v>
      </c>
      <c r="F667" t="s">
        <v>88</v>
      </c>
      <c r="G667">
        <v>27</v>
      </c>
      <c r="H667" t="s">
        <v>22</v>
      </c>
      <c r="I667" t="s">
        <v>31</v>
      </c>
      <c r="J667" t="s">
        <v>23</v>
      </c>
      <c r="K667" s="2">
        <v>47573</v>
      </c>
      <c r="L667" s="2">
        <v>53135</v>
      </c>
      <c r="M667" t="s">
        <v>32</v>
      </c>
      <c r="N667">
        <v>37</v>
      </c>
      <c r="O667" t="s">
        <v>25</v>
      </c>
      <c r="P667">
        <v>7</v>
      </c>
      <c r="Q667" s="1">
        <v>19.71</v>
      </c>
      <c r="R667" s="2">
        <f t="shared" si="40"/>
        <v>5562</v>
      </c>
      <c r="S667" s="1">
        <f t="shared" si="41"/>
        <v>11.69150568599836</v>
      </c>
      <c r="T667" t="str">
        <f t="shared" si="42"/>
        <v>Expert</v>
      </c>
      <c r="U667" t="str">
        <f t="shared" si="43"/>
        <v>Low Impact</v>
      </c>
    </row>
    <row r="668" spans="1:21" x14ac:dyDescent="0.3">
      <c r="A668" t="s">
        <v>1538</v>
      </c>
      <c r="B668">
        <v>36</v>
      </c>
      <c r="C668" t="s">
        <v>27</v>
      </c>
      <c r="D668" t="s">
        <v>19</v>
      </c>
      <c r="E668" t="s">
        <v>20</v>
      </c>
      <c r="F668" t="s">
        <v>21</v>
      </c>
      <c r="G668">
        <v>10</v>
      </c>
      <c r="H668" t="s">
        <v>37</v>
      </c>
      <c r="I668" t="s">
        <v>31</v>
      </c>
      <c r="J668" t="s">
        <v>23</v>
      </c>
      <c r="K668" s="2">
        <v>79725</v>
      </c>
      <c r="L668" s="2">
        <v>90739</v>
      </c>
      <c r="M668" t="s">
        <v>32</v>
      </c>
      <c r="N668">
        <v>41</v>
      </c>
      <c r="O668" t="s">
        <v>23</v>
      </c>
      <c r="P668">
        <v>4</v>
      </c>
      <c r="Q668" s="1">
        <v>19.68</v>
      </c>
      <c r="R668" s="2">
        <f t="shared" si="40"/>
        <v>11014</v>
      </c>
      <c r="S668" s="1">
        <f t="shared" si="41"/>
        <v>13.814989024772656</v>
      </c>
      <c r="T668" t="str">
        <f t="shared" si="42"/>
        <v>Intermediate</v>
      </c>
      <c r="U668" t="str">
        <f t="shared" si="43"/>
        <v>Low Impact</v>
      </c>
    </row>
    <row r="669" spans="1:21" x14ac:dyDescent="0.3">
      <c r="A669" t="s">
        <v>1636</v>
      </c>
      <c r="B669">
        <v>48</v>
      </c>
      <c r="C669" t="s">
        <v>27</v>
      </c>
      <c r="D669" t="s">
        <v>19</v>
      </c>
      <c r="E669" t="s">
        <v>20</v>
      </c>
      <c r="F669" t="s">
        <v>88</v>
      </c>
      <c r="G669">
        <v>22</v>
      </c>
      <c r="H669" t="s">
        <v>37</v>
      </c>
      <c r="I669" t="s">
        <v>37</v>
      </c>
      <c r="J669" t="s">
        <v>25</v>
      </c>
      <c r="K669" s="2">
        <v>102356</v>
      </c>
      <c r="L669" s="2">
        <v>95402</v>
      </c>
      <c r="M669" t="s">
        <v>38</v>
      </c>
      <c r="N669">
        <v>41</v>
      </c>
      <c r="O669" t="s">
        <v>23</v>
      </c>
      <c r="P669">
        <v>4</v>
      </c>
      <c r="Q669" s="1">
        <v>19.61</v>
      </c>
      <c r="R669" s="2">
        <f t="shared" si="40"/>
        <v>-6954</v>
      </c>
      <c r="S669" s="1">
        <f t="shared" si="41"/>
        <v>-6.7939348938997224</v>
      </c>
      <c r="T669" t="str">
        <f t="shared" si="42"/>
        <v>Expert</v>
      </c>
      <c r="U669" t="str">
        <f t="shared" si="43"/>
        <v>Medium Impact</v>
      </c>
    </row>
    <row r="670" spans="1:21" x14ac:dyDescent="0.3">
      <c r="A670" t="s">
        <v>1449</v>
      </c>
      <c r="B670">
        <v>34</v>
      </c>
      <c r="C670" t="s">
        <v>18</v>
      </c>
      <c r="D670" t="s">
        <v>19</v>
      </c>
      <c r="E670" t="s">
        <v>29</v>
      </c>
      <c r="F670" t="s">
        <v>102</v>
      </c>
      <c r="G670">
        <v>8</v>
      </c>
      <c r="H670" t="s">
        <v>31</v>
      </c>
      <c r="I670" t="s">
        <v>31</v>
      </c>
      <c r="J670" t="s">
        <v>25</v>
      </c>
      <c r="K670" s="2">
        <v>93138</v>
      </c>
      <c r="L670" s="2">
        <v>92639</v>
      </c>
      <c r="M670" t="s">
        <v>32</v>
      </c>
      <c r="N670">
        <v>43</v>
      </c>
      <c r="O670" t="s">
        <v>25</v>
      </c>
      <c r="P670">
        <v>8</v>
      </c>
      <c r="Q670" s="1">
        <v>19.59</v>
      </c>
      <c r="R670" s="2">
        <f t="shared" si="40"/>
        <v>-499</v>
      </c>
      <c r="S670" s="1">
        <f t="shared" si="41"/>
        <v>-0.53576413493955211</v>
      </c>
      <c r="T670" t="str">
        <f t="shared" si="42"/>
        <v>Intermediate</v>
      </c>
      <c r="U670" t="str">
        <f t="shared" si="43"/>
        <v>Low Impact</v>
      </c>
    </row>
    <row r="671" spans="1:21" x14ac:dyDescent="0.3">
      <c r="A671" t="s">
        <v>1919</v>
      </c>
      <c r="B671">
        <v>55</v>
      </c>
      <c r="C671" t="s">
        <v>54</v>
      </c>
      <c r="D671" t="s">
        <v>28</v>
      </c>
      <c r="E671" t="s">
        <v>29</v>
      </c>
      <c r="F671" t="s">
        <v>104</v>
      </c>
      <c r="G671">
        <v>31</v>
      </c>
      <c r="H671" t="s">
        <v>22</v>
      </c>
      <c r="I671" t="s">
        <v>37</v>
      </c>
      <c r="J671" t="s">
        <v>23</v>
      </c>
      <c r="K671" s="2">
        <v>96480</v>
      </c>
      <c r="L671" s="2">
        <v>82620</v>
      </c>
      <c r="M671" t="s">
        <v>38</v>
      </c>
      <c r="N671">
        <v>41</v>
      </c>
      <c r="O671" t="s">
        <v>25</v>
      </c>
      <c r="P671">
        <v>5</v>
      </c>
      <c r="Q671" s="1">
        <v>19.559999999999999</v>
      </c>
      <c r="R671" s="2">
        <f t="shared" si="40"/>
        <v>-13860</v>
      </c>
      <c r="S671" s="1">
        <f t="shared" si="41"/>
        <v>-14.365671641791044</v>
      </c>
      <c r="T671" t="str">
        <f t="shared" si="42"/>
        <v>Expert</v>
      </c>
      <c r="U671" t="str">
        <f t="shared" si="43"/>
        <v>Medium Impact</v>
      </c>
    </row>
    <row r="672" spans="1:21" x14ac:dyDescent="0.3">
      <c r="A672" t="s">
        <v>1892</v>
      </c>
      <c r="B672">
        <v>41</v>
      </c>
      <c r="C672" t="s">
        <v>18</v>
      </c>
      <c r="D672" t="s">
        <v>28</v>
      </c>
      <c r="E672" t="s">
        <v>29</v>
      </c>
      <c r="F672" t="s">
        <v>30</v>
      </c>
      <c r="G672">
        <v>19</v>
      </c>
      <c r="H672" t="s">
        <v>31</v>
      </c>
      <c r="I672" t="s">
        <v>31</v>
      </c>
      <c r="J672" t="s">
        <v>25</v>
      </c>
      <c r="K672" s="2">
        <v>65200</v>
      </c>
      <c r="L672" s="2">
        <v>65076</v>
      </c>
      <c r="M672" t="s">
        <v>32</v>
      </c>
      <c r="N672">
        <v>43</v>
      </c>
      <c r="O672" t="s">
        <v>25</v>
      </c>
      <c r="P672">
        <v>8</v>
      </c>
      <c r="Q672" s="1">
        <v>19.53</v>
      </c>
      <c r="R672" s="2">
        <f t="shared" si="40"/>
        <v>-124</v>
      </c>
      <c r="S672" s="1">
        <f t="shared" si="41"/>
        <v>-0.19018404907975459</v>
      </c>
      <c r="T672" t="str">
        <f t="shared" si="42"/>
        <v>Expert</v>
      </c>
      <c r="U672" t="str">
        <f t="shared" si="43"/>
        <v>Low Impact</v>
      </c>
    </row>
    <row r="673" spans="1:21" x14ac:dyDescent="0.3">
      <c r="A673" t="s">
        <v>262</v>
      </c>
      <c r="B673">
        <v>34</v>
      </c>
      <c r="C673" t="s">
        <v>18</v>
      </c>
      <c r="D673" t="s">
        <v>34</v>
      </c>
      <c r="E673" t="s">
        <v>20</v>
      </c>
      <c r="F673" t="s">
        <v>118</v>
      </c>
      <c r="G673">
        <v>8</v>
      </c>
      <c r="H673" t="s">
        <v>31</v>
      </c>
      <c r="I673" t="s">
        <v>37</v>
      </c>
      <c r="J673" t="s">
        <v>25</v>
      </c>
      <c r="K673" s="2">
        <v>116231</v>
      </c>
      <c r="L673" s="2">
        <v>124322</v>
      </c>
      <c r="M673" t="s">
        <v>38</v>
      </c>
      <c r="N673">
        <v>35</v>
      </c>
      <c r="O673" t="s">
        <v>23</v>
      </c>
      <c r="P673">
        <v>5</v>
      </c>
      <c r="Q673" s="1">
        <v>19.510000000000002</v>
      </c>
      <c r="R673" s="2">
        <f t="shared" si="40"/>
        <v>8091</v>
      </c>
      <c r="S673" s="1">
        <f t="shared" si="41"/>
        <v>6.9611377343393759</v>
      </c>
      <c r="T673" t="str">
        <f t="shared" si="42"/>
        <v>Intermediate</v>
      </c>
      <c r="U673" t="str">
        <f t="shared" si="43"/>
        <v>Medium Impact</v>
      </c>
    </row>
    <row r="674" spans="1:21" x14ac:dyDescent="0.3">
      <c r="A674" t="s">
        <v>1865</v>
      </c>
      <c r="B674">
        <v>33</v>
      </c>
      <c r="C674" t="s">
        <v>18</v>
      </c>
      <c r="D674" t="s">
        <v>40</v>
      </c>
      <c r="E674" t="s">
        <v>59</v>
      </c>
      <c r="F674" t="s">
        <v>77</v>
      </c>
      <c r="G674">
        <v>10</v>
      </c>
      <c r="H674" t="s">
        <v>37</v>
      </c>
      <c r="I674" t="s">
        <v>22</v>
      </c>
      <c r="J674" t="s">
        <v>23</v>
      </c>
      <c r="K674" s="2">
        <v>62400</v>
      </c>
      <c r="L674" s="2">
        <v>72167</v>
      </c>
      <c r="M674" t="s">
        <v>32</v>
      </c>
      <c r="N674">
        <v>43</v>
      </c>
      <c r="O674" t="s">
        <v>25</v>
      </c>
      <c r="P674">
        <v>5</v>
      </c>
      <c r="Q674" s="1">
        <v>19.489999999999998</v>
      </c>
      <c r="R674" s="2">
        <f t="shared" si="40"/>
        <v>9767</v>
      </c>
      <c r="S674" s="1">
        <f t="shared" si="41"/>
        <v>15.652243589743589</v>
      </c>
      <c r="T674" t="str">
        <f t="shared" si="42"/>
        <v>Intermediate</v>
      </c>
      <c r="U674" t="str">
        <f t="shared" si="43"/>
        <v>Low Impact</v>
      </c>
    </row>
    <row r="675" spans="1:21" x14ac:dyDescent="0.3">
      <c r="A675" t="s">
        <v>1545</v>
      </c>
      <c r="B675">
        <v>44</v>
      </c>
      <c r="C675" t="s">
        <v>27</v>
      </c>
      <c r="D675" t="s">
        <v>34</v>
      </c>
      <c r="E675" t="s">
        <v>41</v>
      </c>
      <c r="F675" t="s">
        <v>42</v>
      </c>
      <c r="G675">
        <v>18</v>
      </c>
      <c r="H675" t="s">
        <v>22</v>
      </c>
      <c r="I675" t="s">
        <v>31</v>
      </c>
      <c r="J675" t="s">
        <v>23</v>
      </c>
      <c r="K675" s="2">
        <v>95587</v>
      </c>
      <c r="L675" s="2">
        <v>127938</v>
      </c>
      <c r="M675" t="s">
        <v>32</v>
      </c>
      <c r="N675">
        <v>54</v>
      </c>
      <c r="O675" t="s">
        <v>23</v>
      </c>
      <c r="P675">
        <v>5</v>
      </c>
      <c r="Q675" s="1">
        <v>19.37</v>
      </c>
      <c r="R675" s="2">
        <f t="shared" si="40"/>
        <v>32351</v>
      </c>
      <c r="S675" s="1">
        <f t="shared" si="41"/>
        <v>33.844560452781238</v>
      </c>
      <c r="T675" t="str">
        <f t="shared" si="42"/>
        <v>Expert</v>
      </c>
      <c r="U675" t="str">
        <f t="shared" si="43"/>
        <v>Low Impact</v>
      </c>
    </row>
    <row r="676" spans="1:21" x14ac:dyDescent="0.3">
      <c r="A676" t="s">
        <v>1954</v>
      </c>
      <c r="B676">
        <v>40</v>
      </c>
      <c r="C676" t="s">
        <v>54</v>
      </c>
      <c r="D676" t="s">
        <v>34</v>
      </c>
      <c r="E676" t="s">
        <v>20</v>
      </c>
      <c r="F676" t="s">
        <v>88</v>
      </c>
      <c r="G676">
        <v>18</v>
      </c>
      <c r="H676" t="s">
        <v>31</v>
      </c>
      <c r="I676" t="s">
        <v>37</v>
      </c>
      <c r="J676" t="s">
        <v>23</v>
      </c>
      <c r="K676" s="2">
        <v>102489</v>
      </c>
      <c r="L676" s="2">
        <v>109507</v>
      </c>
      <c r="M676" t="s">
        <v>38</v>
      </c>
      <c r="N676">
        <v>40</v>
      </c>
      <c r="O676" t="s">
        <v>23</v>
      </c>
      <c r="P676">
        <v>6</v>
      </c>
      <c r="Q676" s="1">
        <v>19.37</v>
      </c>
      <c r="R676" s="2">
        <f t="shared" si="40"/>
        <v>7018</v>
      </c>
      <c r="S676" s="1">
        <f t="shared" si="41"/>
        <v>6.8475641288333389</v>
      </c>
      <c r="T676" t="str">
        <f t="shared" si="42"/>
        <v>Expert</v>
      </c>
      <c r="U676" t="str">
        <f t="shared" si="43"/>
        <v>Medium Impact</v>
      </c>
    </row>
    <row r="677" spans="1:21" x14ac:dyDescent="0.3">
      <c r="A677" t="s">
        <v>1300</v>
      </c>
      <c r="B677">
        <v>30</v>
      </c>
      <c r="C677" t="s">
        <v>27</v>
      </c>
      <c r="D677" t="s">
        <v>40</v>
      </c>
      <c r="E677" t="s">
        <v>44</v>
      </c>
      <c r="F677" t="s">
        <v>45</v>
      </c>
      <c r="G677">
        <v>8</v>
      </c>
      <c r="H677" t="s">
        <v>22</v>
      </c>
      <c r="I677" t="s">
        <v>22</v>
      </c>
      <c r="J677" t="s">
        <v>23</v>
      </c>
      <c r="K677" s="2">
        <v>37436</v>
      </c>
      <c r="L677" s="2">
        <v>47339</v>
      </c>
      <c r="M677" t="s">
        <v>24</v>
      </c>
      <c r="N677">
        <v>54</v>
      </c>
      <c r="O677" t="s">
        <v>25</v>
      </c>
      <c r="P677">
        <v>4</v>
      </c>
      <c r="Q677" s="1">
        <v>19.37</v>
      </c>
      <c r="R677" s="2">
        <f t="shared" si="40"/>
        <v>9903</v>
      </c>
      <c r="S677" s="1">
        <f t="shared" si="41"/>
        <v>26.45314670370766</v>
      </c>
      <c r="T677" t="str">
        <f t="shared" si="42"/>
        <v>Intermediate</v>
      </c>
      <c r="U677" t="str">
        <f t="shared" si="43"/>
        <v>High Impact</v>
      </c>
    </row>
    <row r="678" spans="1:21" x14ac:dyDescent="0.3">
      <c r="A678" t="s">
        <v>1057</v>
      </c>
      <c r="B678">
        <v>57</v>
      </c>
      <c r="C678" t="s">
        <v>27</v>
      </c>
      <c r="D678" t="s">
        <v>34</v>
      </c>
      <c r="E678" t="s">
        <v>29</v>
      </c>
      <c r="F678" t="s">
        <v>102</v>
      </c>
      <c r="G678">
        <v>32</v>
      </c>
      <c r="H678" t="s">
        <v>37</v>
      </c>
      <c r="I678" t="s">
        <v>31</v>
      </c>
      <c r="J678" t="s">
        <v>23</v>
      </c>
      <c r="K678" s="2">
        <v>103169</v>
      </c>
      <c r="L678" s="2">
        <v>103810</v>
      </c>
      <c r="M678" t="s">
        <v>32</v>
      </c>
      <c r="N678">
        <v>36</v>
      </c>
      <c r="O678" t="s">
        <v>25</v>
      </c>
      <c r="P678">
        <v>7</v>
      </c>
      <c r="Q678" s="1">
        <v>19.350000000000001</v>
      </c>
      <c r="R678" s="2">
        <f t="shared" si="40"/>
        <v>641</v>
      </c>
      <c r="S678" s="1">
        <f t="shared" si="41"/>
        <v>0.62131066502534682</v>
      </c>
      <c r="T678" t="str">
        <f t="shared" si="42"/>
        <v>Expert</v>
      </c>
      <c r="U678" t="str">
        <f t="shared" si="43"/>
        <v>Low Impact</v>
      </c>
    </row>
    <row r="679" spans="1:21" x14ac:dyDescent="0.3">
      <c r="A679" t="s">
        <v>1034</v>
      </c>
      <c r="B679">
        <v>59</v>
      </c>
      <c r="C679" t="s">
        <v>54</v>
      </c>
      <c r="D679" t="s">
        <v>34</v>
      </c>
      <c r="E679" t="s">
        <v>20</v>
      </c>
      <c r="F679" t="s">
        <v>118</v>
      </c>
      <c r="G679">
        <v>34</v>
      </c>
      <c r="H679" t="s">
        <v>22</v>
      </c>
      <c r="I679" t="s">
        <v>37</v>
      </c>
      <c r="J679" t="s">
        <v>23</v>
      </c>
      <c r="K679" s="2">
        <v>45620</v>
      </c>
      <c r="L679" s="2">
        <v>39924</v>
      </c>
      <c r="M679" t="s">
        <v>38</v>
      </c>
      <c r="N679">
        <v>35</v>
      </c>
      <c r="O679" t="s">
        <v>23</v>
      </c>
      <c r="P679">
        <v>7</v>
      </c>
      <c r="Q679" s="1">
        <v>19.329999999999998</v>
      </c>
      <c r="R679" s="2">
        <f t="shared" si="40"/>
        <v>-5696</v>
      </c>
      <c r="S679" s="1">
        <f t="shared" si="41"/>
        <v>-12.485751863217887</v>
      </c>
      <c r="T679" t="str">
        <f t="shared" si="42"/>
        <v>Expert</v>
      </c>
      <c r="U679" t="str">
        <f t="shared" si="43"/>
        <v>Medium Impact</v>
      </c>
    </row>
    <row r="680" spans="1:21" x14ac:dyDescent="0.3">
      <c r="A680" t="s">
        <v>1472</v>
      </c>
      <c r="B680">
        <v>46</v>
      </c>
      <c r="C680" t="s">
        <v>18</v>
      </c>
      <c r="D680" t="s">
        <v>19</v>
      </c>
      <c r="E680" t="s">
        <v>51</v>
      </c>
      <c r="F680" t="s">
        <v>52</v>
      </c>
      <c r="G680">
        <v>23</v>
      </c>
      <c r="H680" t="s">
        <v>37</v>
      </c>
      <c r="I680" t="s">
        <v>31</v>
      </c>
      <c r="J680" t="s">
        <v>23</v>
      </c>
      <c r="K680" s="2">
        <v>116612</v>
      </c>
      <c r="L680" s="2">
        <v>109076</v>
      </c>
      <c r="M680" t="s">
        <v>32</v>
      </c>
      <c r="N680">
        <v>47</v>
      </c>
      <c r="O680" t="s">
        <v>23</v>
      </c>
      <c r="P680">
        <v>5</v>
      </c>
      <c r="Q680" s="1">
        <v>19.3</v>
      </c>
      <c r="R680" s="2">
        <f t="shared" si="40"/>
        <v>-7536</v>
      </c>
      <c r="S680" s="1">
        <f t="shared" si="41"/>
        <v>-6.4624566939937562</v>
      </c>
      <c r="T680" t="str">
        <f t="shared" si="42"/>
        <v>Expert</v>
      </c>
      <c r="U680" t="str">
        <f t="shared" si="43"/>
        <v>Low Impact</v>
      </c>
    </row>
    <row r="681" spans="1:21" x14ac:dyDescent="0.3">
      <c r="A681" t="s">
        <v>1332</v>
      </c>
      <c r="B681">
        <v>41</v>
      </c>
      <c r="C681" t="s">
        <v>54</v>
      </c>
      <c r="D681" t="s">
        <v>28</v>
      </c>
      <c r="E681" t="s">
        <v>44</v>
      </c>
      <c r="F681" t="s">
        <v>45</v>
      </c>
      <c r="G681">
        <v>15</v>
      </c>
      <c r="H681" t="s">
        <v>22</v>
      </c>
      <c r="I681" t="s">
        <v>22</v>
      </c>
      <c r="J681" t="s">
        <v>25</v>
      </c>
      <c r="K681" s="2">
        <v>33775</v>
      </c>
      <c r="L681" s="2">
        <v>27816</v>
      </c>
      <c r="M681" t="s">
        <v>38</v>
      </c>
      <c r="N681">
        <v>35</v>
      </c>
      <c r="O681" t="s">
        <v>25</v>
      </c>
      <c r="P681">
        <v>3</v>
      </c>
      <c r="Q681" s="1">
        <v>19.29</v>
      </c>
      <c r="R681" s="2">
        <f t="shared" si="40"/>
        <v>-5959</v>
      </c>
      <c r="S681" s="1">
        <f t="shared" si="41"/>
        <v>-17.643227239082162</v>
      </c>
      <c r="T681" t="str">
        <f t="shared" si="42"/>
        <v>Expert</v>
      </c>
      <c r="U681" t="str">
        <f t="shared" si="43"/>
        <v>Medium Impact</v>
      </c>
    </row>
    <row r="682" spans="1:21" x14ac:dyDescent="0.3">
      <c r="A682" t="s">
        <v>728</v>
      </c>
      <c r="B682">
        <v>26</v>
      </c>
      <c r="C682" t="s">
        <v>18</v>
      </c>
      <c r="D682" t="s">
        <v>19</v>
      </c>
      <c r="E682" t="s">
        <v>29</v>
      </c>
      <c r="F682" t="s">
        <v>102</v>
      </c>
      <c r="G682">
        <v>3</v>
      </c>
      <c r="H682" t="s">
        <v>37</v>
      </c>
      <c r="I682" t="s">
        <v>37</v>
      </c>
      <c r="J682" t="s">
        <v>25</v>
      </c>
      <c r="K682" s="2">
        <v>41795</v>
      </c>
      <c r="L682" s="2">
        <v>40747</v>
      </c>
      <c r="M682" t="s">
        <v>38</v>
      </c>
      <c r="N682">
        <v>52</v>
      </c>
      <c r="O682" t="s">
        <v>25</v>
      </c>
      <c r="P682">
        <v>4</v>
      </c>
      <c r="Q682" s="1">
        <v>19.25</v>
      </c>
      <c r="R682" s="2">
        <f t="shared" si="40"/>
        <v>-1048</v>
      </c>
      <c r="S682" s="1">
        <f t="shared" si="41"/>
        <v>-2.5074769709295368</v>
      </c>
      <c r="T682" t="str">
        <f t="shared" si="42"/>
        <v>Beginner</v>
      </c>
      <c r="U682" t="str">
        <f t="shared" si="43"/>
        <v>Medium Impact</v>
      </c>
    </row>
    <row r="683" spans="1:21" x14ac:dyDescent="0.3">
      <c r="A683" t="s">
        <v>1430</v>
      </c>
      <c r="B683">
        <v>38</v>
      </c>
      <c r="C683" t="s">
        <v>54</v>
      </c>
      <c r="D683" t="s">
        <v>40</v>
      </c>
      <c r="E683" t="s">
        <v>44</v>
      </c>
      <c r="F683" t="s">
        <v>45</v>
      </c>
      <c r="G683">
        <v>15</v>
      </c>
      <c r="H683" t="s">
        <v>22</v>
      </c>
      <c r="I683" t="s">
        <v>22</v>
      </c>
      <c r="J683" t="s">
        <v>25</v>
      </c>
      <c r="K683" s="2">
        <v>108798</v>
      </c>
      <c r="L683" s="2">
        <v>122523</v>
      </c>
      <c r="M683" t="s">
        <v>24</v>
      </c>
      <c r="N683">
        <v>54</v>
      </c>
      <c r="O683" t="s">
        <v>25</v>
      </c>
      <c r="P683">
        <v>8</v>
      </c>
      <c r="Q683" s="1">
        <v>19.23</v>
      </c>
      <c r="R683" s="2">
        <f t="shared" si="40"/>
        <v>13725</v>
      </c>
      <c r="S683" s="1">
        <f t="shared" si="41"/>
        <v>12.615121601500029</v>
      </c>
      <c r="T683" t="str">
        <f t="shared" si="42"/>
        <v>Expert</v>
      </c>
      <c r="U683" t="str">
        <f t="shared" si="43"/>
        <v>High Impact</v>
      </c>
    </row>
    <row r="684" spans="1:21" x14ac:dyDescent="0.3">
      <c r="A684" t="s">
        <v>1017</v>
      </c>
      <c r="B684">
        <v>32</v>
      </c>
      <c r="C684" t="s">
        <v>18</v>
      </c>
      <c r="D684" t="s">
        <v>34</v>
      </c>
      <c r="E684" t="s">
        <v>41</v>
      </c>
      <c r="F684" t="s">
        <v>49</v>
      </c>
      <c r="G684">
        <v>6</v>
      </c>
      <c r="H684" t="s">
        <v>37</v>
      </c>
      <c r="I684" t="s">
        <v>22</v>
      </c>
      <c r="J684" t="s">
        <v>23</v>
      </c>
      <c r="K684" s="2">
        <v>33880</v>
      </c>
      <c r="L684" s="2">
        <v>31758</v>
      </c>
      <c r="M684" t="s">
        <v>32</v>
      </c>
      <c r="N684">
        <v>36</v>
      </c>
      <c r="O684" t="s">
        <v>25</v>
      </c>
      <c r="P684">
        <v>4</v>
      </c>
      <c r="Q684" s="1">
        <v>19.149999999999999</v>
      </c>
      <c r="R684" s="2">
        <f t="shared" si="40"/>
        <v>-2122</v>
      </c>
      <c r="S684" s="1">
        <f t="shared" si="41"/>
        <v>-6.2632821723730814</v>
      </c>
      <c r="T684" t="str">
        <f t="shared" si="42"/>
        <v>Intermediate</v>
      </c>
      <c r="U684" t="str">
        <f t="shared" si="43"/>
        <v>Low Impact</v>
      </c>
    </row>
    <row r="685" spans="1:21" x14ac:dyDescent="0.3">
      <c r="A685" t="s">
        <v>1536</v>
      </c>
      <c r="B685">
        <v>43</v>
      </c>
      <c r="C685" t="s">
        <v>18</v>
      </c>
      <c r="D685" t="s">
        <v>19</v>
      </c>
      <c r="E685" t="s">
        <v>41</v>
      </c>
      <c r="F685" t="s">
        <v>49</v>
      </c>
      <c r="G685">
        <v>17</v>
      </c>
      <c r="H685" t="s">
        <v>37</v>
      </c>
      <c r="I685" t="s">
        <v>22</v>
      </c>
      <c r="J685" t="s">
        <v>23</v>
      </c>
      <c r="K685" s="2">
        <v>105088</v>
      </c>
      <c r="L685" s="2">
        <v>100428</v>
      </c>
      <c r="M685" t="s">
        <v>32</v>
      </c>
      <c r="N685">
        <v>41</v>
      </c>
      <c r="O685" t="s">
        <v>25</v>
      </c>
      <c r="P685">
        <v>4</v>
      </c>
      <c r="Q685" s="1">
        <v>19.100000000000001</v>
      </c>
      <c r="R685" s="2">
        <f t="shared" si="40"/>
        <v>-4660</v>
      </c>
      <c r="S685" s="1">
        <f t="shared" si="41"/>
        <v>-4.434378806333739</v>
      </c>
      <c r="T685" t="str">
        <f t="shared" si="42"/>
        <v>Expert</v>
      </c>
      <c r="U685" t="str">
        <f t="shared" si="43"/>
        <v>Low Impact</v>
      </c>
    </row>
    <row r="686" spans="1:21" x14ac:dyDescent="0.3">
      <c r="A686" t="s">
        <v>278</v>
      </c>
      <c r="B686">
        <v>55</v>
      </c>
      <c r="C686" t="s">
        <v>54</v>
      </c>
      <c r="D686" t="s">
        <v>34</v>
      </c>
      <c r="E686" t="s">
        <v>44</v>
      </c>
      <c r="F686" t="s">
        <v>47</v>
      </c>
      <c r="G686">
        <v>29</v>
      </c>
      <c r="H686" t="s">
        <v>22</v>
      </c>
      <c r="I686" t="s">
        <v>22</v>
      </c>
      <c r="J686" t="s">
        <v>23</v>
      </c>
      <c r="K686" s="2">
        <v>78290</v>
      </c>
      <c r="L686" s="2">
        <v>64094</v>
      </c>
      <c r="M686" t="s">
        <v>38</v>
      </c>
      <c r="N686">
        <v>46</v>
      </c>
      <c r="O686" t="s">
        <v>23</v>
      </c>
      <c r="P686">
        <v>4</v>
      </c>
      <c r="Q686" s="1">
        <v>19.100000000000001</v>
      </c>
      <c r="R686" s="2">
        <f t="shared" si="40"/>
        <v>-14196</v>
      </c>
      <c r="S686" s="1">
        <f t="shared" si="41"/>
        <v>-18.132583982628688</v>
      </c>
      <c r="T686" t="str">
        <f t="shared" si="42"/>
        <v>Expert</v>
      </c>
      <c r="U686" t="str">
        <f t="shared" si="43"/>
        <v>Medium Impact</v>
      </c>
    </row>
    <row r="687" spans="1:21" x14ac:dyDescent="0.3">
      <c r="A687" t="s">
        <v>26</v>
      </c>
      <c r="B687">
        <v>45</v>
      </c>
      <c r="C687" t="s">
        <v>27</v>
      </c>
      <c r="D687" t="s">
        <v>28</v>
      </c>
      <c r="E687" t="s">
        <v>29</v>
      </c>
      <c r="F687" t="s">
        <v>30</v>
      </c>
      <c r="G687">
        <v>19</v>
      </c>
      <c r="H687" t="s">
        <v>31</v>
      </c>
      <c r="I687" t="s">
        <v>31</v>
      </c>
      <c r="J687" t="s">
        <v>23</v>
      </c>
      <c r="K687" s="2">
        <v>74131</v>
      </c>
      <c r="L687" s="2">
        <v>72013</v>
      </c>
      <c r="M687" t="s">
        <v>32</v>
      </c>
      <c r="N687">
        <v>36</v>
      </c>
      <c r="O687" t="s">
        <v>23</v>
      </c>
      <c r="P687">
        <v>6</v>
      </c>
      <c r="Q687" s="1">
        <v>19.05</v>
      </c>
      <c r="R687" s="2">
        <f t="shared" si="40"/>
        <v>-2118</v>
      </c>
      <c r="S687" s="1">
        <f t="shared" si="41"/>
        <v>-2.8571043153336659</v>
      </c>
      <c r="T687" t="str">
        <f t="shared" si="42"/>
        <v>Expert</v>
      </c>
      <c r="U687" t="str">
        <f t="shared" si="43"/>
        <v>Low Impact</v>
      </c>
    </row>
    <row r="688" spans="1:21" x14ac:dyDescent="0.3">
      <c r="A688" t="s">
        <v>1511</v>
      </c>
      <c r="B688">
        <v>37</v>
      </c>
      <c r="C688" t="s">
        <v>54</v>
      </c>
      <c r="D688" t="s">
        <v>19</v>
      </c>
      <c r="E688" t="s">
        <v>29</v>
      </c>
      <c r="F688" t="s">
        <v>104</v>
      </c>
      <c r="G688">
        <v>11</v>
      </c>
      <c r="H688" t="s">
        <v>37</v>
      </c>
      <c r="I688" t="s">
        <v>31</v>
      </c>
      <c r="J688" t="s">
        <v>25</v>
      </c>
      <c r="K688" s="2">
        <v>32260</v>
      </c>
      <c r="L688" s="2">
        <v>35846</v>
      </c>
      <c r="M688" t="s">
        <v>32</v>
      </c>
      <c r="N688">
        <v>43</v>
      </c>
      <c r="O688" t="s">
        <v>25</v>
      </c>
      <c r="P688">
        <v>6</v>
      </c>
      <c r="Q688" s="1">
        <v>19.05</v>
      </c>
      <c r="R688" s="2">
        <f t="shared" si="40"/>
        <v>3586</v>
      </c>
      <c r="S688" s="1">
        <f t="shared" si="41"/>
        <v>11.115933044017359</v>
      </c>
      <c r="T688" t="str">
        <f t="shared" si="42"/>
        <v>Intermediate</v>
      </c>
      <c r="U688" t="str">
        <f t="shared" si="43"/>
        <v>Low Impact</v>
      </c>
    </row>
    <row r="689" spans="1:21" x14ac:dyDescent="0.3">
      <c r="A689" t="s">
        <v>1480</v>
      </c>
      <c r="B689">
        <v>56</v>
      </c>
      <c r="C689" t="s">
        <v>27</v>
      </c>
      <c r="D689" t="s">
        <v>19</v>
      </c>
      <c r="E689" t="s">
        <v>59</v>
      </c>
      <c r="F689" t="s">
        <v>93</v>
      </c>
      <c r="G689">
        <v>30</v>
      </c>
      <c r="H689" t="s">
        <v>37</v>
      </c>
      <c r="I689" t="s">
        <v>31</v>
      </c>
      <c r="J689" t="s">
        <v>23</v>
      </c>
      <c r="K689" s="2">
        <v>30442</v>
      </c>
      <c r="L689" s="2">
        <v>33054</v>
      </c>
      <c r="M689" t="s">
        <v>32</v>
      </c>
      <c r="N689">
        <v>42</v>
      </c>
      <c r="O689" t="s">
        <v>25</v>
      </c>
      <c r="P689">
        <v>5</v>
      </c>
      <c r="Q689" s="1">
        <v>19.05</v>
      </c>
      <c r="R689" s="2">
        <f t="shared" si="40"/>
        <v>2612</v>
      </c>
      <c r="S689" s="1">
        <f t="shared" si="41"/>
        <v>8.5802509690559088</v>
      </c>
      <c r="T689" t="str">
        <f t="shared" si="42"/>
        <v>Expert</v>
      </c>
      <c r="U689" t="str">
        <f t="shared" si="43"/>
        <v>Low Impact</v>
      </c>
    </row>
    <row r="690" spans="1:21" x14ac:dyDescent="0.3">
      <c r="A690" t="s">
        <v>611</v>
      </c>
      <c r="B690">
        <v>59</v>
      </c>
      <c r="C690" t="s">
        <v>27</v>
      </c>
      <c r="D690" t="s">
        <v>34</v>
      </c>
      <c r="E690" t="s">
        <v>51</v>
      </c>
      <c r="F690" t="s">
        <v>130</v>
      </c>
      <c r="G690">
        <v>36</v>
      </c>
      <c r="H690" t="s">
        <v>22</v>
      </c>
      <c r="I690" t="s">
        <v>31</v>
      </c>
      <c r="J690" t="s">
        <v>23</v>
      </c>
      <c r="K690" s="2">
        <v>79831</v>
      </c>
      <c r="L690" s="2">
        <v>85062</v>
      </c>
      <c r="M690" t="s">
        <v>32</v>
      </c>
      <c r="N690">
        <v>39</v>
      </c>
      <c r="O690" t="s">
        <v>25</v>
      </c>
      <c r="P690">
        <v>9</v>
      </c>
      <c r="Q690" s="1">
        <v>18.96</v>
      </c>
      <c r="R690" s="2">
        <f t="shared" si="40"/>
        <v>5231</v>
      </c>
      <c r="S690" s="1">
        <f t="shared" si="41"/>
        <v>6.5525923513422111</v>
      </c>
      <c r="T690" t="str">
        <f t="shared" si="42"/>
        <v>Expert</v>
      </c>
      <c r="U690" t="str">
        <f t="shared" si="43"/>
        <v>Low Impact</v>
      </c>
    </row>
    <row r="691" spans="1:21" x14ac:dyDescent="0.3">
      <c r="A691" t="s">
        <v>322</v>
      </c>
      <c r="B691">
        <v>32</v>
      </c>
      <c r="C691" t="s">
        <v>27</v>
      </c>
      <c r="D691" t="s">
        <v>19</v>
      </c>
      <c r="E691" t="s">
        <v>59</v>
      </c>
      <c r="F691" t="s">
        <v>60</v>
      </c>
      <c r="G691">
        <v>10</v>
      </c>
      <c r="H691" t="s">
        <v>22</v>
      </c>
      <c r="I691" t="s">
        <v>31</v>
      </c>
      <c r="J691" t="s">
        <v>23</v>
      </c>
      <c r="K691" s="2">
        <v>31367</v>
      </c>
      <c r="L691" s="2">
        <v>30680</v>
      </c>
      <c r="M691" t="s">
        <v>32</v>
      </c>
      <c r="N691">
        <v>49</v>
      </c>
      <c r="O691" t="s">
        <v>23</v>
      </c>
      <c r="P691">
        <v>3</v>
      </c>
      <c r="Q691" s="1">
        <v>18.940000000000001</v>
      </c>
      <c r="R691" s="2">
        <f t="shared" si="40"/>
        <v>-687</v>
      </c>
      <c r="S691" s="1">
        <f t="shared" si="41"/>
        <v>-2.1901998916058276</v>
      </c>
      <c r="T691" t="str">
        <f t="shared" si="42"/>
        <v>Intermediate</v>
      </c>
      <c r="U691" t="str">
        <f t="shared" si="43"/>
        <v>Low Impact</v>
      </c>
    </row>
    <row r="692" spans="1:21" x14ac:dyDescent="0.3">
      <c r="A692" t="s">
        <v>1619</v>
      </c>
      <c r="B692">
        <v>29</v>
      </c>
      <c r="C692" t="s">
        <v>27</v>
      </c>
      <c r="D692" t="s">
        <v>19</v>
      </c>
      <c r="E692" t="s">
        <v>59</v>
      </c>
      <c r="F692" t="s">
        <v>77</v>
      </c>
      <c r="G692">
        <v>4</v>
      </c>
      <c r="H692" t="s">
        <v>31</v>
      </c>
      <c r="I692" t="s">
        <v>37</v>
      </c>
      <c r="J692" t="s">
        <v>25</v>
      </c>
      <c r="K692" s="2">
        <v>105948</v>
      </c>
      <c r="L692" s="2">
        <v>112647</v>
      </c>
      <c r="M692" t="s">
        <v>38</v>
      </c>
      <c r="N692">
        <v>50</v>
      </c>
      <c r="O692" t="s">
        <v>23</v>
      </c>
      <c r="P692">
        <v>4</v>
      </c>
      <c r="Q692" s="1">
        <v>18.920000000000002</v>
      </c>
      <c r="R692" s="2">
        <f t="shared" si="40"/>
        <v>6699</v>
      </c>
      <c r="S692" s="1">
        <f t="shared" si="41"/>
        <v>6.3229131271944725</v>
      </c>
      <c r="T692" t="str">
        <f t="shared" si="42"/>
        <v>Beginner</v>
      </c>
      <c r="U692" t="str">
        <f t="shared" si="43"/>
        <v>Medium Impact</v>
      </c>
    </row>
    <row r="693" spans="1:21" x14ac:dyDescent="0.3">
      <c r="A693" t="s">
        <v>879</v>
      </c>
      <c r="B693">
        <v>43</v>
      </c>
      <c r="C693" t="s">
        <v>27</v>
      </c>
      <c r="D693" t="s">
        <v>28</v>
      </c>
      <c r="E693" t="s">
        <v>44</v>
      </c>
      <c r="F693" t="s">
        <v>57</v>
      </c>
      <c r="G693">
        <v>19</v>
      </c>
      <c r="H693" t="s">
        <v>22</v>
      </c>
      <c r="I693" t="s">
        <v>31</v>
      </c>
      <c r="J693" t="s">
        <v>23</v>
      </c>
      <c r="K693" s="2">
        <v>58132</v>
      </c>
      <c r="L693" s="2">
        <v>75115</v>
      </c>
      <c r="M693" t="s">
        <v>32</v>
      </c>
      <c r="N693">
        <v>51</v>
      </c>
      <c r="O693" t="s">
        <v>23</v>
      </c>
      <c r="P693">
        <v>5</v>
      </c>
      <c r="Q693" s="1">
        <v>18.920000000000002</v>
      </c>
      <c r="R693" s="2">
        <f t="shared" si="40"/>
        <v>16983</v>
      </c>
      <c r="S693" s="1">
        <f t="shared" si="41"/>
        <v>29.214546205188192</v>
      </c>
      <c r="T693" t="str">
        <f t="shared" si="42"/>
        <v>Expert</v>
      </c>
      <c r="U693" t="str">
        <f t="shared" si="43"/>
        <v>Low Impact</v>
      </c>
    </row>
    <row r="694" spans="1:21" x14ac:dyDescent="0.3">
      <c r="A694" t="s">
        <v>663</v>
      </c>
      <c r="B694">
        <v>26</v>
      </c>
      <c r="C694" t="s">
        <v>18</v>
      </c>
      <c r="D694" t="s">
        <v>34</v>
      </c>
      <c r="E694" t="s">
        <v>51</v>
      </c>
      <c r="F694" t="s">
        <v>52</v>
      </c>
      <c r="G694">
        <v>4</v>
      </c>
      <c r="H694" t="s">
        <v>31</v>
      </c>
      <c r="I694" t="s">
        <v>37</v>
      </c>
      <c r="J694" t="s">
        <v>25</v>
      </c>
      <c r="K694" s="2">
        <v>30570</v>
      </c>
      <c r="L694" s="2">
        <v>32238</v>
      </c>
      <c r="M694" t="s">
        <v>38</v>
      </c>
      <c r="N694">
        <v>44</v>
      </c>
      <c r="O694" t="s">
        <v>25</v>
      </c>
      <c r="P694">
        <v>8</v>
      </c>
      <c r="Q694" s="1">
        <v>18.920000000000002</v>
      </c>
      <c r="R694" s="2">
        <f t="shared" si="40"/>
        <v>1668</v>
      </c>
      <c r="S694" s="1">
        <f t="shared" si="41"/>
        <v>5.4563297350343474</v>
      </c>
      <c r="T694" t="str">
        <f t="shared" si="42"/>
        <v>Beginner</v>
      </c>
      <c r="U694" t="str">
        <f t="shared" si="43"/>
        <v>Medium Impact</v>
      </c>
    </row>
    <row r="695" spans="1:21" x14ac:dyDescent="0.3">
      <c r="A695" t="s">
        <v>1291</v>
      </c>
      <c r="B695">
        <v>38</v>
      </c>
      <c r="C695" t="s">
        <v>27</v>
      </c>
      <c r="D695" t="s">
        <v>40</v>
      </c>
      <c r="E695" t="s">
        <v>29</v>
      </c>
      <c r="F695" t="s">
        <v>104</v>
      </c>
      <c r="G695">
        <v>13</v>
      </c>
      <c r="H695" t="s">
        <v>37</v>
      </c>
      <c r="I695" t="s">
        <v>31</v>
      </c>
      <c r="J695" t="s">
        <v>23</v>
      </c>
      <c r="K695" s="2">
        <v>79932</v>
      </c>
      <c r="L695" s="2">
        <v>83549</v>
      </c>
      <c r="M695" t="s">
        <v>32</v>
      </c>
      <c r="N695">
        <v>47</v>
      </c>
      <c r="O695" t="s">
        <v>25</v>
      </c>
      <c r="P695">
        <v>5</v>
      </c>
      <c r="Q695" s="1">
        <v>18.89</v>
      </c>
      <c r="R695" s="2">
        <f t="shared" si="40"/>
        <v>3617</v>
      </c>
      <c r="S695" s="1">
        <f t="shared" si="41"/>
        <v>4.5250963318820991</v>
      </c>
      <c r="T695" t="str">
        <f t="shared" si="42"/>
        <v>Intermediate</v>
      </c>
      <c r="U695" t="str">
        <f t="shared" si="43"/>
        <v>Low Impact</v>
      </c>
    </row>
    <row r="696" spans="1:21" x14ac:dyDescent="0.3">
      <c r="A696" t="s">
        <v>758</v>
      </c>
      <c r="B696">
        <v>57</v>
      </c>
      <c r="C696" t="s">
        <v>54</v>
      </c>
      <c r="D696" t="s">
        <v>34</v>
      </c>
      <c r="E696" t="s">
        <v>59</v>
      </c>
      <c r="F696" t="s">
        <v>60</v>
      </c>
      <c r="G696">
        <v>35</v>
      </c>
      <c r="H696" t="s">
        <v>37</v>
      </c>
      <c r="I696" t="s">
        <v>31</v>
      </c>
      <c r="J696" t="s">
        <v>25</v>
      </c>
      <c r="K696" s="2">
        <v>87062</v>
      </c>
      <c r="L696" s="2">
        <v>81258</v>
      </c>
      <c r="M696" t="s">
        <v>32</v>
      </c>
      <c r="N696">
        <v>54</v>
      </c>
      <c r="O696" t="s">
        <v>25</v>
      </c>
      <c r="P696">
        <v>9</v>
      </c>
      <c r="Q696" s="1">
        <v>18.89</v>
      </c>
      <c r="R696" s="2">
        <f t="shared" si="40"/>
        <v>-5804</v>
      </c>
      <c r="S696" s="1">
        <f t="shared" si="41"/>
        <v>-6.6665135191013301</v>
      </c>
      <c r="T696" t="str">
        <f t="shared" si="42"/>
        <v>Expert</v>
      </c>
      <c r="U696" t="str">
        <f t="shared" si="43"/>
        <v>Low Impact</v>
      </c>
    </row>
    <row r="697" spans="1:21" x14ac:dyDescent="0.3">
      <c r="A697" t="s">
        <v>868</v>
      </c>
      <c r="B697">
        <v>22</v>
      </c>
      <c r="C697" t="s">
        <v>27</v>
      </c>
      <c r="D697" t="s">
        <v>28</v>
      </c>
      <c r="E697" t="s">
        <v>59</v>
      </c>
      <c r="F697" t="s">
        <v>93</v>
      </c>
      <c r="G697">
        <v>0</v>
      </c>
      <c r="H697" t="s">
        <v>37</v>
      </c>
      <c r="I697" t="s">
        <v>31</v>
      </c>
      <c r="J697" t="s">
        <v>25</v>
      </c>
      <c r="K697" s="2">
        <v>46574</v>
      </c>
      <c r="L697" s="2">
        <v>43061</v>
      </c>
      <c r="M697" t="s">
        <v>32</v>
      </c>
      <c r="N697">
        <v>37</v>
      </c>
      <c r="O697" t="s">
        <v>25</v>
      </c>
      <c r="P697">
        <v>5</v>
      </c>
      <c r="Q697" s="1">
        <v>18.809999999999999</v>
      </c>
      <c r="R697" s="2">
        <f t="shared" si="40"/>
        <v>-3513</v>
      </c>
      <c r="S697" s="1">
        <f t="shared" si="41"/>
        <v>-7.542835058186971</v>
      </c>
      <c r="T697" t="str">
        <f t="shared" si="42"/>
        <v>Beginner</v>
      </c>
      <c r="U697" t="str">
        <f t="shared" si="43"/>
        <v>Low Impact</v>
      </c>
    </row>
    <row r="698" spans="1:21" x14ac:dyDescent="0.3">
      <c r="A698" t="s">
        <v>1987</v>
      </c>
      <c r="B698">
        <v>24</v>
      </c>
      <c r="C698" t="s">
        <v>54</v>
      </c>
      <c r="D698" t="s">
        <v>28</v>
      </c>
      <c r="E698" t="s">
        <v>29</v>
      </c>
      <c r="F698" t="s">
        <v>102</v>
      </c>
      <c r="G698">
        <v>1</v>
      </c>
      <c r="H698" t="s">
        <v>31</v>
      </c>
      <c r="I698" t="s">
        <v>22</v>
      </c>
      <c r="J698" t="s">
        <v>25</v>
      </c>
      <c r="K698" s="2">
        <v>104258</v>
      </c>
      <c r="L698" s="2">
        <v>106088</v>
      </c>
      <c r="M698" t="s">
        <v>32</v>
      </c>
      <c r="N698">
        <v>47</v>
      </c>
      <c r="O698" t="s">
        <v>25</v>
      </c>
      <c r="P698">
        <v>9</v>
      </c>
      <c r="Q698" s="1">
        <v>18.8</v>
      </c>
      <c r="R698" s="2">
        <f t="shared" si="40"/>
        <v>1830</v>
      </c>
      <c r="S698" s="1">
        <f t="shared" si="41"/>
        <v>1.7552609871664526</v>
      </c>
      <c r="T698" t="str">
        <f t="shared" si="42"/>
        <v>Beginner</v>
      </c>
      <c r="U698" t="str">
        <f t="shared" si="43"/>
        <v>Low Impact</v>
      </c>
    </row>
    <row r="699" spans="1:21" x14ac:dyDescent="0.3">
      <c r="A699" t="s">
        <v>1927</v>
      </c>
      <c r="B699">
        <v>31</v>
      </c>
      <c r="C699" t="s">
        <v>27</v>
      </c>
      <c r="D699" t="s">
        <v>19</v>
      </c>
      <c r="E699" t="s">
        <v>20</v>
      </c>
      <c r="F699" t="s">
        <v>88</v>
      </c>
      <c r="G699">
        <v>6</v>
      </c>
      <c r="H699" t="s">
        <v>22</v>
      </c>
      <c r="I699" t="s">
        <v>31</v>
      </c>
      <c r="J699" t="s">
        <v>23</v>
      </c>
      <c r="K699" s="2">
        <v>116479</v>
      </c>
      <c r="L699" s="2">
        <v>103951</v>
      </c>
      <c r="M699" t="s">
        <v>32</v>
      </c>
      <c r="N699">
        <v>48</v>
      </c>
      <c r="O699" t="s">
        <v>23</v>
      </c>
      <c r="P699">
        <v>5</v>
      </c>
      <c r="Q699" s="1">
        <v>18.79</v>
      </c>
      <c r="R699" s="2">
        <f t="shared" si="40"/>
        <v>-12528</v>
      </c>
      <c r="S699" s="1">
        <f t="shared" si="41"/>
        <v>-10.75558684398046</v>
      </c>
      <c r="T699" t="str">
        <f t="shared" si="42"/>
        <v>Intermediate</v>
      </c>
      <c r="U699" t="str">
        <f t="shared" si="43"/>
        <v>Low Impact</v>
      </c>
    </row>
    <row r="700" spans="1:21" x14ac:dyDescent="0.3">
      <c r="A700" t="s">
        <v>223</v>
      </c>
      <c r="B700">
        <v>30</v>
      </c>
      <c r="C700" t="s">
        <v>27</v>
      </c>
      <c r="D700" t="s">
        <v>28</v>
      </c>
      <c r="E700" t="s">
        <v>41</v>
      </c>
      <c r="F700" t="s">
        <v>49</v>
      </c>
      <c r="G700">
        <v>7</v>
      </c>
      <c r="H700" t="s">
        <v>22</v>
      </c>
      <c r="I700" t="s">
        <v>31</v>
      </c>
      <c r="J700" t="s">
        <v>23</v>
      </c>
      <c r="K700" s="2">
        <v>90774</v>
      </c>
      <c r="L700" s="2">
        <v>84493</v>
      </c>
      <c r="M700" t="s">
        <v>32</v>
      </c>
      <c r="N700">
        <v>48</v>
      </c>
      <c r="O700" t="s">
        <v>23</v>
      </c>
      <c r="P700">
        <v>6</v>
      </c>
      <c r="Q700" s="1">
        <v>18.7</v>
      </c>
      <c r="R700" s="2">
        <f t="shared" si="40"/>
        <v>-6281</v>
      </c>
      <c r="S700" s="1">
        <f t="shared" si="41"/>
        <v>-6.919382201952101</v>
      </c>
      <c r="T700" t="str">
        <f t="shared" si="42"/>
        <v>Intermediate</v>
      </c>
      <c r="U700" t="str">
        <f t="shared" si="43"/>
        <v>Low Impact</v>
      </c>
    </row>
    <row r="701" spans="1:21" x14ac:dyDescent="0.3">
      <c r="A701" t="s">
        <v>1833</v>
      </c>
      <c r="B701">
        <v>26</v>
      </c>
      <c r="C701" t="s">
        <v>54</v>
      </c>
      <c r="D701" t="s">
        <v>40</v>
      </c>
      <c r="E701" t="s">
        <v>20</v>
      </c>
      <c r="F701" t="s">
        <v>118</v>
      </c>
      <c r="G701">
        <v>1</v>
      </c>
      <c r="H701" t="s">
        <v>22</v>
      </c>
      <c r="I701" t="s">
        <v>37</v>
      </c>
      <c r="J701" t="s">
        <v>25</v>
      </c>
      <c r="K701" s="2">
        <v>86488</v>
      </c>
      <c r="L701" s="2">
        <v>106703</v>
      </c>
      <c r="M701" t="s">
        <v>38</v>
      </c>
      <c r="N701">
        <v>49</v>
      </c>
      <c r="O701" t="s">
        <v>23</v>
      </c>
      <c r="P701">
        <v>7</v>
      </c>
      <c r="Q701" s="1">
        <v>18.670000000000002</v>
      </c>
      <c r="R701" s="2">
        <f t="shared" si="40"/>
        <v>20215</v>
      </c>
      <c r="S701" s="1">
        <f t="shared" si="41"/>
        <v>23.37318471926741</v>
      </c>
      <c r="T701" t="str">
        <f t="shared" si="42"/>
        <v>Beginner</v>
      </c>
      <c r="U701" t="str">
        <f t="shared" si="43"/>
        <v>Medium Impact</v>
      </c>
    </row>
    <row r="702" spans="1:21" x14ac:dyDescent="0.3">
      <c r="A702" t="s">
        <v>1011</v>
      </c>
      <c r="B702">
        <v>34</v>
      </c>
      <c r="C702" t="s">
        <v>18</v>
      </c>
      <c r="D702" t="s">
        <v>19</v>
      </c>
      <c r="E702" t="s">
        <v>41</v>
      </c>
      <c r="F702" t="s">
        <v>49</v>
      </c>
      <c r="G702">
        <v>9</v>
      </c>
      <c r="H702" t="s">
        <v>22</v>
      </c>
      <c r="I702" t="s">
        <v>22</v>
      </c>
      <c r="J702" t="s">
        <v>23</v>
      </c>
      <c r="K702" s="2">
        <v>96381</v>
      </c>
      <c r="L702" s="2">
        <v>77833</v>
      </c>
      <c r="M702" t="s">
        <v>24</v>
      </c>
      <c r="N702">
        <v>38</v>
      </c>
      <c r="O702" t="s">
        <v>25</v>
      </c>
      <c r="P702">
        <v>3</v>
      </c>
      <c r="Q702" s="1">
        <v>18.670000000000002</v>
      </c>
      <c r="R702" s="2">
        <f t="shared" si="40"/>
        <v>-18548</v>
      </c>
      <c r="S702" s="1">
        <f t="shared" si="41"/>
        <v>-19.244456895031178</v>
      </c>
      <c r="T702" t="str">
        <f t="shared" si="42"/>
        <v>Intermediate</v>
      </c>
      <c r="U702" t="str">
        <f t="shared" si="43"/>
        <v>High Impact</v>
      </c>
    </row>
    <row r="703" spans="1:21" x14ac:dyDescent="0.3">
      <c r="A703" t="s">
        <v>1556</v>
      </c>
      <c r="B703">
        <v>33</v>
      </c>
      <c r="C703" t="s">
        <v>27</v>
      </c>
      <c r="D703" t="s">
        <v>28</v>
      </c>
      <c r="E703" t="s">
        <v>51</v>
      </c>
      <c r="F703" t="s">
        <v>130</v>
      </c>
      <c r="G703">
        <v>10</v>
      </c>
      <c r="H703" t="s">
        <v>22</v>
      </c>
      <c r="I703" t="s">
        <v>37</v>
      </c>
      <c r="J703" t="s">
        <v>25</v>
      </c>
      <c r="K703" s="2">
        <v>118090</v>
      </c>
      <c r="L703" s="2">
        <v>130712</v>
      </c>
      <c r="M703" t="s">
        <v>38</v>
      </c>
      <c r="N703">
        <v>35</v>
      </c>
      <c r="O703" t="s">
        <v>25</v>
      </c>
      <c r="P703">
        <v>6</v>
      </c>
      <c r="Q703" s="1">
        <v>18.64</v>
      </c>
      <c r="R703" s="2">
        <f t="shared" si="40"/>
        <v>12622</v>
      </c>
      <c r="S703" s="1">
        <f t="shared" si="41"/>
        <v>10.688457955796427</v>
      </c>
      <c r="T703" t="str">
        <f t="shared" si="42"/>
        <v>Intermediate</v>
      </c>
      <c r="U703" t="str">
        <f t="shared" si="43"/>
        <v>Medium Impact</v>
      </c>
    </row>
    <row r="704" spans="1:21" x14ac:dyDescent="0.3">
      <c r="A704" t="s">
        <v>1392</v>
      </c>
      <c r="B704">
        <v>38</v>
      </c>
      <c r="C704" t="s">
        <v>18</v>
      </c>
      <c r="D704" t="s">
        <v>34</v>
      </c>
      <c r="E704" t="s">
        <v>20</v>
      </c>
      <c r="F704" t="s">
        <v>118</v>
      </c>
      <c r="G704">
        <v>16</v>
      </c>
      <c r="H704" t="s">
        <v>37</v>
      </c>
      <c r="I704" t="s">
        <v>37</v>
      </c>
      <c r="J704" t="s">
        <v>23</v>
      </c>
      <c r="K704" s="2">
        <v>107061</v>
      </c>
      <c r="L704" s="2">
        <v>105265</v>
      </c>
      <c r="M704" t="s">
        <v>38</v>
      </c>
      <c r="N704">
        <v>36</v>
      </c>
      <c r="O704" t="s">
        <v>23</v>
      </c>
      <c r="P704">
        <v>4</v>
      </c>
      <c r="Q704" s="1">
        <v>18.57</v>
      </c>
      <c r="R704" s="2">
        <f t="shared" si="40"/>
        <v>-1796</v>
      </c>
      <c r="S704" s="1">
        <f t="shared" si="41"/>
        <v>-1.6775483135782403</v>
      </c>
      <c r="T704" t="str">
        <f t="shared" si="42"/>
        <v>Expert</v>
      </c>
      <c r="U704" t="str">
        <f t="shared" si="43"/>
        <v>Medium Impact</v>
      </c>
    </row>
    <row r="705" spans="1:21" x14ac:dyDescent="0.3">
      <c r="A705" t="s">
        <v>1871</v>
      </c>
      <c r="B705">
        <v>23</v>
      </c>
      <c r="C705" t="s">
        <v>27</v>
      </c>
      <c r="D705" t="s">
        <v>19</v>
      </c>
      <c r="E705" t="s">
        <v>41</v>
      </c>
      <c r="F705" t="s">
        <v>42</v>
      </c>
      <c r="G705">
        <v>0</v>
      </c>
      <c r="H705" t="s">
        <v>22</v>
      </c>
      <c r="I705" t="s">
        <v>22</v>
      </c>
      <c r="J705" t="s">
        <v>23</v>
      </c>
      <c r="K705" s="2">
        <v>111049</v>
      </c>
      <c r="L705" s="2">
        <v>99318</v>
      </c>
      <c r="M705" t="s">
        <v>38</v>
      </c>
      <c r="N705">
        <v>40</v>
      </c>
      <c r="O705" t="s">
        <v>23</v>
      </c>
      <c r="P705">
        <v>5</v>
      </c>
      <c r="Q705" s="1">
        <v>18.57</v>
      </c>
      <c r="R705" s="2">
        <f t="shared" si="40"/>
        <v>-11731</v>
      </c>
      <c r="S705" s="1">
        <f t="shared" si="41"/>
        <v>-10.563805167088402</v>
      </c>
      <c r="T705" t="str">
        <f t="shared" si="42"/>
        <v>Beginner</v>
      </c>
      <c r="U705" t="str">
        <f t="shared" si="43"/>
        <v>Medium Impact</v>
      </c>
    </row>
    <row r="706" spans="1:21" x14ac:dyDescent="0.3">
      <c r="A706" t="s">
        <v>1461</v>
      </c>
      <c r="B706">
        <v>34</v>
      </c>
      <c r="C706" t="s">
        <v>27</v>
      </c>
      <c r="D706" t="s">
        <v>28</v>
      </c>
      <c r="E706" t="s">
        <v>20</v>
      </c>
      <c r="F706" t="s">
        <v>88</v>
      </c>
      <c r="G706">
        <v>9</v>
      </c>
      <c r="H706" t="s">
        <v>37</v>
      </c>
      <c r="I706" t="s">
        <v>31</v>
      </c>
      <c r="J706" t="s">
        <v>25</v>
      </c>
      <c r="K706" s="2">
        <v>68725</v>
      </c>
      <c r="L706" s="2">
        <v>65629</v>
      </c>
      <c r="M706" t="s">
        <v>32</v>
      </c>
      <c r="N706">
        <v>41</v>
      </c>
      <c r="O706" t="s">
        <v>23</v>
      </c>
      <c r="P706">
        <v>9</v>
      </c>
      <c r="Q706" s="1">
        <v>18.57</v>
      </c>
      <c r="R706" s="2">
        <f t="shared" ref="R706:R769" si="44">L706-K706</f>
        <v>-3096</v>
      </c>
      <c r="S706" s="1">
        <f t="shared" ref="S706:S769" si="45">(L706-K706)/K706*100</f>
        <v>-4.5049108766824304</v>
      </c>
      <c r="T706" t="str">
        <f t="shared" ref="T706:T769" si="46">IF(G706&lt;5,"Beginner",IF(G706&lt;15,"Intermediate","Expert"))</f>
        <v>Intermediate</v>
      </c>
      <c r="U706" t="str">
        <f t="shared" ref="U706:U769" si="47">IF(M706="Replaced","High Impact",IF(M706="Modified","Medium Impact","Low Impact"))</f>
        <v>Low Impact</v>
      </c>
    </row>
    <row r="707" spans="1:21" x14ac:dyDescent="0.3">
      <c r="A707" t="s">
        <v>1270</v>
      </c>
      <c r="B707">
        <v>24</v>
      </c>
      <c r="C707" t="s">
        <v>27</v>
      </c>
      <c r="D707" t="s">
        <v>40</v>
      </c>
      <c r="E707" t="s">
        <v>35</v>
      </c>
      <c r="F707" t="s">
        <v>98</v>
      </c>
      <c r="G707">
        <v>0</v>
      </c>
      <c r="H707" t="s">
        <v>37</v>
      </c>
      <c r="I707" t="s">
        <v>31</v>
      </c>
      <c r="J707" t="s">
        <v>23</v>
      </c>
      <c r="K707" s="2">
        <v>35387</v>
      </c>
      <c r="L707" s="2">
        <v>41270</v>
      </c>
      <c r="M707" t="s">
        <v>32</v>
      </c>
      <c r="N707">
        <v>51</v>
      </c>
      <c r="O707" t="s">
        <v>23</v>
      </c>
      <c r="P707">
        <v>9</v>
      </c>
      <c r="Q707" s="1">
        <v>18.48</v>
      </c>
      <c r="R707" s="2">
        <f t="shared" si="44"/>
        <v>5883</v>
      </c>
      <c r="S707" s="1">
        <f t="shared" si="45"/>
        <v>16.624749201684232</v>
      </c>
      <c r="T707" t="str">
        <f t="shared" si="46"/>
        <v>Beginner</v>
      </c>
      <c r="U707" t="str">
        <f t="shared" si="47"/>
        <v>Low Impact</v>
      </c>
    </row>
    <row r="708" spans="1:21" x14ac:dyDescent="0.3">
      <c r="A708" t="s">
        <v>360</v>
      </c>
      <c r="B708">
        <v>34</v>
      </c>
      <c r="C708" t="s">
        <v>54</v>
      </c>
      <c r="D708" t="s">
        <v>34</v>
      </c>
      <c r="E708" t="s">
        <v>20</v>
      </c>
      <c r="F708" t="s">
        <v>118</v>
      </c>
      <c r="G708">
        <v>9</v>
      </c>
      <c r="H708" t="s">
        <v>22</v>
      </c>
      <c r="I708" t="s">
        <v>37</v>
      </c>
      <c r="J708" t="s">
        <v>23</v>
      </c>
      <c r="K708" s="2">
        <v>82188</v>
      </c>
      <c r="L708" s="2">
        <v>70961</v>
      </c>
      <c r="M708" t="s">
        <v>38</v>
      </c>
      <c r="N708">
        <v>45</v>
      </c>
      <c r="O708" t="s">
        <v>25</v>
      </c>
      <c r="P708">
        <v>8</v>
      </c>
      <c r="Q708" s="1">
        <v>18.45</v>
      </c>
      <c r="R708" s="2">
        <f t="shared" si="44"/>
        <v>-11227</v>
      </c>
      <c r="S708" s="1">
        <f t="shared" si="45"/>
        <v>-13.6601450333382</v>
      </c>
      <c r="T708" t="str">
        <f t="shared" si="46"/>
        <v>Intermediate</v>
      </c>
      <c r="U708" t="str">
        <f t="shared" si="47"/>
        <v>Medium Impact</v>
      </c>
    </row>
    <row r="709" spans="1:21" x14ac:dyDescent="0.3">
      <c r="A709" t="s">
        <v>568</v>
      </c>
      <c r="B709">
        <v>49</v>
      </c>
      <c r="C709" t="s">
        <v>18</v>
      </c>
      <c r="D709" t="s">
        <v>40</v>
      </c>
      <c r="E709" t="s">
        <v>20</v>
      </c>
      <c r="F709" t="s">
        <v>21</v>
      </c>
      <c r="G709">
        <v>24</v>
      </c>
      <c r="H709" t="s">
        <v>31</v>
      </c>
      <c r="I709" t="s">
        <v>22</v>
      </c>
      <c r="J709" t="s">
        <v>25</v>
      </c>
      <c r="K709" s="2">
        <v>115029</v>
      </c>
      <c r="L709" s="2">
        <v>121902</v>
      </c>
      <c r="M709" t="s">
        <v>32</v>
      </c>
      <c r="N709">
        <v>43</v>
      </c>
      <c r="O709" t="s">
        <v>25</v>
      </c>
      <c r="P709">
        <v>7</v>
      </c>
      <c r="Q709" s="1">
        <v>18.440000000000001</v>
      </c>
      <c r="R709" s="2">
        <f t="shared" si="44"/>
        <v>6873</v>
      </c>
      <c r="S709" s="1">
        <f t="shared" si="45"/>
        <v>5.975014996218345</v>
      </c>
      <c r="T709" t="str">
        <f t="shared" si="46"/>
        <v>Expert</v>
      </c>
      <c r="U709" t="str">
        <f t="shared" si="47"/>
        <v>Low Impact</v>
      </c>
    </row>
    <row r="710" spans="1:21" x14ac:dyDescent="0.3">
      <c r="A710" t="s">
        <v>1353</v>
      </c>
      <c r="B710">
        <v>46</v>
      </c>
      <c r="C710" t="s">
        <v>27</v>
      </c>
      <c r="D710" t="s">
        <v>28</v>
      </c>
      <c r="E710" t="s">
        <v>29</v>
      </c>
      <c r="F710" t="s">
        <v>30</v>
      </c>
      <c r="G710">
        <v>24</v>
      </c>
      <c r="H710" t="s">
        <v>31</v>
      </c>
      <c r="I710" t="s">
        <v>22</v>
      </c>
      <c r="J710" t="s">
        <v>23</v>
      </c>
      <c r="K710" s="2">
        <v>108947</v>
      </c>
      <c r="L710" s="2">
        <v>105581</v>
      </c>
      <c r="M710" t="s">
        <v>32</v>
      </c>
      <c r="N710">
        <v>38</v>
      </c>
      <c r="O710" t="s">
        <v>23</v>
      </c>
      <c r="P710">
        <v>3</v>
      </c>
      <c r="Q710" s="1">
        <v>18.36</v>
      </c>
      <c r="R710" s="2">
        <f t="shared" si="44"/>
        <v>-3366</v>
      </c>
      <c r="S710" s="1">
        <f t="shared" si="45"/>
        <v>-3.0895756652317181</v>
      </c>
      <c r="T710" t="str">
        <f t="shared" si="46"/>
        <v>Expert</v>
      </c>
      <c r="U710" t="str">
        <f t="shared" si="47"/>
        <v>Low Impact</v>
      </c>
    </row>
    <row r="711" spans="1:21" x14ac:dyDescent="0.3">
      <c r="A711" t="s">
        <v>470</v>
      </c>
      <c r="B711">
        <v>30</v>
      </c>
      <c r="C711" t="s">
        <v>27</v>
      </c>
      <c r="D711" t="s">
        <v>28</v>
      </c>
      <c r="E711" t="s">
        <v>59</v>
      </c>
      <c r="F711" t="s">
        <v>77</v>
      </c>
      <c r="G711">
        <v>8</v>
      </c>
      <c r="H711" t="s">
        <v>22</v>
      </c>
      <c r="I711" t="s">
        <v>31</v>
      </c>
      <c r="J711" t="s">
        <v>25</v>
      </c>
      <c r="K711" s="2">
        <v>76619</v>
      </c>
      <c r="L711" s="2">
        <v>69195</v>
      </c>
      <c r="M711" t="s">
        <v>32</v>
      </c>
      <c r="N711">
        <v>36</v>
      </c>
      <c r="O711" t="s">
        <v>23</v>
      </c>
      <c r="P711">
        <v>7</v>
      </c>
      <c r="Q711" s="1">
        <v>18.27</v>
      </c>
      <c r="R711" s="2">
        <f t="shared" si="44"/>
        <v>-7424</v>
      </c>
      <c r="S711" s="1">
        <f t="shared" si="45"/>
        <v>-9.6895026037927927</v>
      </c>
      <c r="T711" t="str">
        <f t="shared" si="46"/>
        <v>Intermediate</v>
      </c>
      <c r="U711" t="str">
        <f t="shared" si="47"/>
        <v>Low Impact</v>
      </c>
    </row>
    <row r="712" spans="1:21" x14ac:dyDescent="0.3">
      <c r="A712" t="s">
        <v>1290</v>
      </c>
      <c r="B712">
        <v>50</v>
      </c>
      <c r="C712" t="s">
        <v>54</v>
      </c>
      <c r="D712" t="s">
        <v>40</v>
      </c>
      <c r="E712" t="s">
        <v>20</v>
      </c>
      <c r="F712" t="s">
        <v>88</v>
      </c>
      <c r="G712">
        <v>28</v>
      </c>
      <c r="H712" t="s">
        <v>31</v>
      </c>
      <c r="I712" t="s">
        <v>22</v>
      </c>
      <c r="J712" t="s">
        <v>25</v>
      </c>
      <c r="K712" s="2">
        <v>104051</v>
      </c>
      <c r="L712" s="2">
        <v>107806</v>
      </c>
      <c r="M712" t="s">
        <v>32</v>
      </c>
      <c r="N712">
        <v>51</v>
      </c>
      <c r="O712" t="s">
        <v>23</v>
      </c>
      <c r="P712">
        <v>4</v>
      </c>
      <c r="Q712" s="1">
        <v>18.239999999999998</v>
      </c>
      <c r="R712" s="2">
        <f t="shared" si="44"/>
        <v>3755</v>
      </c>
      <c r="S712" s="1">
        <f t="shared" si="45"/>
        <v>3.6088072195365735</v>
      </c>
      <c r="T712" t="str">
        <f t="shared" si="46"/>
        <v>Expert</v>
      </c>
      <c r="U712" t="str">
        <f t="shared" si="47"/>
        <v>Low Impact</v>
      </c>
    </row>
    <row r="713" spans="1:21" x14ac:dyDescent="0.3">
      <c r="A713" t="s">
        <v>1086</v>
      </c>
      <c r="B713">
        <v>43</v>
      </c>
      <c r="C713" t="s">
        <v>27</v>
      </c>
      <c r="D713" t="s">
        <v>28</v>
      </c>
      <c r="E713" t="s">
        <v>44</v>
      </c>
      <c r="F713" t="s">
        <v>47</v>
      </c>
      <c r="G713">
        <v>20</v>
      </c>
      <c r="H713" t="s">
        <v>31</v>
      </c>
      <c r="I713" t="s">
        <v>22</v>
      </c>
      <c r="J713" t="s">
        <v>23</v>
      </c>
      <c r="K713" s="2">
        <v>50390</v>
      </c>
      <c r="L713" s="2">
        <v>54936</v>
      </c>
      <c r="M713" t="s">
        <v>32</v>
      </c>
      <c r="N713">
        <v>53</v>
      </c>
      <c r="O713" t="s">
        <v>25</v>
      </c>
      <c r="P713">
        <v>9</v>
      </c>
      <c r="Q713" s="1">
        <v>18.23</v>
      </c>
      <c r="R713" s="2">
        <f t="shared" si="44"/>
        <v>4546</v>
      </c>
      <c r="S713" s="1">
        <f t="shared" si="45"/>
        <v>9.0216312760468345</v>
      </c>
      <c r="T713" t="str">
        <f t="shared" si="46"/>
        <v>Expert</v>
      </c>
      <c r="U713" t="str">
        <f t="shared" si="47"/>
        <v>Low Impact</v>
      </c>
    </row>
    <row r="714" spans="1:21" x14ac:dyDescent="0.3">
      <c r="A714" t="s">
        <v>1453</v>
      </c>
      <c r="B714">
        <v>45</v>
      </c>
      <c r="C714" t="s">
        <v>54</v>
      </c>
      <c r="D714" t="s">
        <v>34</v>
      </c>
      <c r="E714" t="s">
        <v>44</v>
      </c>
      <c r="F714" t="s">
        <v>45</v>
      </c>
      <c r="G714">
        <v>21</v>
      </c>
      <c r="H714" t="s">
        <v>22</v>
      </c>
      <c r="I714" t="s">
        <v>37</v>
      </c>
      <c r="J714" t="s">
        <v>25</v>
      </c>
      <c r="K714" s="2">
        <v>44925</v>
      </c>
      <c r="L714" s="2">
        <v>48020</v>
      </c>
      <c r="M714" t="s">
        <v>38</v>
      </c>
      <c r="N714">
        <v>37</v>
      </c>
      <c r="O714" t="s">
        <v>23</v>
      </c>
      <c r="P714">
        <v>6</v>
      </c>
      <c r="Q714" s="1">
        <v>18.2</v>
      </c>
      <c r="R714" s="2">
        <f t="shared" si="44"/>
        <v>3095</v>
      </c>
      <c r="S714" s="1">
        <f t="shared" si="45"/>
        <v>6.8892598775737337</v>
      </c>
      <c r="T714" t="str">
        <f t="shared" si="46"/>
        <v>Expert</v>
      </c>
      <c r="U714" t="str">
        <f t="shared" si="47"/>
        <v>Medium Impact</v>
      </c>
    </row>
    <row r="715" spans="1:21" x14ac:dyDescent="0.3">
      <c r="A715" t="s">
        <v>646</v>
      </c>
      <c r="B715">
        <v>59</v>
      </c>
      <c r="C715" t="s">
        <v>18</v>
      </c>
      <c r="D715" t="s">
        <v>19</v>
      </c>
      <c r="E715" t="s">
        <v>51</v>
      </c>
      <c r="F715" t="s">
        <v>75</v>
      </c>
      <c r="G715">
        <v>37</v>
      </c>
      <c r="H715" t="s">
        <v>22</v>
      </c>
      <c r="I715" t="s">
        <v>22</v>
      </c>
      <c r="J715" t="s">
        <v>25</v>
      </c>
      <c r="K715" s="2">
        <v>83442</v>
      </c>
      <c r="L715" s="2">
        <v>113768</v>
      </c>
      <c r="M715" t="s">
        <v>38</v>
      </c>
      <c r="N715">
        <v>35</v>
      </c>
      <c r="O715" t="s">
        <v>23</v>
      </c>
      <c r="P715">
        <v>8</v>
      </c>
      <c r="Q715" s="1">
        <v>18.18</v>
      </c>
      <c r="R715" s="2">
        <f t="shared" si="44"/>
        <v>30326</v>
      </c>
      <c r="S715" s="1">
        <f t="shared" si="45"/>
        <v>36.343807674792075</v>
      </c>
      <c r="T715" t="str">
        <f t="shared" si="46"/>
        <v>Expert</v>
      </c>
      <c r="U715" t="str">
        <f t="shared" si="47"/>
        <v>Medium Impact</v>
      </c>
    </row>
    <row r="716" spans="1:21" x14ac:dyDescent="0.3">
      <c r="A716" t="s">
        <v>390</v>
      </c>
      <c r="B716">
        <v>40</v>
      </c>
      <c r="C716" t="s">
        <v>18</v>
      </c>
      <c r="D716" t="s">
        <v>34</v>
      </c>
      <c r="E716" t="s">
        <v>20</v>
      </c>
      <c r="F716" t="s">
        <v>88</v>
      </c>
      <c r="G716">
        <v>14</v>
      </c>
      <c r="H716" t="s">
        <v>22</v>
      </c>
      <c r="I716" t="s">
        <v>22</v>
      </c>
      <c r="J716" t="s">
        <v>23</v>
      </c>
      <c r="K716" s="2">
        <v>59725</v>
      </c>
      <c r="L716" s="2">
        <v>79075</v>
      </c>
      <c r="M716" t="s">
        <v>24</v>
      </c>
      <c r="N716">
        <v>39</v>
      </c>
      <c r="O716" t="s">
        <v>23</v>
      </c>
      <c r="P716">
        <v>9</v>
      </c>
      <c r="Q716" s="1">
        <v>18.18</v>
      </c>
      <c r="R716" s="2">
        <f t="shared" si="44"/>
        <v>19350</v>
      </c>
      <c r="S716" s="1">
        <f t="shared" si="45"/>
        <v>32.398493093344491</v>
      </c>
      <c r="T716" t="str">
        <f t="shared" si="46"/>
        <v>Intermediate</v>
      </c>
      <c r="U716" t="str">
        <f t="shared" si="47"/>
        <v>High Impact</v>
      </c>
    </row>
    <row r="717" spans="1:21" x14ac:dyDescent="0.3">
      <c r="A717" t="s">
        <v>1163</v>
      </c>
      <c r="B717">
        <v>51</v>
      </c>
      <c r="C717" t="s">
        <v>54</v>
      </c>
      <c r="D717" t="s">
        <v>34</v>
      </c>
      <c r="E717" t="s">
        <v>20</v>
      </c>
      <c r="F717" t="s">
        <v>118</v>
      </c>
      <c r="G717">
        <v>26</v>
      </c>
      <c r="H717" t="s">
        <v>31</v>
      </c>
      <c r="I717" t="s">
        <v>37</v>
      </c>
      <c r="J717" t="s">
        <v>25</v>
      </c>
      <c r="K717" s="2">
        <v>49276</v>
      </c>
      <c r="L717" s="2">
        <v>51779</v>
      </c>
      <c r="M717" t="s">
        <v>38</v>
      </c>
      <c r="N717">
        <v>38</v>
      </c>
      <c r="O717" t="s">
        <v>25</v>
      </c>
      <c r="P717">
        <v>6</v>
      </c>
      <c r="Q717" s="1">
        <v>18.13</v>
      </c>
      <c r="R717" s="2">
        <f t="shared" si="44"/>
        <v>2503</v>
      </c>
      <c r="S717" s="1">
        <f t="shared" si="45"/>
        <v>5.0795519116811434</v>
      </c>
      <c r="T717" t="str">
        <f t="shared" si="46"/>
        <v>Expert</v>
      </c>
      <c r="U717" t="str">
        <f t="shared" si="47"/>
        <v>Medium Impact</v>
      </c>
    </row>
    <row r="718" spans="1:21" x14ac:dyDescent="0.3">
      <c r="A718" t="s">
        <v>1990</v>
      </c>
      <c r="B718">
        <v>52</v>
      </c>
      <c r="C718" t="s">
        <v>18</v>
      </c>
      <c r="D718" t="s">
        <v>34</v>
      </c>
      <c r="E718" t="s">
        <v>44</v>
      </c>
      <c r="F718" t="s">
        <v>47</v>
      </c>
      <c r="G718">
        <v>28</v>
      </c>
      <c r="H718" t="s">
        <v>31</v>
      </c>
      <c r="I718" t="s">
        <v>22</v>
      </c>
      <c r="J718" t="s">
        <v>25</v>
      </c>
      <c r="K718" s="2">
        <v>77310</v>
      </c>
      <c r="L718" s="2">
        <v>78197</v>
      </c>
      <c r="M718" t="s">
        <v>32</v>
      </c>
      <c r="N718">
        <v>44</v>
      </c>
      <c r="O718" t="s">
        <v>25</v>
      </c>
      <c r="P718">
        <v>4</v>
      </c>
      <c r="Q718" s="1">
        <v>18.04</v>
      </c>
      <c r="R718" s="2">
        <f t="shared" si="44"/>
        <v>887</v>
      </c>
      <c r="S718" s="1">
        <f t="shared" si="45"/>
        <v>1.1473289354546632</v>
      </c>
      <c r="T718" t="str">
        <f t="shared" si="46"/>
        <v>Expert</v>
      </c>
      <c r="U718" t="str">
        <f t="shared" si="47"/>
        <v>Low Impact</v>
      </c>
    </row>
    <row r="719" spans="1:21" x14ac:dyDescent="0.3">
      <c r="A719" t="s">
        <v>1861</v>
      </c>
      <c r="B719">
        <v>59</v>
      </c>
      <c r="C719" t="s">
        <v>27</v>
      </c>
      <c r="D719" t="s">
        <v>19</v>
      </c>
      <c r="E719" t="s">
        <v>41</v>
      </c>
      <c r="F719" t="s">
        <v>42</v>
      </c>
      <c r="G719">
        <v>36</v>
      </c>
      <c r="H719" t="s">
        <v>22</v>
      </c>
      <c r="I719" t="s">
        <v>31</v>
      </c>
      <c r="J719" t="s">
        <v>25</v>
      </c>
      <c r="K719" s="2">
        <v>103511</v>
      </c>
      <c r="L719" s="2">
        <v>89042</v>
      </c>
      <c r="M719" t="s">
        <v>32</v>
      </c>
      <c r="N719">
        <v>53</v>
      </c>
      <c r="O719" t="s">
        <v>23</v>
      </c>
      <c r="P719">
        <v>9</v>
      </c>
      <c r="Q719" s="1">
        <v>18.03</v>
      </c>
      <c r="R719" s="2">
        <f t="shared" si="44"/>
        <v>-14469</v>
      </c>
      <c r="S719" s="1">
        <f t="shared" si="45"/>
        <v>-13.978224536522688</v>
      </c>
      <c r="T719" t="str">
        <f t="shared" si="46"/>
        <v>Expert</v>
      </c>
      <c r="U719" t="str">
        <f t="shared" si="47"/>
        <v>Low Impact</v>
      </c>
    </row>
    <row r="720" spans="1:21" x14ac:dyDescent="0.3">
      <c r="A720" t="s">
        <v>904</v>
      </c>
      <c r="B720">
        <v>50</v>
      </c>
      <c r="C720" t="s">
        <v>18</v>
      </c>
      <c r="D720" t="s">
        <v>34</v>
      </c>
      <c r="E720" t="s">
        <v>44</v>
      </c>
      <c r="F720" t="s">
        <v>45</v>
      </c>
      <c r="G720">
        <v>27</v>
      </c>
      <c r="H720" t="s">
        <v>22</v>
      </c>
      <c r="I720" t="s">
        <v>31</v>
      </c>
      <c r="J720" t="s">
        <v>25</v>
      </c>
      <c r="K720" s="2">
        <v>89470</v>
      </c>
      <c r="L720" s="2">
        <v>105318</v>
      </c>
      <c r="M720" t="s">
        <v>32</v>
      </c>
      <c r="N720">
        <v>35</v>
      </c>
      <c r="O720" t="s">
        <v>23</v>
      </c>
      <c r="P720">
        <v>3</v>
      </c>
      <c r="Q720" s="1">
        <v>18</v>
      </c>
      <c r="R720" s="2">
        <f t="shared" si="44"/>
        <v>15848</v>
      </c>
      <c r="S720" s="1">
        <f t="shared" si="45"/>
        <v>17.713199955292279</v>
      </c>
      <c r="T720" t="str">
        <f t="shared" si="46"/>
        <v>Expert</v>
      </c>
      <c r="U720" t="str">
        <f t="shared" si="47"/>
        <v>Low Impact</v>
      </c>
    </row>
    <row r="721" spans="1:21" x14ac:dyDescent="0.3">
      <c r="A721" t="s">
        <v>836</v>
      </c>
      <c r="B721">
        <v>44</v>
      </c>
      <c r="C721" t="s">
        <v>54</v>
      </c>
      <c r="D721" t="s">
        <v>34</v>
      </c>
      <c r="E721" t="s">
        <v>35</v>
      </c>
      <c r="F721" t="s">
        <v>36</v>
      </c>
      <c r="G721">
        <v>19</v>
      </c>
      <c r="H721" t="s">
        <v>37</v>
      </c>
      <c r="I721" t="s">
        <v>22</v>
      </c>
      <c r="J721" t="s">
        <v>25</v>
      </c>
      <c r="K721" s="2">
        <v>52837</v>
      </c>
      <c r="L721" s="2">
        <v>48491</v>
      </c>
      <c r="M721" t="s">
        <v>32</v>
      </c>
      <c r="N721">
        <v>37</v>
      </c>
      <c r="O721" t="s">
        <v>23</v>
      </c>
      <c r="P721">
        <v>6</v>
      </c>
      <c r="Q721" s="1">
        <v>17.97</v>
      </c>
      <c r="R721" s="2">
        <f t="shared" si="44"/>
        <v>-4346</v>
      </c>
      <c r="S721" s="1">
        <f t="shared" si="45"/>
        <v>-8.2252966671082763</v>
      </c>
      <c r="T721" t="str">
        <f t="shared" si="46"/>
        <v>Expert</v>
      </c>
      <c r="U721" t="str">
        <f t="shared" si="47"/>
        <v>Low Impact</v>
      </c>
    </row>
    <row r="722" spans="1:21" x14ac:dyDescent="0.3">
      <c r="A722" t="s">
        <v>301</v>
      </c>
      <c r="B722">
        <v>47</v>
      </c>
      <c r="C722" t="s">
        <v>54</v>
      </c>
      <c r="D722" t="s">
        <v>34</v>
      </c>
      <c r="E722" t="s">
        <v>20</v>
      </c>
      <c r="F722" t="s">
        <v>88</v>
      </c>
      <c r="G722">
        <v>22</v>
      </c>
      <c r="H722" t="s">
        <v>37</v>
      </c>
      <c r="I722" t="s">
        <v>31</v>
      </c>
      <c r="J722" t="s">
        <v>23</v>
      </c>
      <c r="K722" s="2">
        <v>53279</v>
      </c>
      <c r="L722" s="2">
        <v>57570</v>
      </c>
      <c r="M722" t="s">
        <v>32</v>
      </c>
      <c r="N722">
        <v>48</v>
      </c>
      <c r="O722" t="s">
        <v>23</v>
      </c>
      <c r="P722">
        <v>8</v>
      </c>
      <c r="Q722" s="1">
        <v>17.95</v>
      </c>
      <c r="R722" s="2">
        <f t="shared" si="44"/>
        <v>4291</v>
      </c>
      <c r="S722" s="1">
        <f t="shared" si="45"/>
        <v>8.0538298391486318</v>
      </c>
      <c r="T722" t="str">
        <f t="shared" si="46"/>
        <v>Expert</v>
      </c>
      <c r="U722" t="str">
        <f t="shared" si="47"/>
        <v>Low Impact</v>
      </c>
    </row>
    <row r="723" spans="1:21" x14ac:dyDescent="0.3">
      <c r="A723" t="s">
        <v>642</v>
      </c>
      <c r="B723">
        <v>47</v>
      </c>
      <c r="C723" t="s">
        <v>54</v>
      </c>
      <c r="D723" t="s">
        <v>34</v>
      </c>
      <c r="E723" t="s">
        <v>20</v>
      </c>
      <c r="F723" t="s">
        <v>88</v>
      </c>
      <c r="G723">
        <v>22</v>
      </c>
      <c r="H723" t="s">
        <v>22</v>
      </c>
      <c r="I723" t="s">
        <v>31</v>
      </c>
      <c r="J723" t="s">
        <v>23</v>
      </c>
      <c r="K723" s="2">
        <v>96025</v>
      </c>
      <c r="L723" s="2">
        <v>110167</v>
      </c>
      <c r="M723" t="s">
        <v>32</v>
      </c>
      <c r="N723">
        <v>44</v>
      </c>
      <c r="O723" t="s">
        <v>23</v>
      </c>
      <c r="P723">
        <v>6</v>
      </c>
      <c r="Q723" s="1">
        <v>17.940000000000001</v>
      </c>
      <c r="R723" s="2">
        <f t="shared" si="44"/>
        <v>14142</v>
      </c>
      <c r="S723" s="1">
        <f t="shared" si="45"/>
        <v>14.727414735745899</v>
      </c>
      <c r="T723" t="str">
        <f t="shared" si="46"/>
        <v>Expert</v>
      </c>
      <c r="U723" t="str">
        <f t="shared" si="47"/>
        <v>Low Impact</v>
      </c>
    </row>
    <row r="724" spans="1:21" x14ac:dyDescent="0.3">
      <c r="A724" t="s">
        <v>859</v>
      </c>
      <c r="B724">
        <v>23</v>
      </c>
      <c r="C724" t="s">
        <v>27</v>
      </c>
      <c r="D724" t="s">
        <v>34</v>
      </c>
      <c r="E724" t="s">
        <v>51</v>
      </c>
      <c r="F724" t="s">
        <v>52</v>
      </c>
      <c r="G724">
        <v>1</v>
      </c>
      <c r="H724" t="s">
        <v>22</v>
      </c>
      <c r="I724" t="s">
        <v>22</v>
      </c>
      <c r="J724" t="s">
        <v>23</v>
      </c>
      <c r="K724" s="2">
        <v>33084</v>
      </c>
      <c r="L724" s="2">
        <v>34966</v>
      </c>
      <c r="M724" t="s">
        <v>24</v>
      </c>
      <c r="N724">
        <v>40</v>
      </c>
      <c r="O724" t="s">
        <v>23</v>
      </c>
      <c r="P724">
        <v>5</v>
      </c>
      <c r="Q724" s="1">
        <v>17.920000000000002</v>
      </c>
      <c r="R724" s="2">
        <f t="shared" si="44"/>
        <v>1882</v>
      </c>
      <c r="S724" s="1">
        <f t="shared" si="45"/>
        <v>5.6885503566678759</v>
      </c>
      <c r="T724" t="str">
        <f t="shared" si="46"/>
        <v>Beginner</v>
      </c>
      <c r="U724" t="str">
        <f t="shared" si="47"/>
        <v>High Impact</v>
      </c>
    </row>
    <row r="725" spans="1:21" x14ac:dyDescent="0.3">
      <c r="A725" t="s">
        <v>817</v>
      </c>
      <c r="B725">
        <v>55</v>
      </c>
      <c r="C725" t="s">
        <v>18</v>
      </c>
      <c r="D725" t="s">
        <v>19</v>
      </c>
      <c r="E725" t="s">
        <v>59</v>
      </c>
      <c r="F725" t="s">
        <v>77</v>
      </c>
      <c r="G725">
        <v>29</v>
      </c>
      <c r="H725" t="s">
        <v>37</v>
      </c>
      <c r="I725" t="s">
        <v>31</v>
      </c>
      <c r="J725" t="s">
        <v>25</v>
      </c>
      <c r="K725" s="2">
        <v>47857</v>
      </c>
      <c r="L725" s="2">
        <v>54929</v>
      </c>
      <c r="M725" t="s">
        <v>32</v>
      </c>
      <c r="N725">
        <v>50</v>
      </c>
      <c r="O725" t="s">
        <v>25</v>
      </c>
      <c r="P725">
        <v>9</v>
      </c>
      <c r="Q725" s="1">
        <v>17.89</v>
      </c>
      <c r="R725" s="2">
        <f t="shared" si="44"/>
        <v>7072</v>
      </c>
      <c r="S725" s="1">
        <f t="shared" si="45"/>
        <v>14.777357544350878</v>
      </c>
      <c r="T725" t="str">
        <f t="shared" si="46"/>
        <v>Expert</v>
      </c>
      <c r="U725" t="str">
        <f t="shared" si="47"/>
        <v>Low Impact</v>
      </c>
    </row>
    <row r="726" spans="1:21" x14ac:dyDescent="0.3">
      <c r="A726" t="s">
        <v>91</v>
      </c>
      <c r="B726">
        <v>43</v>
      </c>
      <c r="C726" t="s">
        <v>27</v>
      </c>
      <c r="D726" t="s">
        <v>28</v>
      </c>
      <c r="E726" t="s">
        <v>41</v>
      </c>
      <c r="F726" t="s">
        <v>42</v>
      </c>
      <c r="G726">
        <v>17</v>
      </c>
      <c r="H726" t="s">
        <v>22</v>
      </c>
      <c r="I726" t="s">
        <v>22</v>
      </c>
      <c r="J726" t="s">
        <v>25</v>
      </c>
      <c r="K726" s="2">
        <v>104290</v>
      </c>
      <c r="L726" s="2">
        <v>139250</v>
      </c>
      <c r="M726" t="s">
        <v>38</v>
      </c>
      <c r="N726">
        <v>36</v>
      </c>
      <c r="O726" t="s">
        <v>23</v>
      </c>
      <c r="P726">
        <v>7</v>
      </c>
      <c r="Q726" s="1">
        <v>17.87</v>
      </c>
      <c r="R726" s="2">
        <f t="shared" si="44"/>
        <v>34960</v>
      </c>
      <c r="S726" s="1">
        <f t="shared" si="45"/>
        <v>33.521910058490747</v>
      </c>
      <c r="T726" t="str">
        <f t="shared" si="46"/>
        <v>Expert</v>
      </c>
      <c r="U726" t="str">
        <f t="shared" si="47"/>
        <v>Medium Impact</v>
      </c>
    </row>
    <row r="727" spans="1:21" x14ac:dyDescent="0.3">
      <c r="A727" t="s">
        <v>541</v>
      </c>
      <c r="B727">
        <v>47</v>
      </c>
      <c r="C727" t="s">
        <v>54</v>
      </c>
      <c r="D727" t="s">
        <v>34</v>
      </c>
      <c r="E727" t="s">
        <v>41</v>
      </c>
      <c r="F727" t="s">
        <v>55</v>
      </c>
      <c r="G727">
        <v>25</v>
      </c>
      <c r="H727" t="s">
        <v>22</v>
      </c>
      <c r="I727" t="s">
        <v>31</v>
      </c>
      <c r="J727" t="s">
        <v>25</v>
      </c>
      <c r="K727" s="2">
        <v>46241</v>
      </c>
      <c r="L727" s="2">
        <v>37210</v>
      </c>
      <c r="M727" t="s">
        <v>32</v>
      </c>
      <c r="N727">
        <v>45</v>
      </c>
      <c r="O727" t="s">
        <v>23</v>
      </c>
      <c r="P727">
        <v>8</v>
      </c>
      <c r="Q727" s="1">
        <v>17.86</v>
      </c>
      <c r="R727" s="2">
        <f t="shared" si="44"/>
        <v>-9031</v>
      </c>
      <c r="S727" s="1">
        <f t="shared" si="45"/>
        <v>-19.530286974762657</v>
      </c>
      <c r="T727" t="str">
        <f t="shared" si="46"/>
        <v>Expert</v>
      </c>
      <c r="U727" t="str">
        <f t="shared" si="47"/>
        <v>Low Impact</v>
      </c>
    </row>
    <row r="728" spans="1:21" x14ac:dyDescent="0.3">
      <c r="A728" t="s">
        <v>1329</v>
      </c>
      <c r="B728">
        <v>50</v>
      </c>
      <c r="C728" t="s">
        <v>27</v>
      </c>
      <c r="D728" t="s">
        <v>34</v>
      </c>
      <c r="E728" t="s">
        <v>20</v>
      </c>
      <c r="F728" t="s">
        <v>118</v>
      </c>
      <c r="G728">
        <v>27</v>
      </c>
      <c r="H728" t="s">
        <v>37</v>
      </c>
      <c r="I728" t="s">
        <v>22</v>
      </c>
      <c r="J728" t="s">
        <v>23</v>
      </c>
      <c r="K728" s="2">
        <v>84273</v>
      </c>
      <c r="L728" s="2">
        <v>96112</v>
      </c>
      <c r="M728" t="s">
        <v>32</v>
      </c>
      <c r="N728">
        <v>48</v>
      </c>
      <c r="O728" t="s">
        <v>25</v>
      </c>
      <c r="P728">
        <v>6</v>
      </c>
      <c r="Q728" s="1">
        <v>17.829999999999998</v>
      </c>
      <c r="R728" s="2">
        <f t="shared" si="44"/>
        <v>11839</v>
      </c>
      <c r="S728" s="1">
        <f t="shared" si="45"/>
        <v>14.048390350408791</v>
      </c>
      <c r="T728" t="str">
        <f t="shared" si="46"/>
        <v>Expert</v>
      </c>
      <c r="U728" t="str">
        <f t="shared" si="47"/>
        <v>Low Impact</v>
      </c>
    </row>
    <row r="729" spans="1:21" x14ac:dyDescent="0.3">
      <c r="A729" t="s">
        <v>1075</v>
      </c>
      <c r="B729">
        <v>33</v>
      </c>
      <c r="C729" t="s">
        <v>18</v>
      </c>
      <c r="D729" t="s">
        <v>28</v>
      </c>
      <c r="E729" t="s">
        <v>59</v>
      </c>
      <c r="F729" t="s">
        <v>77</v>
      </c>
      <c r="G729">
        <v>11</v>
      </c>
      <c r="H729" t="s">
        <v>22</v>
      </c>
      <c r="I729" t="s">
        <v>31</v>
      </c>
      <c r="J729" t="s">
        <v>25</v>
      </c>
      <c r="K729" s="2">
        <v>105235</v>
      </c>
      <c r="L729" s="2">
        <v>122344</v>
      </c>
      <c r="M729" t="s">
        <v>32</v>
      </c>
      <c r="N729">
        <v>52</v>
      </c>
      <c r="O729" t="s">
        <v>23</v>
      </c>
      <c r="P729">
        <v>7</v>
      </c>
      <c r="Q729" s="1">
        <v>17.8</v>
      </c>
      <c r="R729" s="2">
        <f t="shared" si="44"/>
        <v>17109</v>
      </c>
      <c r="S729" s="1">
        <f t="shared" si="45"/>
        <v>16.257898987979285</v>
      </c>
      <c r="T729" t="str">
        <f t="shared" si="46"/>
        <v>Intermediate</v>
      </c>
      <c r="U729" t="str">
        <f t="shared" si="47"/>
        <v>Low Impact</v>
      </c>
    </row>
    <row r="730" spans="1:21" x14ac:dyDescent="0.3">
      <c r="A730" t="s">
        <v>1896</v>
      </c>
      <c r="B730">
        <v>36</v>
      </c>
      <c r="C730" t="s">
        <v>54</v>
      </c>
      <c r="D730" t="s">
        <v>34</v>
      </c>
      <c r="E730" t="s">
        <v>29</v>
      </c>
      <c r="F730" t="s">
        <v>30</v>
      </c>
      <c r="G730">
        <v>10</v>
      </c>
      <c r="H730" t="s">
        <v>37</v>
      </c>
      <c r="I730" t="s">
        <v>22</v>
      </c>
      <c r="J730" t="s">
        <v>25</v>
      </c>
      <c r="K730" s="2">
        <v>83013</v>
      </c>
      <c r="L730" s="2">
        <v>89412</v>
      </c>
      <c r="M730" t="s">
        <v>32</v>
      </c>
      <c r="N730">
        <v>48</v>
      </c>
      <c r="O730" t="s">
        <v>23</v>
      </c>
      <c r="P730">
        <v>5</v>
      </c>
      <c r="Q730" s="1">
        <v>17.8</v>
      </c>
      <c r="R730" s="2">
        <f t="shared" si="44"/>
        <v>6399</v>
      </c>
      <c r="S730" s="1">
        <f t="shared" si="45"/>
        <v>7.7084312095695857</v>
      </c>
      <c r="T730" t="str">
        <f t="shared" si="46"/>
        <v>Intermediate</v>
      </c>
      <c r="U730" t="str">
        <f t="shared" si="47"/>
        <v>Low Impact</v>
      </c>
    </row>
    <row r="731" spans="1:21" x14ac:dyDescent="0.3">
      <c r="A731" t="s">
        <v>1304</v>
      </c>
      <c r="B731">
        <v>41</v>
      </c>
      <c r="C731" t="s">
        <v>54</v>
      </c>
      <c r="D731" t="s">
        <v>28</v>
      </c>
      <c r="E731" t="s">
        <v>59</v>
      </c>
      <c r="F731" t="s">
        <v>60</v>
      </c>
      <c r="G731">
        <v>18</v>
      </c>
      <c r="H731" t="s">
        <v>31</v>
      </c>
      <c r="I731" t="s">
        <v>31</v>
      </c>
      <c r="J731" t="s">
        <v>25</v>
      </c>
      <c r="K731" s="2">
        <v>41173</v>
      </c>
      <c r="L731" s="2">
        <v>41652</v>
      </c>
      <c r="M731" t="s">
        <v>32</v>
      </c>
      <c r="N731">
        <v>53</v>
      </c>
      <c r="O731" t="s">
        <v>25</v>
      </c>
      <c r="P731">
        <v>3</v>
      </c>
      <c r="Q731" s="1">
        <v>17.75</v>
      </c>
      <c r="R731" s="2">
        <f t="shared" si="44"/>
        <v>479</v>
      </c>
      <c r="S731" s="1">
        <f t="shared" si="45"/>
        <v>1.1633837709178345</v>
      </c>
      <c r="T731" t="str">
        <f t="shared" si="46"/>
        <v>Expert</v>
      </c>
      <c r="U731" t="str">
        <f t="shared" si="47"/>
        <v>Low Impact</v>
      </c>
    </row>
    <row r="732" spans="1:21" x14ac:dyDescent="0.3">
      <c r="A732" t="s">
        <v>1081</v>
      </c>
      <c r="B732">
        <v>53</v>
      </c>
      <c r="C732" t="s">
        <v>54</v>
      </c>
      <c r="D732" t="s">
        <v>40</v>
      </c>
      <c r="E732" t="s">
        <v>29</v>
      </c>
      <c r="F732" t="s">
        <v>104</v>
      </c>
      <c r="G732">
        <v>28</v>
      </c>
      <c r="H732" t="s">
        <v>31</v>
      </c>
      <c r="I732" t="s">
        <v>22</v>
      </c>
      <c r="J732" t="s">
        <v>25</v>
      </c>
      <c r="K732" s="2">
        <v>51575</v>
      </c>
      <c r="L732" s="2">
        <v>50827</v>
      </c>
      <c r="M732" t="s">
        <v>32</v>
      </c>
      <c r="N732">
        <v>39</v>
      </c>
      <c r="O732" t="s">
        <v>25</v>
      </c>
      <c r="P732">
        <v>3</v>
      </c>
      <c r="Q732" s="1">
        <v>17.68</v>
      </c>
      <c r="R732" s="2">
        <f t="shared" si="44"/>
        <v>-748</v>
      </c>
      <c r="S732" s="1">
        <f t="shared" si="45"/>
        <v>-1.4503150751333012</v>
      </c>
      <c r="T732" t="str">
        <f t="shared" si="46"/>
        <v>Expert</v>
      </c>
      <c r="U732" t="str">
        <f t="shared" si="47"/>
        <v>Low Impact</v>
      </c>
    </row>
    <row r="733" spans="1:21" x14ac:dyDescent="0.3">
      <c r="A733" t="s">
        <v>354</v>
      </c>
      <c r="B733">
        <v>33</v>
      </c>
      <c r="C733" t="s">
        <v>27</v>
      </c>
      <c r="D733" t="s">
        <v>28</v>
      </c>
      <c r="E733" t="s">
        <v>44</v>
      </c>
      <c r="F733" t="s">
        <v>57</v>
      </c>
      <c r="G733">
        <v>11</v>
      </c>
      <c r="H733" t="s">
        <v>31</v>
      </c>
      <c r="I733" t="s">
        <v>31</v>
      </c>
      <c r="J733" t="s">
        <v>25</v>
      </c>
      <c r="K733" s="2">
        <v>42329</v>
      </c>
      <c r="L733" s="2">
        <v>43639</v>
      </c>
      <c r="M733" t="s">
        <v>32</v>
      </c>
      <c r="N733">
        <v>44</v>
      </c>
      <c r="O733" t="s">
        <v>25</v>
      </c>
      <c r="P733">
        <v>8</v>
      </c>
      <c r="Q733" s="1">
        <v>17.68</v>
      </c>
      <c r="R733" s="2">
        <f t="shared" si="44"/>
        <v>1310</v>
      </c>
      <c r="S733" s="1">
        <f t="shared" si="45"/>
        <v>3.0948049800373267</v>
      </c>
      <c r="T733" t="str">
        <f t="shared" si="46"/>
        <v>Intermediate</v>
      </c>
      <c r="U733" t="str">
        <f t="shared" si="47"/>
        <v>Low Impact</v>
      </c>
    </row>
    <row r="734" spans="1:21" x14ac:dyDescent="0.3">
      <c r="A734" t="s">
        <v>166</v>
      </c>
      <c r="B734">
        <v>48</v>
      </c>
      <c r="C734" t="s">
        <v>27</v>
      </c>
      <c r="D734" t="s">
        <v>40</v>
      </c>
      <c r="E734" t="s">
        <v>59</v>
      </c>
      <c r="F734" t="s">
        <v>93</v>
      </c>
      <c r="G734">
        <v>26</v>
      </c>
      <c r="H734" t="s">
        <v>31</v>
      </c>
      <c r="I734" t="s">
        <v>31</v>
      </c>
      <c r="J734" t="s">
        <v>25</v>
      </c>
      <c r="K734" s="2">
        <v>53321</v>
      </c>
      <c r="L734" s="2">
        <v>57048</v>
      </c>
      <c r="M734" t="s">
        <v>32</v>
      </c>
      <c r="N734">
        <v>49</v>
      </c>
      <c r="O734" t="s">
        <v>23</v>
      </c>
      <c r="P734">
        <v>8</v>
      </c>
      <c r="Q734" s="1">
        <v>17.670000000000002</v>
      </c>
      <c r="R734" s="2">
        <f t="shared" si="44"/>
        <v>3727</v>
      </c>
      <c r="S734" s="1">
        <f t="shared" si="45"/>
        <v>6.9897413776935906</v>
      </c>
      <c r="T734" t="str">
        <f t="shared" si="46"/>
        <v>Expert</v>
      </c>
      <c r="U734" t="str">
        <f t="shared" si="47"/>
        <v>Low Impact</v>
      </c>
    </row>
    <row r="735" spans="1:21" x14ac:dyDescent="0.3">
      <c r="A735" t="s">
        <v>962</v>
      </c>
      <c r="B735">
        <v>59</v>
      </c>
      <c r="C735" t="s">
        <v>18</v>
      </c>
      <c r="D735" t="s">
        <v>40</v>
      </c>
      <c r="E735" t="s">
        <v>59</v>
      </c>
      <c r="F735" t="s">
        <v>93</v>
      </c>
      <c r="G735">
        <v>34</v>
      </c>
      <c r="H735" t="s">
        <v>37</v>
      </c>
      <c r="I735" t="s">
        <v>37</v>
      </c>
      <c r="J735" t="s">
        <v>23</v>
      </c>
      <c r="K735" s="2">
        <v>112464</v>
      </c>
      <c r="L735" s="2">
        <v>108476</v>
      </c>
      <c r="M735" t="s">
        <v>38</v>
      </c>
      <c r="N735">
        <v>39</v>
      </c>
      <c r="O735" t="s">
        <v>25</v>
      </c>
      <c r="P735">
        <v>5</v>
      </c>
      <c r="Q735" s="1">
        <v>17.649999999999999</v>
      </c>
      <c r="R735" s="2">
        <f t="shared" si="44"/>
        <v>-3988</v>
      </c>
      <c r="S735" s="1">
        <f t="shared" si="45"/>
        <v>-3.5460236164461518</v>
      </c>
      <c r="T735" t="str">
        <f t="shared" si="46"/>
        <v>Expert</v>
      </c>
      <c r="U735" t="str">
        <f t="shared" si="47"/>
        <v>Medium Impact</v>
      </c>
    </row>
    <row r="736" spans="1:21" x14ac:dyDescent="0.3">
      <c r="A736" t="s">
        <v>1571</v>
      </c>
      <c r="B736">
        <v>33</v>
      </c>
      <c r="C736" t="s">
        <v>54</v>
      </c>
      <c r="D736" t="s">
        <v>28</v>
      </c>
      <c r="E736" t="s">
        <v>59</v>
      </c>
      <c r="F736" t="s">
        <v>77</v>
      </c>
      <c r="G736">
        <v>9</v>
      </c>
      <c r="H736" t="s">
        <v>22</v>
      </c>
      <c r="I736" t="s">
        <v>37</v>
      </c>
      <c r="J736" t="s">
        <v>25</v>
      </c>
      <c r="K736" s="2">
        <v>88715</v>
      </c>
      <c r="L736" s="2">
        <v>89594</v>
      </c>
      <c r="M736" t="s">
        <v>38</v>
      </c>
      <c r="N736">
        <v>40</v>
      </c>
      <c r="O736" t="s">
        <v>23</v>
      </c>
      <c r="P736">
        <v>3</v>
      </c>
      <c r="Q736" s="1">
        <v>17.649999999999999</v>
      </c>
      <c r="R736" s="2">
        <f t="shared" si="44"/>
        <v>879</v>
      </c>
      <c r="S736" s="1">
        <f t="shared" si="45"/>
        <v>0.99081327847601874</v>
      </c>
      <c r="T736" t="str">
        <f t="shared" si="46"/>
        <v>Intermediate</v>
      </c>
      <c r="U736" t="str">
        <f t="shared" si="47"/>
        <v>Medium Impact</v>
      </c>
    </row>
    <row r="737" spans="1:21" x14ac:dyDescent="0.3">
      <c r="A737" t="s">
        <v>1606</v>
      </c>
      <c r="B737">
        <v>25</v>
      </c>
      <c r="C737" t="s">
        <v>27</v>
      </c>
      <c r="D737" t="s">
        <v>40</v>
      </c>
      <c r="E737" t="s">
        <v>41</v>
      </c>
      <c r="F737" t="s">
        <v>55</v>
      </c>
      <c r="G737">
        <v>0</v>
      </c>
      <c r="H737" t="s">
        <v>31</v>
      </c>
      <c r="I737" t="s">
        <v>37</v>
      </c>
      <c r="J737" t="s">
        <v>23</v>
      </c>
      <c r="K737" s="2">
        <v>39649</v>
      </c>
      <c r="L737" s="2">
        <v>41274</v>
      </c>
      <c r="M737" t="s">
        <v>38</v>
      </c>
      <c r="N737">
        <v>42</v>
      </c>
      <c r="O737" t="s">
        <v>25</v>
      </c>
      <c r="P737">
        <v>6</v>
      </c>
      <c r="Q737" s="1">
        <v>17.61</v>
      </c>
      <c r="R737" s="2">
        <f t="shared" si="44"/>
        <v>1625</v>
      </c>
      <c r="S737" s="1">
        <f t="shared" si="45"/>
        <v>4.0984640217912176</v>
      </c>
      <c r="T737" t="str">
        <f t="shared" si="46"/>
        <v>Beginner</v>
      </c>
      <c r="U737" t="str">
        <f t="shared" si="47"/>
        <v>Medium Impact</v>
      </c>
    </row>
    <row r="738" spans="1:21" x14ac:dyDescent="0.3">
      <c r="A738" t="s">
        <v>1674</v>
      </c>
      <c r="B738">
        <v>50</v>
      </c>
      <c r="C738" t="s">
        <v>18</v>
      </c>
      <c r="D738" t="s">
        <v>34</v>
      </c>
      <c r="E738" t="s">
        <v>44</v>
      </c>
      <c r="F738" t="s">
        <v>57</v>
      </c>
      <c r="G738">
        <v>25</v>
      </c>
      <c r="H738" t="s">
        <v>37</v>
      </c>
      <c r="I738" t="s">
        <v>22</v>
      </c>
      <c r="J738" t="s">
        <v>23</v>
      </c>
      <c r="K738" s="2">
        <v>77147</v>
      </c>
      <c r="L738" s="2">
        <v>80248</v>
      </c>
      <c r="M738" t="s">
        <v>32</v>
      </c>
      <c r="N738">
        <v>52</v>
      </c>
      <c r="O738" t="s">
        <v>25</v>
      </c>
      <c r="P738">
        <v>7</v>
      </c>
      <c r="Q738" s="1">
        <v>17.59</v>
      </c>
      <c r="R738" s="2">
        <f t="shared" si="44"/>
        <v>3101</v>
      </c>
      <c r="S738" s="1">
        <f t="shared" si="45"/>
        <v>4.0195989474639324</v>
      </c>
      <c r="T738" t="str">
        <f t="shared" si="46"/>
        <v>Expert</v>
      </c>
      <c r="U738" t="str">
        <f t="shared" si="47"/>
        <v>Low Impact</v>
      </c>
    </row>
    <row r="739" spans="1:21" x14ac:dyDescent="0.3">
      <c r="A739" t="s">
        <v>280</v>
      </c>
      <c r="B739">
        <v>29</v>
      </c>
      <c r="C739" t="s">
        <v>18</v>
      </c>
      <c r="D739" t="s">
        <v>19</v>
      </c>
      <c r="E739" t="s">
        <v>51</v>
      </c>
      <c r="F739" t="s">
        <v>52</v>
      </c>
      <c r="G739">
        <v>5</v>
      </c>
      <c r="H739" t="s">
        <v>22</v>
      </c>
      <c r="I739" t="s">
        <v>31</v>
      </c>
      <c r="J739" t="s">
        <v>23</v>
      </c>
      <c r="K739" s="2">
        <v>115553</v>
      </c>
      <c r="L739" s="2">
        <v>145205</v>
      </c>
      <c r="M739" t="s">
        <v>32</v>
      </c>
      <c r="N739">
        <v>46</v>
      </c>
      <c r="O739" t="s">
        <v>25</v>
      </c>
      <c r="P739">
        <v>7</v>
      </c>
      <c r="Q739" s="1">
        <v>17.57</v>
      </c>
      <c r="R739" s="2">
        <f t="shared" si="44"/>
        <v>29652</v>
      </c>
      <c r="S739" s="1">
        <f t="shared" si="45"/>
        <v>25.660952117210282</v>
      </c>
      <c r="T739" t="str">
        <f t="shared" si="46"/>
        <v>Intermediate</v>
      </c>
      <c r="U739" t="str">
        <f t="shared" si="47"/>
        <v>Low Impact</v>
      </c>
    </row>
    <row r="740" spans="1:21" x14ac:dyDescent="0.3">
      <c r="A740" t="s">
        <v>1868</v>
      </c>
      <c r="B740">
        <v>31</v>
      </c>
      <c r="C740" t="s">
        <v>18</v>
      </c>
      <c r="D740" t="s">
        <v>40</v>
      </c>
      <c r="E740" t="s">
        <v>51</v>
      </c>
      <c r="F740" t="s">
        <v>52</v>
      </c>
      <c r="G740">
        <v>7</v>
      </c>
      <c r="H740" t="s">
        <v>31</v>
      </c>
      <c r="I740" t="s">
        <v>22</v>
      </c>
      <c r="J740" t="s">
        <v>23</v>
      </c>
      <c r="K740" s="2">
        <v>47175</v>
      </c>
      <c r="L740" s="2">
        <v>47811</v>
      </c>
      <c r="M740" t="s">
        <v>32</v>
      </c>
      <c r="N740">
        <v>35</v>
      </c>
      <c r="O740" t="s">
        <v>23</v>
      </c>
      <c r="P740">
        <v>8</v>
      </c>
      <c r="Q740" s="1">
        <v>17.57</v>
      </c>
      <c r="R740" s="2">
        <f t="shared" si="44"/>
        <v>636</v>
      </c>
      <c r="S740" s="1">
        <f t="shared" si="45"/>
        <v>1.3481717011128775</v>
      </c>
      <c r="T740" t="str">
        <f t="shared" si="46"/>
        <v>Intermediate</v>
      </c>
      <c r="U740" t="str">
        <f t="shared" si="47"/>
        <v>Low Impact</v>
      </c>
    </row>
    <row r="741" spans="1:21" x14ac:dyDescent="0.3">
      <c r="A741" t="s">
        <v>1945</v>
      </c>
      <c r="B741">
        <v>35</v>
      </c>
      <c r="C741" t="s">
        <v>27</v>
      </c>
      <c r="D741" t="s">
        <v>19</v>
      </c>
      <c r="E741" t="s">
        <v>59</v>
      </c>
      <c r="F741" t="s">
        <v>93</v>
      </c>
      <c r="G741">
        <v>12</v>
      </c>
      <c r="H741" t="s">
        <v>31</v>
      </c>
      <c r="I741" t="s">
        <v>37</v>
      </c>
      <c r="J741" t="s">
        <v>23</v>
      </c>
      <c r="K741" s="2">
        <v>109036</v>
      </c>
      <c r="L741" s="2">
        <v>109716</v>
      </c>
      <c r="M741" t="s">
        <v>38</v>
      </c>
      <c r="N741">
        <v>42</v>
      </c>
      <c r="O741" t="s">
        <v>23</v>
      </c>
      <c r="P741">
        <v>7</v>
      </c>
      <c r="Q741" s="1">
        <v>17.55</v>
      </c>
      <c r="R741" s="2">
        <f t="shared" si="44"/>
        <v>680</v>
      </c>
      <c r="S741" s="1">
        <f t="shared" si="45"/>
        <v>0.6236472357753402</v>
      </c>
      <c r="T741" t="str">
        <f t="shared" si="46"/>
        <v>Intermediate</v>
      </c>
      <c r="U741" t="str">
        <f t="shared" si="47"/>
        <v>Medium Impact</v>
      </c>
    </row>
    <row r="742" spans="1:21" x14ac:dyDescent="0.3">
      <c r="A742" t="s">
        <v>1042</v>
      </c>
      <c r="B742">
        <v>48</v>
      </c>
      <c r="C742" t="s">
        <v>54</v>
      </c>
      <c r="D742" t="s">
        <v>28</v>
      </c>
      <c r="E742" t="s">
        <v>51</v>
      </c>
      <c r="F742" t="s">
        <v>130</v>
      </c>
      <c r="G742">
        <v>22</v>
      </c>
      <c r="H742" t="s">
        <v>22</v>
      </c>
      <c r="I742" t="s">
        <v>31</v>
      </c>
      <c r="J742" t="s">
        <v>23</v>
      </c>
      <c r="K742" s="2">
        <v>47948</v>
      </c>
      <c r="L742" s="2">
        <v>59510</v>
      </c>
      <c r="M742" t="s">
        <v>32</v>
      </c>
      <c r="N742">
        <v>42</v>
      </c>
      <c r="O742" t="s">
        <v>25</v>
      </c>
      <c r="P742">
        <v>9</v>
      </c>
      <c r="Q742" s="1">
        <v>17.54</v>
      </c>
      <c r="R742" s="2">
        <f t="shared" si="44"/>
        <v>11562</v>
      </c>
      <c r="S742" s="1">
        <f t="shared" si="45"/>
        <v>24.113623091682655</v>
      </c>
      <c r="T742" t="str">
        <f t="shared" si="46"/>
        <v>Expert</v>
      </c>
      <c r="U742" t="str">
        <f t="shared" si="47"/>
        <v>Low Impact</v>
      </c>
    </row>
    <row r="743" spans="1:21" x14ac:dyDescent="0.3">
      <c r="A743" t="s">
        <v>219</v>
      </c>
      <c r="B743">
        <v>50</v>
      </c>
      <c r="C743" t="s">
        <v>27</v>
      </c>
      <c r="D743" t="s">
        <v>34</v>
      </c>
      <c r="E743" t="s">
        <v>44</v>
      </c>
      <c r="F743" t="s">
        <v>57</v>
      </c>
      <c r="G743">
        <v>25</v>
      </c>
      <c r="H743" t="s">
        <v>22</v>
      </c>
      <c r="I743" t="s">
        <v>31</v>
      </c>
      <c r="J743" t="s">
        <v>25</v>
      </c>
      <c r="K743" s="2">
        <v>38705</v>
      </c>
      <c r="L743" s="2">
        <v>52111</v>
      </c>
      <c r="M743" t="s">
        <v>32</v>
      </c>
      <c r="N743">
        <v>45</v>
      </c>
      <c r="O743" t="s">
        <v>23</v>
      </c>
      <c r="P743">
        <v>4</v>
      </c>
      <c r="Q743" s="1">
        <v>17.489999999999998</v>
      </c>
      <c r="R743" s="2">
        <f t="shared" si="44"/>
        <v>13406</v>
      </c>
      <c r="S743" s="1">
        <f t="shared" si="45"/>
        <v>34.636351892520345</v>
      </c>
      <c r="T743" t="str">
        <f t="shared" si="46"/>
        <v>Expert</v>
      </c>
      <c r="U743" t="str">
        <f t="shared" si="47"/>
        <v>Low Impact</v>
      </c>
    </row>
    <row r="744" spans="1:21" x14ac:dyDescent="0.3">
      <c r="A744" t="s">
        <v>220</v>
      </c>
      <c r="B744">
        <v>23</v>
      </c>
      <c r="C744" t="s">
        <v>54</v>
      </c>
      <c r="D744" t="s">
        <v>34</v>
      </c>
      <c r="E744" t="s">
        <v>51</v>
      </c>
      <c r="F744" t="s">
        <v>75</v>
      </c>
      <c r="G744">
        <v>0</v>
      </c>
      <c r="H744" t="s">
        <v>22</v>
      </c>
      <c r="I744" t="s">
        <v>37</v>
      </c>
      <c r="J744" t="s">
        <v>23</v>
      </c>
      <c r="K744" s="2">
        <v>106918</v>
      </c>
      <c r="L744" s="2">
        <v>102730</v>
      </c>
      <c r="M744" t="s">
        <v>38</v>
      </c>
      <c r="N744">
        <v>40</v>
      </c>
      <c r="O744" t="s">
        <v>23</v>
      </c>
      <c r="P744">
        <v>8</v>
      </c>
      <c r="Q744" s="1">
        <v>17.45</v>
      </c>
      <c r="R744" s="2">
        <f t="shared" si="44"/>
        <v>-4188</v>
      </c>
      <c r="S744" s="1">
        <f t="shared" si="45"/>
        <v>-3.9170205203988102</v>
      </c>
      <c r="T744" t="str">
        <f t="shared" si="46"/>
        <v>Beginner</v>
      </c>
      <c r="U744" t="str">
        <f t="shared" si="47"/>
        <v>Medium Impact</v>
      </c>
    </row>
    <row r="745" spans="1:21" x14ac:dyDescent="0.3">
      <c r="A745" t="s">
        <v>349</v>
      </c>
      <c r="B745">
        <v>22</v>
      </c>
      <c r="C745" t="s">
        <v>18</v>
      </c>
      <c r="D745" t="s">
        <v>28</v>
      </c>
      <c r="E745" t="s">
        <v>29</v>
      </c>
      <c r="F745" t="s">
        <v>104</v>
      </c>
      <c r="G745">
        <v>0</v>
      </c>
      <c r="H745" t="s">
        <v>31</v>
      </c>
      <c r="I745" t="s">
        <v>37</v>
      </c>
      <c r="J745" t="s">
        <v>23</v>
      </c>
      <c r="K745" s="2">
        <v>112205</v>
      </c>
      <c r="L745" s="2">
        <v>115362</v>
      </c>
      <c r="M745" t="s">
        <v>38</v>
      </c>
      <c r="N745">
        <v>52</v>
      </c>
      <c r="O745" t="s">
        <v>25</v>
      </c>
      <c r="P745">
        <v>9</v>
      </c>
      <c r="Q745" s="1">
        <v>17.420000000000002</v>
      </c>
      <c r="R745" s="2">
        <f t="shared" si="44"/>
        <v>3157</v>
      </c>
      <c r="S745" s="1">
        <f t="shared" si="45"/>
        <v>2.8136001069471059</v>
      </c>
      <c r="T745" t="str">
        <f t="shared" si="46"/>
        <v>Beginner</v>
      </c>
      <c r="U745" t="str">
        <f t="shared" si="47"/>
        <v>Medium Impact</v>
      </c>
    </row>
    <row r="746" spans="1:21" x14ac:dyDescent="0.3">
      <c r="A746" t="s">
        <v>1880</v>
      </c>
      <c r="B746">
        <v>54</v>
      </c>
      <c r="C746" t="s">
        <v>27</v>
      </c>
      <c r="D746" t="s">
        <v>28</v>
      </c>
      <c r="E746" t="s">
        <v>44</v>
      </c>
      <c r="F746" t="s">
        <v>45</v>
      </c>
      <c r="G746">
        <v>30</v>
      </c>
      <c r="H746" t="s">
        <v>31</v>
      </c>
      <c r="I746" t="s">
        <v>22</v>
      </c>
      <c r="J746" t="s">
        <v>25</v>
      </c>
      <c r="K746" s="2">
        <v>117329</v>
      </c>
      <c r="L746" s="2">
        <v>119136</v>
      </c>
      <c r="M746" t="s">
        <v>32</v>
      </c>
      <c r="N746">
        <v>48</v>
      </c>
      <c r="O746" t="s">
        <v>25</v>
      </c>
      <c r="P746">
        <v>3</v>
      </c>
      <c r="Q746" s="1">
        <v>17.39</v>
      </c>
      <c r="R746" s="2">
        <f t="shared" si="44"/>
        <v>1807</v>
      </c>
      <c r="S746" s="1">
        <f t="shared" si="45"/>
        <v>1.5401136973808691</v>
      </c>
      <c r="T746" t="str">
        <f t="shared" si="46"/>
        <v>Expert</v>
      </c>
      <c r="U746" t="str">
        <f t="shared" si="47"/>
        <v>Low Impact</v>
      </c>
    </row>
    <row r="747" spans="1:21" x14ac:dyDescent="0.3">
      <c r="A747" t="s">
        <v>1109</v>
      </c>
      <c r="B747">
        <v>46</v>
      </c>
      <c r="C747" t="s">
        <v>27</v>
      </c>
      <c r="D747" t="s">
        <v>28</v>
      </c>
      <c r="E747" t="s">
        <v>35</v>
      </c>
      <c r="F747" t="s">
        <v>98</v>
      </c>
      <c r="G747">
        <v>21</v>
      </c>
      <c r="H747" t="s">
        <v>22</v>
      </c>
      <c r="I747" t="s">
        <v>37</v>
      </c>
      <c r="J747" t="s">
        <v>25</v>
      </c>
      <c r="K747" s="2">
        <v>118534</v>
      </c>
      <c r="L747" s="2">
        <v>102022</v>
      </c>
      <c r="M747" t="s">
        <v>38</v>
      </c>
      <c r="N747">
        <v>52</v>
      </c>
      <c r="O747" t="s">
        <v>23</v>
      </c>
      <c r="P747">
        <v>9</v>
      </c>
      <c r="Q747" s="1">
        <v>17.39</v>
      </c>
      <c r="R747" s="2">
        <f t="shared" si="44"/>
        <v>-16512</v>
      </c>
      <c r="S747" s="1">
        <f t="shared" si="45"/>
        <v>-13.930180370189143</v>
      </c>
      <c r="T747" t="str">
        <f t="shared" si="46"/>
        <v>Expert</v>
      </c>
      <c r="U747" t="str">
        <f t="shared" si="47"/>
        <v>Medium Impact</v>
      </c>
    </row>
    <row r="748" spans="1:21" x14ac:dyDescent="0.3">
      <c r="A748" t="s">
        <v>1835</v>
      </c>
      <c r="B748">
        <v>51</v>
      </c>
      <c r="C748" t="s">
        <v>18</v>
      </c>
      <c r="D748" t="s">
        <v>40</v>
      </c>
      <c r="E748" t="s">
        <v>29</v>
      </c>
      <c r="F748" t="s">
        <v>30</v>
      </c>
      <c r="G748">
        <v>25</v>
      </c>
      <c r="H748" t="s">
        <v>31</v>
      </c>
      <c r="I748" t="s">
        <v>31</v>
      </c>
      <c r="J748" t="s">
        <v>23</v>
      </c>
      <c r="K748" s="2">
        <v>111981</v>
      </c>
      <c r="L748" s="2">
        <v>119551</v>
      </c>
      <c r="M748" t="s">
        <v>32</v>
      </c>
      <c r="N748">
        <v>39</v>
      </c>
      <c r="O748" t="s">
        <v>23</v>
      </c>
      <c r="P748">
        <v>6</v>
      </c>
      <c r="Q748" s="1">
        <v>17.350000000000001</v>
      </c>
      <c r="R748" s="2">
        <f t="shared" si="44"/>
        <v>7570</v>
      </c>
      <c r="S748" s="1">
        <f t="shared" si="45"/>
        <v>6.7600753699288267</v>
      </c>
      <c r="T748" t="str">
        <f t="shared" si="46"/>
        <v>Expert</v>
      </c>
      <c r="U748" t="str">
        <f t="shared" si="47"/>
        <v>Low Impact</v>
      </c>
    </row>
    <row r="749" spans="1:21" x14ac:dyDescent="0.3">
      <c r="A749" t="s">
        <v>1186</v>
      </c>
      <c r="B749">
        <v>33</v>
      </c>
      <c r="C749" t="s">
        <v>27</v>
      </c>
      <c r="D749" t="s">
        <v>28</v>
      </c>
      <c r="E749" t="s">
        <v>41</v>
      </c>
      <c r="F749" t="s">
        <v>42</v>
      </c>
      <c r="G749">
        <v>7</v>
      </c>
      <c r="H749" t="s">
        <v>31</v>
      </c>
      <c r="I749" t="s">
        <v>22</v>
      </c>
      <c r="J749" t="s">
        <v>25</v>
      </c>
      <c r="K749" s="2">
        <v>116338</v>
      </c>
      <c r="L749" s="2">
        <v>118940</v>
      </c>
      <c r="M749" t="s">
        <v>32</v>
      </c>
      <c r="N749">
        <v>53</v>
      </c>
      <c r="O749" t="s">
        <v>25</v>
      </c>
      <c r="P749">
        <v>9</v>
      </c>
      <c r="Q749" s="1">
        <v>17.350000000000001</v>
      </c>
      <c r="R749" s="2">
        <f t="shared" si="44"/>
        <v>2602</v>
      </c>
      <c r="S749" s="1">
        <f t="shared" si="45"/>
        <v>2.2365864979628327</v>
      </c>
      <c r="T749" t="str">
        <f t="shared" si="46"/>
        <v>Intermediate</v>
      </c>
      <c r="U749" t="str">
        <f t="shared" si="47"/>
        <v>Low Impact</v>
      </c>
    </row>
    <row r="750" spans="1:21" x14ac:dyDescent="0.3">
      <c r="A750" t="s">
        <v>459</v>
      </c>
      <c r="B750">
        <v>22</v>
      </c>
      <c r="C750" t="s">
        <v>27</v>
      </c>
      <c r="D750" t="s">
        <v>40</v>
      </c>
      <c r="E750" t="s">
        <v>35</v>
      </c>
      <c r="F750" t="s">
        <v>36</v>
      </c>
      <c r="G750">
        <v>0</v>
      </c>
      <c r="H750" t="s">
        <v>31</v>
      </c>
      <c r="I750" t="s">
        <v>37</v>
      </c>
      <c r="J750" t="s">
        <v>23</v>
      </c>
      <c r="K750" s="2">
        <v>105868</v>
      </c>
      <c r="L750" s="2">
        <v>108085</v>
      </c>
      <c r="M750" t="s">
        <v>38</v>
      </c>
      <c r="N750">
        <v>48</v>
      </c>
      <c r="O750" t="s">
        <v>25</v>
      </c>
      <c r="P750">
        <v>5</v>
      </c>
      <c r="Q750" s="1">
        <v>17.350000000000001</v>
      </c>
      <c r="R750" s="2">
        <f t="shared" si="44"/>
        <v>2217</v>
      </c>
      <c r="S750" s="1">
        <f t="shared" si="45"/>
        <v>2.0941172025541239</v>
      </c>
      <c r="T750" t="str">
        <f t="shared" si="46"/>
        <v>Beginner</v>
      </c>
      <c r="U750" t="str">
        <f t="shared" si="47"/>
        <v>Medium Impact</v>
      </c>
    </row>
    <row r="751" spans="1:21" x14ac:dyDescent="0.3">
      <c r="A751" t="s">
        <v>1326</v>
      </c>
      <c r="B751">
        <v>46</v>
      </c>
      <c r="C751" t="s">
        <v>18</v>
      </c>
      <c r="D751" t="s">
        <v>28</v>
      </c>
      <c r="E751" t="s">
        <v>29</v>
      </c>
      <c r="F751" t="s">
        <v>102</v>
      </c>
      <c r="G751">
        <v>23</v>
      </c>
      <c r="H751" t="s">
        <v>37</v>
      </c>
      <c r="I751" t="s">
        <v>22</v>
      </c>
      <c r="J751" t="s">
        <v>23</v>
      </c>
      <c r="K751" s="2">
        <v>71420</v>
      </c>
      <c r="L751" s="2">
        <v>67288</v>
      </c>
      <c r="M751" t="s">
        <v>32</v>
      </c>
      <c r="N751">
        <v>43</v>
      </c>
      <c r="O751" t="s">
        <v>23</v>
      </c>
      <c r="P751">
        <v>8</v>
      </c>
      <c r="Q751" s="1">
        <v>17.350000000000001</v>
      </c>
      <c r="R751" s="2">
        <f t="shared" si="44"/>
        <v>-4132</v>
      </c>
      <c r="S751" s="1">
        <f t="shared" si="45"/>
        <v>-5.7854942593111174</v>
      </c>
      <c r="T751" t="str">
        <f t="shared" si="46"/>
        <v>Expert</v>
      </c>
      <c r="U751" t="str">
        <f t="shared" si="47"/>
        <v>Low Impact</v>
      </c>
    </row>
    <row r="752" spans="1:21" x14ac:dyDescent="0.3">
      <c r="A752" t="s">
        <v>1277</v>
      </c>
      <c r="B752">
        <v>39</v>
      </c>
      <c r="C752" t="s">
        <v>27</v>
      </c>
      <c r="D752" t="s">
        <v>19</v>
      </c>
      <c r="E752" t="s">
        <v>35</v>
      </c>
      <c r="F752" t="s">
        <v>98</v>
      </c>
      <c r="G752">
        <v>15</v>
      </c>
      <c r="H752" t="s">
        <v>31</v>
      </c>
      <c r="I752" t="s">
        <v>31</v>
      </c>
      <c r="J752" t="s">
        <v>25</v>
      </c>
      <c r="K752" s="2">
        <v>70969</v>
      </c>
      <c r="L752" s="2">
        <v>71099</v>
      </c>
      <c r="M752" t="s">
        <v>32</v>
      </c>
      <c r="N752">
        <v>45</v>
      </c>
      <c r="O752" t="s">
        <v>25</v>
      </c>
      <c r="P752">
        <v>3</v>
      </c>
      <c r="Q752" s="1">
        <v>17.29</v>
      </c>
      <c r="R752" s="2">
        <f t="shared" si="44"/>
        <v>130</v>
      </c>
      <c r="S752" s="1">
        <f t="shared" si="45"/>
        <v>0.1831785709253336</v>
      </c>
      <c r="T752" t="str">
        <f t="shared" si="46"/>
        <v>Expert</v>
      </c>
      <c r="U752" t="str">
        <f t="shared" si="47"/>
        <v>Low Impact</v>
      </c>
    </row>
    <row r="753" spans="1:21" x14ac:dyDescent="0.3">
      <c r="A753" t="s">
        <v>903</v>
      </c>
      <c r="B753">
        <v>23</v>
      </c>
      <c r="C753" t="s">
        <v>18</v>
      </c>
      <c r="D753" t="s">
        <v>19</v>
      </c>
      <c r="E753" t="s">
        <v>59</v>
      </c>
      <c r="F753" t="s">
        <v>77</v>
      </c>
      <c r="G753">
        <v>0</v>
      </c>
      <c r="H753" t="s">
        <v>22</v>
      </c>
      <c r="I753" t="s">
        <v>31</v>
      </c>
      <c r="J753" t="s">
        <v>23</v>
      </c>
      <c r="K753" s="2">
        <v>70544</v>
      </c>
      <c r="L753" s="2">
        <v>77943</v>
      </c>
      <c r="M753" t="s">
        <v>32</v>
      </c>
      <c r="N753">
        <v>50</v>
      </c>
      <c r="O753" t="s">
        <v>25</v>
      </c>
      <c r="P753">
        <v>8</v>
      </c>
      <c r="Q753" s="1">
        <v>17.21</v>
      </c>
      <c r="R753" s="2">
        <f t="shared" si="44"/>
        <v>7399</v>
      </c>
      <c r="S753" s="1">
        <f t="shared" si="45"/>
        <v>10.488489453390791</v>
      </c>
      <c r="T753" t="str">
        <f t="shared" si="46"/>
        <v>Beginner</v>
      </c>
      <c r="U753" t="str">
        <f t="shared" si="47"/>
        <v>Low Impact</v>
      </c>
    </row>
    <row r="754" spans="1:21" x14ac:dyDescent="0.3">
      <c r="A754" t="s">
        <v>538</v>
      </c>
      <c r="B754">
        <v>43</v>
      </c>
      <c r="C754" t="s">
        <v>18</v>
      </c>
      <c r="D754" t="s">
        <v>19</v>
      </c>
      <c r="E754" t="s">
        <v>29</v>
      </c>
      <c r="F754" t="s">
        <v>102</v>
      </c>
      <c r="G754">
        <v>21</v>
      </c>
      <c r="H754" t="s">
        <v>37</v>
      </c>
      <c r="I754" t="s">
        <v>31</v>
      </c>
      <c r="J754" t="s">
        <v>23</v>
      </c>
      <c r="K754" s="2">
        <v>68458</v>
      </c>
      <c r="L754" s="2">
        <v>76514</v>
      </c>
      <c r="M754" t="s">
        <v>32</v>
      </c>
      <c r="N754">
        <v>44</v>
      </c>
      <c r="O754" t="s">
        <v>25</v>
      </c>
      <c r="P754">
        <v>5</v>
      </c>
      <c r="Q754" s="1">
        <v>17.18</v>
      </c>
      <c r="R754" s="2">
        <f t="shared" si="44"/>
        <v>8056</v>
      </c>
      <c r="S754" s="1">
        <f t="shared" si="45"/>
        <v>11.76779923456718</v>
      </c>
      <c r="T754" t="str">
        <f t="shared" si="46"/>
        <v>Expert</v>
      </c>
      <c r="U754" t="str">
        <f t="shared" si="47"/>
        <v>Low Impact</v>
      </c>
    </row>
    <row r="755" spans="1:21" x14ac:dyDescent="0.3">
      <c r="A755" t="s">
        <v>1986</v>
      </c>
      <c r="B755">
        <v>56</v>
      </c>
      <c r="C755" t="s">
        <v>54</v>
      </c>
      <c r="D755" t="s">
        <v>34</v>
      </c>
      <c r="E755" t="s">
        <v>20</v>
      </c>
      <c r="F755" t="s">
        <v>88</v>
      </c>
      <c r="G755">
        <v>30</v>
      </c>
      <c r="H755" t="s">
        <v>22</v>
      </c>
      <c r="I755" t="s">
        <v>22</v>
      </c>
      <c r="J755" t="s">
        <v>25</v>
      </c>
      <c r="K755" s="2">
        <v>92670</v>
      </c>
      <c r="L755" s="2">
        <v>95354</v>
      </c>
      <c r="M755" t="s">
        <v>38</v>
      </c>
      <c r="N755">
        <v>38</v>
      </c>
      <c r="O755" t="s">
        <v>25</v>
      </c>
      <c r="P755">
        <v>7</v>
      </c>
      <c r="Q755" s="1">
        <v>17.079999999999998</v>
      </c>
      <c r="R755" s="2">
        <f t="shared" si="44"/>
        <v>2684</v>
      </c>
      <c r="S755" s="1">
        <f t="shared" si="45"/>
        <v>2.8962986942915721</v>
      </c>
      <c r="T755" t="str">
        <f t="shared" si="46"/>
        <v>Expert</v>
      </c>
      <c r="U755" t="str">
        <f t="shared" si="47"/>
        <v>Medium Impact</v>
      </c>
    </row>
    <row r="756" spans="1:21" x14ac:dyDescent="0.3">
      <c r="A756" t="s">
        <v>33</v>
      </c>
      <c r="B756">
        <v>51</v>
      </c>
      <c r="C756" t="s">
        <v>18</v>
      </c>
      <c r="D756" t="s">
        <v>34</v>
      </c>
      <c r="E756" t="s">
        <v>35</v>
      </c>
      <c r="F756" t="s">
        <v>36</v>
      </c>
      <c r="G756">
        <v>28</v>
      </c>
      <c r="H756" t="s">
        <v>37</v>
      </c>
      <c r="I756" t="s">
        <v>37</v>
      </c>
      <c r="J756" t="s">
        <v>23</v>
      </c>
      <c r="K756" s="2">
        <v>35311</v>
      </c>
      <c r="L756" s="2">
        <v>42290</v>
      </c>
      <c r="M756" t="s">
        <v>38</v>
      </c>
      <c r="N756">
        <v>46</v>
      </c>
      <c r="O756" t="s">
        <v>23</v>
      </c>
      <c r="P756">
        <v>3</v>
      </c>
      <c r="Q756" s="1">
        <v>17.05</v>
      </c>
      <c r="R756" s="2">
        <f t="shared" si="44"/>
        <v>6979</v>
      </c>
      <c r="S756" s="1">
        <f t="shared" si="45"/>
        <v>19.764379371867125</v>
      </c>
      <c r="T756" t="str">
        <f t="shared" si="46"/>
        <v>Expert</v>
      </c>
      <c r="U756" t="str">
        <f t="shared" si="47"/>
        <v>Medium Impact</v>
      </c>
    </row>
    <row r="757" spans="1:21" x14ac:dyDescent="0.3">
      <c r="A757" t="s">
        <v>679</v>
      </c>
      <c r="B757">
        <v>45</v>
      </c>
      <c r="C757" t="s">
        <v>54</v>
      </c>
      <c r="D757" t="s">
        <v>19</v>
      </c>
      <c r="E757" t="s">
        <v>41</v>
      </c>
      <c r="F757" t="s">
        <v>49</v>
      </c>
      <c r="G757">
        <v>22</v>
      </c>
      <c r="H757" t="s">
        <v>22</v>
      </c>
      <c r="I757" t="s">
        <v>22</v>
      </c>
      <c r="J757" t="s">
        <v>23</v>
      </c>
      <c r="K757" s="2">
        <v>119462</v>
      </c>
      <c r="L757" s="2">
        <v>146222</v>
      </c>
      <c r="M757" t="s">
        <v>24</v>
      </c>
      <c r="N757">
        <v>39</v>
      </c>
      <c r="O757" t="s">
        <v>25</v>
      </c>
      <c r="P757">
        <v>8</v>
      </c>
      <c r="Q757" s="1">
        <v>17.03</v>
      </c>
      <c r="R757" s="2">
        <f t="shared" si="44"/>
        <v>26760</v>
      </c>
      <c r="S757" s="1">
        <f t="shared" si="45"/>
        <v>22.400428588170296</v>
      </c>
      <c r="T757" t="str">
        <f t="shared" si="46"/>
        <v>Expert</v>
      </c>
      <c r="U757" t="str">
        <f t="shared" si="47"/>
        <v>High Impact</v>
      </c>
    </row>
    <row r="758" spans="1:21" x14ac:dyDescent="0.3">
      <c r="A758" t="s">
        <v>1349</v>
      </c>
      <c r="B758">
        <v>24</v>
      </c>
      <c r="C758" t="s">
        <v>27</v>
      </c>
      <c r="D758" t="s">
        <v>40</v>
      </c>
      <c r="E758" t="s">
        <v>44</v>
      </c>
      <c r="F758" t="s">
        <v>47</v>
      </c>
      <c r="G758">
        <v>0</v>
      </c>
      <c r="H758" t="s">
        <v>31</v>
      </c>
      <c r="I758" t="s">
        <v>31</v>
      </c>
      <c r="J758" t="s">
        <v>25</v>
      </c>
      <c r="K758" s="2">
        <v>44635</v>
      </c>
      <c r="L758" s="2">
        <v>43181</v>
      </c>
      <c r="M758" t="s">
        <v>32</v>
      </c>
      <c r="N758">
        <v>49</v>
      </c>
      <c r="O758" t="s">
        <v>23</v>
      </c>
      <c r="P758">
        <v>7</v>
      </c>
      <c r="Q758" s="1">
        <v>16.98</v>
      </c>
      <c r="R758" s="2">
        <f t="shared" si="44"/>
        <v>-1454</v>
      </c>
      <c r="S758" s="1">
        <f t="shared" si="45"/>
        <v>-3.257533325865352</v>
      </c>
      <c r="T758" t="str">
        <f t="shared" si="46"/>
        <v>Beginner</v>
      </c>
      <c r="U758" t="str">
        <f t="shared" si="47"/>
        <v>Low Impact</v>
      </c>
    </row>
    <row r="759" spans="1:21" x14ac:dyDescent="0.3">
      <c r="A759" t="s">
        <v>1697</v>
      </c>
      <c r="B759">
        <v>23</v>
      </c>
      <c r="C759" t="s">
        <v>54</v>
      </c>
      <c r="D759" t="s">
        <v>19</v>
      </c>
      <c r="E759" t="s">
        <v>20</v>
      </c>
      <c r="F759" t="s">
        <v>88</v>
      </c>
      <c r="G759">
        <v>0</v>
      </c>
      <c r="H759" t="s">
        <v>31</v>
      </c>
      <c r="I759" t="s">
        <v>37</v>
      </c>
      <c r="J759" t="s">
        <v>25</v>
      </c>
      <c r="K759" s="2">
        <v>61876</v>
      </c>
      <c r="L759" s="2">
        <v>60759</v>
      </c>
      <c r="M759" t="s">
        <v>38</v>
      </c>
      <c r="N759">
        <v>51</v>
      </c>
      <c r="O759" t="s">
        <v>25</v>
      </c>
      <c r="P759">
        <v>7</v>
      </c>
      <c r="Q759" s="1">
        <v>16.97</v>
      </c>
      <c r="R759" s="2">
        <f t="shared" si="44"/>
        <v>-1117</v>
      </c>
      <c r="S759" s="1">
        <f t="shared" si="45"/>
        <v>-1.8052233499256578</v>
      </c>
      <c r="T759" t="str">
        <f t="shared" si="46"/>
        <v>Beginner</v>
      </c>
      <c r="U759" t="str">
        <f t="shared" si="47"/>
        <v>Medium Impact</v>
      </c>
    </row>
    <row r="760" spans="1:21" x14ac:dyDescent="0.3">
      <c r="A760" t="s">
        <v>1419</v>
      </c>
      <c r="B760">
        <v>56</v>
      </c>
      <c r="C760" t="s">
        <v>18</v>
      </c>
      <c r="D760" t="s">
        <v>40</v>
      </c>
      <c r="E760" t="s">
        <v>29</v>
      </c>
      <c r="F760" t="s">
        <v>102</v>
      </c>
      <c r="G760">
        <v>33</v>
      </c>
      <c r="H760" t="s">
        <v>37</v>
      </c>
      <c r="I760" t="s">
        <v>22</v>
      </c>
      <c r="J760" t="s">
        <v>23</v>
      </c>
      <c r="K760" s="2">
        <v>58024</v>
      </c>
      <c r="L760" s="2">
        <v>59449</v>
      </c>
      <c r="M760" t="s">
        <v>32</v>
      </c>
      <c r="N760">
        <v>52</v>
      </c>
      <c r="O760" t="s">
        <v>25</v>
      </c>
      <c r="P760">
        <v>3</v>
      </c>
      <c r="Q760" s="1">
        <v>16.91</v>
      </c>
      <c r="R760" s="2">
        <f t="shared" si="44"/>
        <v>1425</v>
      </c>
      <c r="S760" s="1">
        <f t="shared" si="45"/>
        <v>2.4558803253826</v>
      </c>
      <c r="T760" t="str">
        <f t="shared" si="46"/>
        <v>Expert</v>
      </c>
      <c r="U760" t="str">
        <f t="shared" si="47"/>
        <v>Low Impact</v>
      </c>
    </row>
    <row r="761" spans="1:21" x14ac:dyDescent="0.3">
      <c r="A761" t="s">
        <v>1091</v>
      </c>
      <c r="B761">
        <v>51</v>
      </c>
      <c r="C761" t="s">
        <v>54</v>
      </c>
      <c r="D761" t="s">
        <v>34</v>
      </c>
      <c r="E761" t="s">
        <v>35</v>
      </c>
      <c r="F761" t="s">
        <v>36</v>
      </c>
      <c r="G761">
        <v>26</v>
      </c>
      <c r="H761" t="s">
        <v>31</v>
      </c>
      <c r="I761" t="s">
        <v>37</v>
      </c>
      <c r="J761" t="s">
        <v>23</v>
      </c>
      <c r="K761" s="2">
        <v>50608</v>
      </c>
      <c r="L761" s="2">
        <v>53189</v>
      </c>
      <c r="M761" t="s">
        <v>38</v>
      </c>
      <c r="N761">
        <v>52</v>
      </c>
      <c r="O761" t="s">
        <v>23</v>
      </c>
      <c r="P761">
        <v>6</v>
      </c>
      <c r="Q761" s="1">
        <v>16.87</v>
      </c>
      <c r="R761" s="2">
        <f t="shared" si="44"/>
        <v>2581</v>
      </c>
      <c r="S761" s="1">
        <f t="shared" si="45"/>
        <v>5.0999841922225739</v>
      </c>
      <c r="T761" t="str">
        <f t="shared" si="46"/>
        <v>Expert</v>
      </c>
      <c r="U761" t="str">
        <f t="shared" si="47"/>
        <v>Medium Impact</v>
      </c>
    </row>
    <row r="762" spans="1:21" x14ac:dyDescent="0.3">
      <c r="A762" t="s">
        <v>803</v>
      </c>
      <c r="B762">
        <v>36</v>
      </c>
      <c r="C762" t="s">
        <v>27</v>
      </c>
      <c r="D762" t="s">
        <v>19</v>
      </c>
      <c r="E762" t="s">
        <v>51</v>
      </c>
      <c r="F762" t="s">
        <v>52</v>
      </c>
      <c r="G762">
        <v>14</v>
      </c>
      <c r="H762" t="s">
        <v>22</v>
      </c>
      <c r="I762" t="s">
        <v>37</v>
      </c>
      <c r="J762" t="s">
        <v>25</v>
      </c>
      <c r="K762" s="2">
        <v>30946</v>
      </c>
      <c r="L762" s="2">
        <v>24760</v>
      </c>
      <c r="M762" t="s">
        <v>38</v>
      </c>
      <c r="N762">
        <v>54</v>
      </c>
      <c r="O762" t="s">
        <v>23</v>
      </c>
      <c r="P762">
        <v>4</v>
      </c>
      <c r="Q762" s="1">
        <v>16.84</v>
      </c>
      <c r="R762" s="2">
        <f t="shared" si="44"/>
        <v>-6186</v>
      </c>
      <c r="S762" s="1">
        <f t="shared" si="45"/>
        <v>-19.989659406708459</v>
      </c>
      <c r="T762" t="str">
        <f t="shared" si="46"/>
        <v>Intermediate</v>
      </c>
      <c r="U762" t="str">
        <f t="shared" si="47"/>
        <v>Medium Impact</v>
      </c>
    </row>
    <row r="763" spans="1:21" x14ac:dyDescent="0.3">
      <c r="A763" t="s">
        <v>596</v>
      </c>
      <c r="B763">
        <v>48</v>
      </c>
      <c r="C763" t="s">
        <v>27</v>
      </c>
      <c r="D763" t="s">
        <v>40</v>
      </c>
      <c r="E763" t="s">
        <v>41</v>
      </c>
      <c r="F763" t="s">
        <v>55</v>
      </c>
      <c r="G763">
        <v>25</v>
      </c>
      <c r="H763" t="s">
        <v>37</v>
      </c>
      <c r="I763" t="s">
        <v>22</v>
      </c>
      <c r="J763" t="s">
        <v>23</v>
      </c>
      <c r="K763" s="2">
        <v>42360</v>
      </c>
      <c r="L763" s="2">
        <v>47103</v>
      </c>
      <c r="M763" t="s">
        <v>32</v>
      </c>
      <c r="N763">
        <v>43</v>
      </c>
      <c r="O763" t="s">
        <v>23</v>
      </c>
      <c r="P763">
        <v>5</v>
      </c>
      <c r="Q763" s="1">
        <v>16.600000000000001</v>
      </c>
      <c r="R763" s="2">
        <f t="shared" si="44"/>
        <v>4743</v>
      </c>
      <c r="S763" s="1">
        <f t="shared" si="45"/>
        <v>11.196883852691219</v>
      </c>
      <c r="T763" t="str">
        <f t="shared" si="46"/>
        <v>Expert</v>
      </c>
      <c r="U763" t="str">
        <f t="shared" si="47"/>
        <v>Low Impact</v>
      </c>
    </row>
    <row r="764" spans="1:21" x14ac:dyDescent="0.3">
      <c r="A764" t="s">
        <v>524</v>
      </c>
      <c r="B764">
        <v>43</v>
      </c>
      <c r="C764" t="s">
        <v>27</v>
      </c>
      <c r="D764" t="s">
        <v>28</v>
      </c>
      <c r="E764" t="s">
        <v>29</v>
      </c>
      <c r="F764" t="s">
        <v>104</v>
      </c>
      <c r="G764">
        <v>21</v>
      </c>
      <c r="H764" t="s">
        <v>31</v>
      </c>
      <c r="I764" t="s">
        <v>31</v>
      </c>
      <c r="J764" t="s">
        <v>23</v>
      </c>
      <c r="K764" s="2">
        <v>57747</v>
      </c>
      <c r="L764" s="2">
        <v>60730</v>
      </c>
      <c r="M764" t="s">
        <v>32</v>
      </c>
      <c r="N764">
        <v>36</v>
      </c>
      <c r="O764" t="s">
        <v>25</v>
      </c>
      <c r="P764">
        <v>3</v>
      </c>
      <c r="Q764" s="1">
        <v>16.47</v>
      </c>
      <c r="R764" s="2">
        <f t="shared" si="44"/>
        <v>2983</v>
      </c>
      <c r="S764" s="1">
        <f t="shared" si="45"/>
        <v>5.1656363101113474</v>
      </c>
      <c r="T764" t="str">
        <f t="shared" si="46"/>
        <v>Expert</v>
      </c>
      <c r="U764" t="str">
        <f t="shared" si="47"/>
        <v>Low Impact</v>
      </c>
    </row>
    <row r="765" spans="1:21" x14ac:dyDescent="0.3">
      <c r="A765" t="s">
        <v>1837</v>
      </c>
      <c r="B765">
        <v>50</v>
      </c>
      <c r="C765" t="s">
        <v>54</v>
      </c>
      <c r="D765" t="s">
        <v>34</v>
      </c>
      <c r="E765" t="s">
        <v>59</v>
      </c>
      <c r="F765" t="s">
        <v>60</v>
      </c>
      <c r="G765">
        <v>27</v>
      </c>
      <c r="H765" t="s">
        <v>31</v>
      </c>
      <c r="I765" t="s">
        <v>31</v>
      </c>
      <c r="J765" t="s">
        <v>23</v>
      </c>
      <c r="K765" s="2">
        <v>44568</v>
      </c>
      <c r="L765" s="2">
        <v>46832</v>
      </c>
      <c r="M765" t="s">
        <v>32</v>
      </c>
      <c r="N765">
        <v>35</v>
      </c>
      <c r="O765" t="s">
        <v>23</v>
      </c>
      <c r="P765">
        <v>6</v>
      </c>
      <c r="Q765" s="1">
        <v>16.43</v>
      </c>
      <c r="R765" s="2">
        <f t="shared" si="44"/>
        <v>2264</v>
      </c>
      <c r="S765" s="1">
        <f t="shared" si="45"/>
        <v>5.0798779393286662</v>
      </c>
      <c r="T765" t="str">
        <f t="shared" si="46"/>
        <v>Expert</v>
      </c>
      <c r="U765" t="str">
        <f t="shared" si="47"/>
        <v>Low Impact</v>
      </c>
    </row>
    <row r="766" spans="1:21" x14ac:dyDescent="0.3">
      <c r="A766" t="s">
        <v>1146</v>
      </c>
      <c r="B766">
        <v>40</v>
      </c>
      <c r="C766" t="s">
        <v>18</v>
      </c>
      <c r="D766" t="s">
        <v>28</v>
      </c>
      <c r="E766" t="s">
        <v>20</v>
      </c>
      <c r="F766" t="s">
        <v>88</v>
      </c>
      <c r="G766">
        <v>17</v>
      </c>
      <c r="H766" t="s">
        <v>31</v>
      </c>
      <c r="I766" t="s">
        <v>37</v>
      </c>
      <c r="J766" t="s">
        <v>23</v>
      </c>
      <c r="K766" s="2">
        <v>98104</v>
      </c>
      <c r="L766" s="2">
        <v>104337</v>
      </c>
      <c r="M766" t="s">
        <v>38</v>
      </c>
      <c r="N766">
        <v>50</v>
      </c>
      <c r="O766" t="s">
        <v>23</v>
      </c>
      <c r="P766">
        <v>7</v>
      </c>
      <c r="Q766" s="1">
        <v>16.399999999999999</v>
      </c>
      <c r="R766" s="2">
        <f t="shared" si="44"/>
        <v>6233</v>
      </c>
      <c r="S766" s="1">
        <f t="shared" si="45"/>
        <v>6.3534616325532092</v>
      </c>
      <c r="T766" t="str">
        <f t="shared" si="46"/>
        <v>Expert</v>
      </c>
      <c r="U766" t="str">
        <f t="shared" si="47"/>
        <v>Medium Impact</v>
      </c>
    </row>
    <row r="767" spans="1:21" x14ac:dyDescent="0.3">
      <c r="A767" t="s">
        <v>494</v>
      </c>
      <c r="B767">
        <v>32</v>
      </c>
      <c r="C767" t="s">
        <v>54</v>
      </c>
      <c r="D767" t="s">
        <v>34</v>
      </c>
      <c r="E767" t="s">
        <v>44</v>
      </c>
      <c r="F767" t="s">
        <v>45</v>
      </c>
      <c r="G767">
        <v>10</v>
      </c>
      <c r="H767" t="s">
        <v>37</v>
      </c>
      <c r="I767" t="s">
        <v>22</v>
      </c>
      <c r="J767" t="s">
        <v>23</v>
      </c>
      <c r="K767" s="2">
        <v>109063</v>
      </c>
      <c r="L767" s="2">
        <v>112593</v>
      </c>
      <c r="M767" t="s">
        <v>32</v>
      </c>
      <c r="N767">
        <v>53</v>
      </c>
      <c r="O767" t="s">
        <v>23</v>
      </c>
      <c r="P767">
        <v>4</v>
      </c>
      <c r="Q767" s="1">
        <v>16.350000000000001</v>
      </c>
      <c r="R767" s="2">
        <f t="shared" si="44"/>
        <v>3530</v>
      </c>
      <c r="S767" s="1">
        <f t="shared" si="45"/>
        <v>3.2366613792028458</v>
      </c>
      <c r="T767" t="str">
        <f t="shared" si="46"/>
        <v>Intermediate</v>
      </c>
      <c r="U767" t="str">
        <f t="shared" si="47"/>
        <v>Low Impact</v>
      </c>
    </row>
    <row r="768" spans="1:21" x14ac:dyDescent="0.3">
      <c r="A768" t="s">
        <v>479</v>
      </c>
      <c r="B768">
        <v>48</v>
      </c>
      <c r="C768" t="s">
        <v>18</v>
      </c>
      <c r="D768" t="s">
        <v>28</v>
      </c>
      <c r="E768" t="s">
        <v>51</v>
      </c>
      <c r="F768" t="s">
        <v>75</v>
      </c>
      <c r="G768">
        <v>24</v>
      </c>
      <c r="H768" t="s">
        <v>22</v>
      </c>
      <c r="I768" t="s">
        <v>37</v>
      </c>
      <c r="J768" t="s">
        <v>25</v>
      </c>
      <c r="K768" s="2">
        <v>41120</v>
      </c>
      <c r="L768" s="2">
        <v>49601</v>
      </c>
      <c r="M768" t="s">
        <v>38</v>
      </c>
      <c r="N768">
        <v>36</v>
      </c>
      <c r="O768" t="s">
        <v>25</v>
      </c>
      <c r="P768">
        <v>6</v>
      </c>
      <c r="Q768" s="1">
        <v>16.350000000000001</v>
      </c>
      <c r="R768" s="2">
        <f t="shared" si="44"/>
        <v>8481</v>
      </c>
      <c r="S768" s="1">
        <f t="shared" si="45"/>
        <v>20.625</v>
      </c>
      <c r="T768" t="str">
        <f t="shared" si="46"/>
        <v>Expert</v>
      </c>
      <c r="U768" t="str">
        <f t="shared" si="47"/>
        <v>Medium Impact</v>
      </c>
    </row>
    <row r="769" spans="1:21" x14ac:dyDescent="0.3">
      <c r="A769" t="s">
        <v>67</v>
      </c>
      <c r="B769">
        <v>53</v>
      </c>
      <c r="C769" t="s">
        <v>54</v>
      </c>
      <c r="D769" t="s">
        <v>19</v>
      </c>
      <c r="E769" t="s">
        <v>41</v>
      </c>
      <c r="F769" t="s">
        <v>42</v>
      </c>
      <c r="G769">
        <v>28</v>
      </c>
      <c r="H769" t="s">
        <v>22</v>
      </c>
      <c r="I769" t="s">
        <v>22</v>
      </c>
      <c r="J769" t="s">
        <v>23</v>
      </c>
      <c r="K769" s="2">
        <v>48141</v>
      </c>
      <c r="L769" s="2">
        <v>42537</v>
      </c>
      <c r="M769" t="s">
        <v>24</v>
      </c>
      <c r="N769">
        <v>49</v>
      </c>
      <c r="O769" t="s">
        <v>25</v>
      </c>
      <c r="P769">
        <v>5</v>
      </c>
      <c r="Q769" s="1">
        <v>16.27</v>
      </c>
      <c r="R769" s="2">
        <f t="shared" si="44"/>
        <v>-5604</v>
      </c>
      <c r="S769" s="1">
        <f t="shared" si="45"/>
        <v>-11.640805134916183</v>
      </c>
      <c r="T769" t="str">
        <f t="shared" si="46"/>
        <v>Expert</v>
      </c>
      <c r="U769" t="str">
        <f t="shared" si="47"/>
        <v>High Impact</v>
      </c>
    </row>
    <row r="770" spans="1:21" x14ac:dyDescent="0.3">
      <c r="A770" t="s">
        <v>1799</v>
      </c>
      <c r="B770">
        <v>59</v>
      </c>
      <c r="C770" t="s">
        <v>27</v>
      </c>
      <c r="D770" t="s">
        <v>28</v>
      </c>
      <c r="E770" t="s">
        <v>41</v>
      </c>
      <c r="F770" t="s">
        <v>49</v>
      </c>
      <c r="G770">
        <v>33</v>
      </c>
      <c r="H770" t="s">
        <v>31</v>
      </c>
      <c r="I770" t="s">
        <v>22</v>
      </c>
      <c r="J770" t="s">
        <v>25</v>
      </c>
      <c r="K770" s="2">
        <v>62788</v>
      </c>
      <c r="L770" s="2">
        <v>68747</v>
      </c>
      <c r="M770" t="s">
        <v>32</v>
      </c>
      <c r="N770">
        <v>42</v>
      </c>
      <c r="O770" t="s">
        <v>25</v>
      </c>
      <c r="P770">
        <v>9</v>
      </c>
      <c r="Q770" s="1">
        <v>16.25</v>
      </c>
      <c r="R770" s="2">
        <f t="shared" ref="R770:R833" si="48">L770-K770</f>
        <v>5959</v>
      </c>
      <c r="S770" s="1">
        <f t="shared" ref="S770:S833" si="49">(L770-K770)/K770*100</f>
        <v>9.4906670064343501</v>
      </c>
      <c r="T770" t="str">
        <f t="shared" ref="T770:T833" si="50">IF(G770&lt;5,"Beginner",IF(G770&lt;15,"Intermediate","Expert"))</f>
        <v>Expert</v>
      </c>
      <c r="U770" t="str">
        <f t="shared" ref="U770:U833" si="51">IF(M770="Replaced","High Impact",IF(M770="Modified","Medium Impact","Low Impact"))</f>
        <v>Low Impact</v>
      </c>
    </row>
    <row r="771" spans="1:21" x14ac:dyDescent="0.3">
      <c r="A771" t="s">
        <v>458</v>
      </c>
      <c r="B771">
        <v>22</v>
      </c>
      <c r="C771" t="s">
        <v>54</v>
      </c>
      <c r="D771" t="s">
        <v>40</v>
      </c>
      <c r="E771" t="s">
        <v>59</v>
      </c>
      <c r="F771" t="s">
        <v>93</v>
      </c>
      <c r="G771">
        <v>0</v>
      </c>
      <c r="H771" t="s">
        <v>31</v>
      </c>
      <c r="I771" t="s">
        <v>22</v>
      </c>
      <c r="J771" t="s">
        <v>23</v>
      </c>
      <c r="K771" s="2">
        <v>56512</v>
      </c>
      <c r="L771" s="2">
        <v>54023</v>
      </c>
      <c r="M771" t="s">
        <v>32</v>
      </c>
      <c r="N771">
        <v>42</v>
      </c>
      <c r="O771" t="s">
        <v>23</v>
      </c>
      <c r="P771">
        <v>5</v>
      </c>
      <c r="Q771" s="1">
        <v>16.239999999999998</v>
      </c>
      <c r="R771" s="2">
        <f t="shared" si="48"/>
        <v>-2489</v>
      </c>
      <c r="S771" s="1">
        <f t="shared" si="49"/>
        <v>-4.4043742921857305</v>
      </c>
      <c r="T771" t="str">
        <f t="shared" si="50"/>
        <v>Beginner</v>
      </c>
      <c r="U771" t="str">
        <f t="shared" si="51"/>
        <v>Low Impact</v>
      </c>
    </row>
    <row r="772" spans="1:21" x14ac:dyDescent="0.3">
      <c r="A772" t="s">
        <v>1181</v>
      </c>
      <c r="B772">
        <v>32</v>
      </c>
      <c r="C772" t="s">
        <v>54</v>
      </c>
      <c r="D772" t="s">
        <v>19</v>
      </c>
      <c r="E772" t="s">
        <v>29</v>
      </c>
      <c r="F772" t="s">
        <v>30</v>
      </c>
      <c r="G772">
        <v>10</v>
      </c>
      <c r="H772" t="s">
        <v>22</v>
      </c>
      <c r="I772" t="s">
        <v>22</v>
      </c>
      <c r="J772" t="s">
        <v>25</v>
      </c>
      <c r="K772" s="2">
        <v>42062</v>
      </c>
      <c r="L772" s="2">
        <v>40922</v>
      </c>
      <c r="M772" t="s">
        <v>38</v>
      </c>
      <c r="N772">
        <v>52</v>
      </c>
      <c r="O772" t="s">
        <v>23</v>
      </c>
      <c r="P772">
        <v>9</v>
      </c>
      <c r="Q772" s="1">
        <v>16.239999999999998</v>
      </c>
      <c r="R772" s="2">
        <f t="shared" si="48"/>
        <v>-1140</v>
      </c>
      <c r="S772" s="1">
        <f t="shared" si="49"/>
        <v>-2.7102848176501353</v>
      </c>
      <c r="T772" t="str">
        <f t="shared" si="50"/>
        <v>Intermediate</v>
      </c>
      <c r="U772" t="str">
        <f t="shared" si="51"/>
        <v>Medium Impact</v>
      </c>
    </row>
    <row r="773" spans="1:21" x14ac:dyDescent="0.3">
      <c r="A773" t="s">
        <v>1608</v>
      </c>
      <c r="B773">
        <v>52</v>
      </c>
      <c r="C773" t="s">
        <v>27</v>
      </c>
      <c r="D773" t="s">
        <v>40</v>
      </c>
      <c r="E773" t="s">
        <v>41</v>
      </c>
      <c r="F773" t="s">
        <v>42</v>
      </c>
      <c r="G773">
        <v>30</v>
      </c>
      <c r="H773" t="s">
        <v>22</v>
      </c>
      <c r="I773" t="s">
        <v>37</v>
      </c>
      <c r="J773" t="s">
        <v>25</v>
      </c>
      <c r="K773" s="2">
        <v>81928</v>
      </c>
      <c r="L773" s="2">
        <v>113454</v>
      </c>
      <c r="M773" t="s">
        <v>38</v>
      </c>
      <c r="N773">
        <v>47</v>
      </c>
      <c r="O773" t="s">
        <v>23</v>
      </c>
      <c r="P773">
        <v>5</v>
      </c>
      <c r="Q773" s="1">
        <v>16.23</v>
      </c>
      <c r="R773" s="2">
        <f t="shared" si="48"/>
        <v>31526</v>
      </c>
      <c r="S773" s="1">
        <f t="shared" si="49"/>
        <v>38.48012889366273</v>
      </c>
      <c r="T773" t="str">
        <f t="shared" si="50"/>
        <v>Expert</v>
      </c>
      <c r="U773" t="str">
        <f t="shared" si="51"/>
        <v>Medium Impact</v>
      </c>
    </row>
    <row r="774" spans="1:21" x14ac:dyDescent="0.3">
      <c r="A774" t="s">
        <v>713</v>
      </c>
      <c r="B774">
        <v>46</v>
      </c>
      <c r="C774" t="s">
        <v>27</v>
      </c>
      <c r="D774" t="s">
        <v>19</v>
      </c>
      <c r="E774" t="s">
        <v>51</v>
      </c>
      <c r="F774" t="s">
        <v>75</v>
      </c>
      <c r="G774">
        <v>23</v>
      </c>
      <c r="H774" t="s">
        <v>31</v>
      </c>
      <c r="I774" t="s">
        <v>22</v>
      </c>
      <c r="J774" t="s">
        <v>23</v>
      </c>
      <c r="K774" s="2">
        <v>34765</v>
      </c>
      <c r="L774" s="2">
        <v>37929</v>
      </c>
      <c r="M774" t="s">
        <v>32</v>
      </c>
      <c r="N774">
        <v>54</v>
      </c>
      <c r="O774" t="s">
        <v>25</v>
      </c>
      <c r="P774">
        <v>3</v>
      </c>
      <c r="Q774" s="1">
        <v>16.23</v>
      </c>
      <c r="R774" s="2">
        <f t="shared" si="48"/>
        <v>3164</v>
      </c>
      <c r="S774" s="1">
        <f t="shared" si="49"/>
        <v>9.1011074356392925</v>
      </c>
      <c r="T774" t="str">
        <f t="shared" si="50"/>
        <v>Expert</v>
      </c>
      <c r="U774" t="str">
        <f t="shared" si="51"/>
        <v>Low Impact</v>
      </c>
    </row>
    <row r="775" spans="1:21" x14ac:dyDescent="0.3">
      <c r="A775" t="s">
        <v>593</v>
      </c>
      <c r="B775">
        <v>45</v>
      </c>
      <c r="C775" t="s">
        <v>54</v>
      </c>
      <c r="D775" t="s">
        <v>28</v>
      </c>
      <c r="E775" t="s">
        <v>44</v>
      </c>
      <c r="F775" t="s">
        <v>47</v>
      </c>
      <c r="G775">
        <v>22</v>
      </c>
      <c r="H775" t="s">
        <v>31</v>
      </c>
      <c r="I775" t="s">
        <v>37</v>
      </c>
      <c r="J775" t="s">
        <v>25</v>
      </c>
      <c r="K775" s="2">
        <v>118229</v>
      </c>
      <c r="L775" s="2">
        <v>129493</v>
      </c>
      <c r="M775" t="s">
        <v>38</v>
      </c>
      <c r="N775">
        <v>41</v>
      </c>
      <c r="O775" t="s">
        <v>23</v>
      </c>
      <c r="P775">
        <v>5</v>
      </c>
      <c r="Q775" s="1">
        <v>16.22</v>
      </c>
      <c r="R775" s="2">
        <f t="shared" si="48"/>
        <v>11264</v>
      </c>
      <c r="S775" s="1">
        <f t="shared" si="49"/>
        <v>9.5272733424117604</v>
      </c>
      <c r="T775" t="str">
        <f t="shared" si="50"/>
        <v>Expert</v>
      </c>
      <c r="U775" t="str">
        <f t="shared" si="51"/>
        <v>Medium Impact</v>
      </c>
    </row>
    <row r="776" spans="1:21" x14ac:dyDescent="0.3">
      <c r="A776" t="s">
        <v>1443</v>
      </c>
      <c r="B776">
        <v>23</v>
      </c>
      <c r="C776" t="s">
        <v>27</v>
      </c>
      <c r="D776" t="s">
        <v>19</v>
      </c>
      <c r="E776" t="s">
        <v>51</v>
      </c>
      <c r="F776" t="s">
        <v>130</v>
      </c>
      <c r="G776">
        <v>0</v>
      </c>
      <c r="H776" t="s">
        <v>37</v>
      </c>
      <c r="I776" t="s">
        <v>22</v>
      </c>
      <c r="J776" t="s">
        <v>25</v>
      </c>
      <c r="K776" s="2">
        <v>79810</v>
      </c>
      <c r="L776" s="2">
        <v>73343</v>
      </c>
      <c r="M776" t="s">
        <v>32</v>
      </c>
      <c r="N776">
        <v>40</v>
      </c>
      <c r="O776" t="s">
        <v>23</v>
      </c>
      <c r="P776">
        <v>5</v>
      </c>
      <c r="Q776" s="1">
        <v>16.18</v>
      </c>
      <c r="R776" s="2">
        <f t="shared" si="48"/>
        <v>-6467</v>
      </c>
      <c r="S776" s="1">
        <f t="shared" si="49"/>
        <v>-8.1029946122039842</v>
      </c>
      <c r="T776" t="str">
        <f t="shared" si="50"/>
        <v>Beginner</v>
      </c>
      <c r="U776" t="str">
        <f t="shared" si="51"/>
        <v>Low Impact</v>
      </c>
    </row>
    <row r="777" spans="1:21" x14ac:dyDescent="0.3">
      <c r="A777" t="s">
        <v>2026</v>
      </c>
      <c r="B777">
        <v>36</v>
      </c>
      <c r="C777" t="s">
        <v>54</v>
      </c>
      <c r="D777" t="s">
        <v>40</v>
      </c>
      <c r="E777" t="s">
        <v>20</v>
      </c>
      <c r="F777" t="s">
        <v>118</v>
      </c>
      <c r="G777">
        <v>10</v>
      </c>
      <c r="H777" t="s">
        <v>37</v>
      </c>
      <c r="I777" t="s">
        <v>37</v>
      </c>
      <c r="J777" t="s">
        <v>23</v>
      </c>
      <c r="K777" s="2">
        <v>62602</v>
      </c>
      <c r="L777" s="2">
        <v>74128</v>
      </c>
      <c r="M777" t="s">
        <v>38</v>
      </c>
      <c r="N777">
        <v>52</v>
      </c>
      <c r="O777" t="s">
        <v>25</v>
      </c>
      <c r="P777">
        <v>9</v>
      </c>
      <c r="Q777" s="1">
        <v>16.170000000000002</v>
      </c>
      <c r="R777" s="2">
        <f t="shared" si="48"/>
        <v>11526</v>
      </c>
      <c r="S777" s="1">
        <f t="shared" si="49"/>
        <v>18.411552346570399</v>
      </c>
      <c r="T777" t="str">
        <f t="shared" si="50"/>
        <v>Intermediate</v>
      </c>
      <c r="U777" t="str">
        <f t="shared" si="51"/>
        <v>Medium Impact</v>
      </c>
    </row>
    <row r="778" spans="1:21" x14ac:dyDescent="0.3">
      <c r="A778" t="s">
        <v>935</v>
      </c>
      <c r="B778">
        <v>24</v>
      </c>
      <c r="C778" t="s">
        <v>18</v>
      </c>
      <c r="D778" t="s">
        <v>19</v>
      </c>
      <c r="E778" t="s">
        <v>20</v>
      </c>
      <c r="F778" t="s">
        <v>21</v>
      </c>
      <c r="G778">
        <v>0</v>
      </c>
      <c r="H778" t="s">
        <v>31</v>
      </c>
      <c r="I778" t="s">
        <v>37</v>
      </c>
      <c r="J778" t="s">
        <v>25</v>
      </c>
      <c r="K778" s="2">
        <v>50224</v>
      </c>
      <c r="L778" s="2">
        <v>51964</v>
      </c>
      <c r="M778" t="s">
        <v>38</v>
      </c>
      <c r="N778">
        <v>47</v>
      </c>
      <c r="O778" t="s">
        <v>23</v>
      </c>
      <c r="P778">
        <v>4</v>
      </c>
      <c r="Q778" s="1">
        <v>16.03</v>
      </c>
      <c r="R778" s="2">
        <f t="shared" si="48"/>
        <v>1740</v>
      </c>
      <c r="S778" s="1">
        <f t="shared" si="49"/>
        <v>3.4644791334820004</v>
      </c>
      <c r="T778" t="str">
        <f t="shared" si="50"/>
        <v>Beginner</v>
      </c>
      <c r="U778" t="str">
        <f t="shared" si="51"/>
        <v>Medium Impact</v>
      </c>
    </row>
    <row r="779" spans="1:21" x14ac:dyDescent="0.3">
      <c r="A779" t="s">
        <v>1102</v>
      </c>
      <c r="B779">
        <v>23</v>
      </c>
      <c r="C779" t="s">
        <v>18</v>
      </c>
      <c r="D779" t="s">
        <v>28</v>
      </c>
      <c r="E779" t="s">
        <v>59</v>
      </c>
      <c r="F779" t="s">
        <v>60</v>
      </c>
      <c r="G779">
        <v>1</v>
      </c>
      <c r="H779" t="s">
        <v>37</v>
      </c>
      <c r="I779" t="s">
        <v>22</v>
      </c>
      <c r="J779" t="s">
        <v>25</v>
      </c>
      <c r="K779" s="2">
        <v>98322</v>
      </c>
      <c r="L779" s="2">
        <v>89950</v>
      </c>
      <c r="M779" t="s">
        <v>32</v>
      </c>
      <c r="N779">
        <v>39</v>
      </c>
      <c r="O779" t="s">
        <v>25</v>
      </c>
      <c r="P779">
        <v>6</v>
      </c>
      <c r="Q779" s="1">
        <v>15.96</v>
      </c>
      <c r="R779" s="2">
        <f t="shared" si="48"/>
        <v>-8372</v>
      </c>
      <c r="S779" s="1">
        <f t="shared" si="49"/>
        <v>-8.5148796810479848</v>
      </c>
      <c r="T779" t="str">
        <f t="shared" si="50"/>
        <v>Beginner</v>
      </c>
      <c r="U779" t="str">
        <f t="shared" si="51"/>
        <v>Low Impact</v>
      </c>
    </row>
    <row r="780" spans="1:21" x14ac:dyDescent="0.3">
      <c r="A780" t="s">
        <v>1362</v>
      </c>
      <c r="B780">
        <v>55</v>
      </c>
      <c r="C780" t="s">
        <v>54</v>
      </c>
      <c r="D780" t="s">
        <v>40</v>
      </c>
      <c r="E780" t="s">
        <v>29</v>
      </c>
      <c r="F780" t="s">
        <v>102</v>
      </c>
      <c r="G780">
        <v>33</v>
      </c>
      <c r="H780" t="s">
        <v>31</v>
      </c>
      <c r="I780" t="s">
        <v>31</v>
      </c>
      <c r="J780" t="s">
        <v>25</v>
      </c>
      <c r="K780" s="2">
        <v>69159</v>
      </c>
      <c r="L780" s="2">
        <v>75674</v>
      </c>
      <c r="M780" t="s">
        <v>32</v>
      </c>
      <c r="N780">
        <v>41</v>
      </c>
      <c r="O780" t="s">
        <v>25</v>
      </c>
      <c r="P780">
        <v>9</v>
      </c>
      <c r="Q780" s="1">
        <v>15.96</v>
      </c>
      <c r="R780" s="2">
        <f t="shared" si="48"/>
        <v>6515</v>
      </c>
      <c r="S780" s="1">
        <f t="shared" si="49"/>
        <v>9.4203212886247627</v>
      </c>
      <c r="T780" t="str">
        <f t="shared" si="50"/>
        <v>Expert</v>
      </c>
      <c r="U780" t="str">
        <f t="shared" si="51"/>
        <v>Low Impact</v>
      </c>
    </row>
    <row r="781" spans="1:21" x14ac:dyDescent="0.3">
      <c r="A781" t="s">
        <v>1775</v>
      </c>
      <c r="B781">
        <v>39</v>
      </c>
      <c r="C781" t="s">
        <v>27</v>
      </c>
      <c r="D781" t="s">
        <v>28</v>
      </c>
      <c r="E781" t="s">
        <v>20</v>
      </c>
      <c r="F781" t="s">
        <v>21</v>
      </c>
      <c r="G781">
        <v>17</v>
      </c>
      <c r="H781" t="s">
        <v>37</v>
      </c>
      <c r="I781" t="s">
        <v>37</v>
      </c>
      <c r="J781" t="s">
        <v>23</v>
      </c>
      <c r="K781" s="2">
        <v>59605</v>
      </c>
      <c r="L781" s="2">
        <v>57397</v>
      </c>
      <c r="M781" t="s">
        <v>38</v>
      </c>
      <c r="N781">
        <v>47</v>
      </c>
      <c r="O781" t="s">
        <v>23</v>
      </c>
      <c r="P781">
        <v>9</v>
      </c>
      <c r="Q781" s="1">
        <v>15.95</v>
      </c>
      <c r="R781" s="2">
        <f t="shared" si="48"/>
        <v>-2208</v>
      </c>
      <c r="S781" s="1">
        <f t="shared" si="49"/>
        <v>-3.7043872158375977</v>
      </c>
      <c r="T781" t="str">
        <f t="shared" si="50"/>
        <v>Expert</v>
      </c>
      <c r="U781" t="str">
        <f t="shared" si="51"/>
        <v>Medium Impact</v>
      </c>
    </row>
    <row r="782" spans="1:21" x14ac:dyDescent="0.3">
      <c r="A782" t="s">
        <v>469</v>
      </c>
      <c r="B782">
        <v>50</v>
      </c>
      <c r="C782" t="s">
        <v>27</v>
      </c>
      <c r="D782" t="s">
        <v>40</v>
      </c>
      <c r="E782" t="s">
        <v>51</v>
      </c>
      <c r="F782" t="s">
        <v>75</v>
      </c>
      <c r="G782">
        <v>28</v>
      </c>
      <c r="H782" t="s">
        <v>37</v>
      </c>
      <c r="I782" t="s">
        <v>37</v>
      </c>
      <c r="J782" t="s">
        <v>23</v>
      </c>
      <c r="K782" s="2">
        <v>81649</v>
      </c>
      <c r="L782" s="2">
        <v>95236</v>
      </c>
      <c r="M782" t="s">
        <v>38</v>
      </c>
      <c r="N782">
        <v>48</v>
      </c>
      <c r="O782" t="s">
        <v>25</v>
      </c>
      <c r="P782">
        <v>4</v>
      </c>
      <c r="Q782" s="1">
        <v>15.92</v>
      </c>
      <c r="R782" s="2">
        <f t="shared" si="48"/>
        <v>13587</v>
      </c>
      <c r="S782" s="1">
        <f t="shared" si="49"/>
        <v>16.640742691276074</v>
      </c>
      <c r="T782" t="str">
        <f t="shared" si="50"/>
        <v>Expert</v>
      </c>
      <c r="U782" t="str">
        <f t="shared" si="51"/>
        <v>Medium Impact</v>
      </c>
    </row>
    <row r="783" spans="1:21" x14ac:dyDescent="0.3">
      <c r="A783" t="s">
        <v>196</v>
      </c>
      <c r="B783">
        <v>33</v>
      </c>
      <c r="C783" t="s">
        <v>54</v>
      </c>
      <c r="D783" t="s">
        <v>28</v>
      </c>
      <c r="E783" t="s">
        <v>59</v>
      </c>
      <c r="F783" t="s">
        <v>93</v>
      </c>
      <c r="G783">
        <v>7</v>
      </c>
      <c r="H783" t="s">
        <v>37</v>
      </c>
      <c r="I783" t="s">
        <v>22</v>
      </c>
      <c r="J783" t="s">
        <v>23</v>
      </c>
      <c r="K783" s="2">
        <v>50609</v>
      </c>
      <c r="L783" s="2">
        <v>45733</v>
      </c>
      <c r="M783" t="s">
        <v>32</v>
      </c>
      <c r="N783">
        <v>38</v>
      </c>
      <c r="O783" t="s">
        <v>23</v>
      </c>
      <c r="P783">
        <v>6</v>
      </c>
      <c r="Q783" s="1">
        <v>15.91</v>
      </c>
      <c r="R783" s="2">
        <f t="shared" si="48"/>
        <v>-4876</v>
      </c>
      <c r="S783" s="1">
        <f t="shared" si="49"/>
        <v>-9.6346499634452361</v>
      </c>
      <c r="T783" t="str">
        <f t="shared" si="50"/>
        <v>Intermediate</v>
      </c>
      <c r="U783" t="str">
        <f t="shared" si="51"/>
        <v>Low Impact</v>
      </c>
    </row>
    <row r="784" spans="1:21" x14ac:dyDescent="0.3">
      <c r="A784" t="s">
        <v>1445</v>
      </c>
      <c r="B784">
        <v>50</v>
      </c>
      <c r="C784" t="s">
        <v>54</v>
      </c>
      <c r="D784" t="s">
        <v>40</v>
      </c>
      <c r="E784" t="s">
        <v>35</v>
      </c>
      <c r="F784" t="s">
        <v>98</v>
      </c>
      <c r="G784">
        <v>25</v>
      </c>
      <c r="H784" t="s">
        <v>31</v>
      </c>
      <c r="I784" t="s">
        <v>31</v>
      </c>
      <c r="J784" t="s">
        <v>25</v>
      </c>
      <c r="K784" s="2">
        <v>39638</v>
      </c>
      <c r="L784" s="2">
        <v>40441</v>
      </c>
      <c r="M784" t="s">
        <v>32</v>
      </c>
      <c r="N784">
        <v>39</v>
      </c>
      <c r="O784" t="s">
        <v>23</v>
      </c>
      <c r="P784">
        <v>9</v>
      </c>
      <c r="Q784" s="1">
        <v>15.9</v>
      </c>
      <c r="R784" s="2">
        <f t="shared" si="48"/>
        <v>803</v>
      </c>
      <c r="S784" s="1">
        <f t="shared" si="49"/>
        <v>2.0258337958524648</v>
      </c>
      <c r="T784" t="str">
        <f t="shared" si="50"/>
        <v>Expert</v>
      </c>
      <c r="U784" t="str">
        <f t="shared" si="51"/>
        <v>Low Impact</v>
      </c>
    </row>
    <row r="785" spans="1:21" x14ac:dyDescent="0.3">
      <c r="A785" t="s">
        <v>1235</v>
      </c>
      <c r="B785">
        <v>55</v>
      </c>
      <c r="C785" t="s">
        <v>54</v>
      </c>
      <c r="D785" t="s">
        <v>34</v>
      </c>
      <c r="E785" t="s">
        <v>20</v>
      </c>
      <c r="F785" t="s">
        <v>21</v>
      </c>
      <c r="G785">
        <v>33</v>
      </c>
      <c r="H785" t="s">
        <v>22</v>
      </c>
      <c r="I785" t="s">
        <v>37</v>
      </c>
      <c r="J785" t="s">
        <v>23</v>
      </c>
      <c r="K785" s="2">
        <v>81259</v>
      </c>
      <c r="L785" s="2">
        <v>68087</v>
      </c>
      <c r="M785" t="s">
        <v>38</v>
      </c>
      <c r="N785">
        <v>40</v>
      </c>
      <c r="O785" t="s">
        <v>25</v>
      </c>
      <c r="P785">
        <v>7</v>
      </c>
      <c r="Q785" s="1">
        <v>15.89</v>
      </c>
      <c r="R785" s="2">
        <f t="shared" si="48"/>
        <v>-13172</v>
      </c>
      <c r="S785" s="1">
        <f t="shared" si="49"/>
        <v>-16.209896749898473</v>
      </c>
      <c r="T785" t="str">
        <f t="shared" si="50"/>
        <v>Expert</v>
      </c>
      <c r="U785" t="str">
        <f t="shared" si="51"/>
        <v>Medium Impact</v>
      </c>
    </row>
    <row r="786" spans="1:21" x14ac:dyDescent="0.3">
      <c r="A786" t="s">
        <v>291</v>
      </c>
      <c r="B786">
        <v>28</v>
      </c>
      <c r="C786" t="s">
        <v>27</v>
      </c>
      <c r="D786" t="s">
        <v>34</v>
      </c>
      <c r="E786" t="s">
        <v>51</v>
      </c>
      <c r="F786" t="s">
        <v>52</v>
      </c>
      <c r="G786">
        <v>4</v>
      </c>
      <c r="H786" t="s">
        <v>37</v>
      </c>
      <c r="I786" t="s">
        <v>31</v>
      </c>
      <c r="J786" t="s">
        <v>25</v>
      </c>
      <c r="K786" s="2">
        <v>76163</v>
      </c>
      <c r="L786" s="2">
        <v>81182</v>
      </c>
      <c r="M786" t="s">
        <v>32</v>
      </c>
      <c r="N786">
        <v>37</v>
      </c>
      <c r="O786" t="s">
        <v>25</v>
      </c>
      <c r="P786">
        <v>9</v>
      </c>
      <c r="Q786" s="1">
        <v>15.85</v>
      </c>
      <c r="R786" s="2">
        <f t="shared" si="48"/>
        <v>5019</v>
      </c>
      <c r="S786" s="1">
        <f t="shared" si="49"/>
        <v>6.5898139516563159</v>
      </c>
      <c r="T786" t="str">
        <f t="shared" si="50"/>
        <v>Beginner</v>
      </c>
      <c r="U786" t="str">
        <f t="shared" si="51"/>
        <v>Low Impact</v>
      </c>
    </row>
    <row r="787" spans="1:21" x14ac:dyDescent="0.3">
      <c r="A787" t="s">
        <v>929</v>
      </c>
      <c r="B787">
        <v>39</v>
      </c>
      <c r="C787" t="s">
        <v>27</v>
      </c>
      <c r="D787" t="s">
        <v>40</v>
      </c>
      <c r="E787" t="s">
        <v>51</v>
      </c>
      <c r="F787" t="s">
        <v>130</v>
      </c>
      <c r="G787">
        <v>14</v>
      </c>
      <c r="H787" t="s">
        <v>22</v>
      </c>
      <c r="I787" t="s">
        <v>31</v>
      </c>
      <c r="J787" t="s">
        <v>25</v>
      </c>
      <c r="K787" s="2">
        <v>50659</v>
      </c>
      <c r="L787" s="2">
        <v>65322</v>
      </c>
      <c r="M787" t="s">
        <v>32</v>
      </c>
      <c r="N787">
        <v>53</v>
      </c>
      <c r="O787" t="s">
        <v>25</v>
      </c>
      <c r="P787">
        <v>9</v>
      </c>
      <c r="Q787" s="1">
        <v>15.84</v>
      </c>
      <c r="R787" s="2">
        <f t="shared" si="48"/>
        <v>14663</v>
      </c>
      <c r="S787" s="1">
        <f t="shared" si="49"/>
        <v>28.944511340531793</v>
      </c>
      <c r="T787" t="str">
        <f t="shared" si="50"/>
        <v>Intermediate</v>
      </c>
      <c r="U787" t="str">
        <f t="shared" si="51"/>
        <v>Low Impact</v>
      </c>
    </row>
    <row r="788" spans="1:21" x14ac:dyDescent="0.3">
      <c r="A788" t="s">
        <v>1347</v>
      </c>
      <c r="B788">
        <v>57</v>
      </c>
      <c r="C788" t="s">
        <v>27</v>
      </c>
      <c r="D788" t="s">
        <v>34</v>
      </c>
      <c r="E788" t="s">
        <v>41</v>
      </c>
      <c r="F788" t="s">
        <v>49</v>
      </c>
      <c r="G788">
        <v>33</v>
      </c>
      <c r="H788" t="s">
        <v>22</v>
      </c>
      <c r="I788" t="s">
        <v>31</v>
      </c>
      <c r="J788" t="s">
        <v>25</v>
      </c>
      <c r="K788" s="2">
        <v>34311</v>
      </c>
      <c r="L788" s="2">
        <v>31066</v>
      </c>
      <c r="M788" t="s">
        <v>32</v>
      </c>
      <c r="N788">
        <v>38</v>
      </c>
      <c r="O788" t="s">
        <v>23</v>
      </c>
      <c r="P788">
        <v>9</v>
      </c>
      <c r="Q788" s="1">
        <v>15.83</v>
      </c>
      <c r="R788" s="2">
        <f t="shared" si="48"/>
        <v>-3245</v>
      </c>
      <c r="S788" s="1">
        <f t="shared" si="49"/>
        <v>-9.45760834717729</v>
      </c>
      <c r="T788" t="str">
        <f t="shared" si="50"/>
        <v>Expert</v>
      </c>
      <c r="U788" t="str">
        <f t="shared" si="51"/>
        <v>Low Impact</v>
      </c>
    </row>
    <row r="789" spans="1:21" x14ac:dyDescent="0.3">
      <c r="A789" t="s">
        <v>1695</v>
      </c>
      <c r="B789">
        <v>51</v>
      </c>
      <c r="C789" t="s">
        <v>27</v>
      </c>
      <c r="D789" t="s">
        <v>40</v>
      </c>
      <c r="E789" t="s">
        <v>41</v>
      </c>
      <c r="F789" t="s">
        <v>49</v>
      </c>
      <c r="G789">
        <v>29</v>
      </c>
      <c r="H789" t="s">
        <v>31</v>
      </c>
      <c r="I789" t="s">
        <v>37</v>
      </c>
      <c r="J789" t="s">
        <v>25</v>
      </c>
      <c r="K789" s="2">
        <v>76996</v>
      </c>
      <c r="L789" s="2">
        <v>73772</v>
      </c>
      <c r="M789" t="s">
        <v>38</v>
      </c>
      <c r="N789">
        <v>46</v>
      </c>
      <c r="O789" t="s">
        <v>25</v>
      </c>
      <c r="P789">
        <v>3</v>
      </c>
      <c r="Q789" s="1">
        <v>15.8</v>
      </c>
      <c r="R789" s="2">
        <f t="shared" si="48"/>
        <v>-3224</v>
      </c>
      <c r="S789" s="1">
        <f t="shared" si="49"/>
        <v>-4.1872305054808034</v>
      </c>
      <c r="T789" t="str">
        <f t="shared" si="50"/>
        <v>Expert</v>
      </c>
      <c r="U789" t="str">
        <f t="shared" si="51"/>
        <v>Medium Impact</v>
      </c>
    </row>
    <row r="790" spans="1:21" x14ac:dyDescent="0.3">
      <c r="A790" t="s">
        <v>1617</v>
      </c>
      <c r="B790">
        <v>30</v>
      </c>
      <c r="C790" t="s">
        <v>18</v>
      </c>
      <c r="D790" t="s">
        <v>19</v>
      </c>
      <c r="E790" t="s">
        <v>41</v>
      </c>
      <c r="F790" t="s">
        <v>49</v>
      </c>
      <c r="G790">
        <v>6</v>
      </c>
      <c r="H790" t="s">
        <v>22</v>
      </c>
      <c r="I790" t="s">
        <v>22</v>
      </c>
      <c r="J790" t="s">
        <v>25</v>
      </c>
      <c r="K790" s="2">
        <v>118406</v>
      </c>
      <c r="L790" s="2">
        <v>102997</v>
      </c>
      <c r="M790" t="s">
        <v>24</v>
      </c>
      <c r="N790">
        <v>35</v>
      </c>
      <c r="O790" t="s">
        <v>23</v>
      </c>
      <c r="P790">
        <v>8</v>
      </c>
      <c r="Q790" s="1">
        <v>15.79</v>
      </c>
      <c r="R790" s="2">
        <f t="shared" si="48"/>
        <v>-15409</v>
      </c>
      <c r="S790" s="1">
        <f t="shared" si="49"/>
        <v>-13.013698630136986</v>
      </c>
      <c r="T790" t="str">
        <f t="shared" si="50"/>
        <v>Intermediate</v>
      </c>
      <c r="U790" t="str">
        <f t="shared" si="51"/>
        <v>High Impact</v>
      </c>
    </row>
    <row r="791" spans="1:21" x14ac:dyDescent="0.3">
      <c r="A791" t="s">
        <v>1066</v>
      </c>
      <c r="B791">
        <v>37</v>
      </c>
      <c r="C791" t="s">
        <v>27</v>
      </c>
      <c r="D791" t="s">
        <v>28</v>
      </c>
      <c r="E791" t="s">
        <v>51</v>
      </c>
      <c r="F791" t="s">
        <v>130</v>
      </c>
      <c r="G791">
        <v>13</v>
      </c>
      <c r="H791" t="s">
        <v>37</v>
      </c>
      <c r="I791" t="s">
        <v>37</v>
      </c>
      <c r="J791" t="s">
        <v>25</v>
      </c>
      <c r="K791" s="2">
        <v>56498</v>
      </c>
      <c r="L791" s="2">
        <v>57716</v>
      </c>
      <c r="M791" t="s">
        <v>38</v>
      </c>
      <c r="N791">
        <v>40</v>
      </c>
      <c r="O791" t="s">
        <v>25</v>
      </c>
      <c r="P791">
        <v>7</v>
      </c>
      <c r="Q791" s="1">
        <v>15.76</v>
      </c>
      <c r="R791" s="2">
        <f t="shared" si="48"/>
        <v>1218</v>
      </c>
      <c r="S791" s="1">
        <f t="shared" si="49"/>
        <v>2.1558285249035367</v>
      </c>
      <c r="T791" t="str">
        <f t="shared" si="50"/>
        <v>Intermediate</v>
      </c>
      <c r="U791" t="str">
        <f t="shared" si="51"/>
        <v>Medium Impact</v>
      </c>
    </row>
    <row r="792" spans="1:21" x14ac:dyDescent="0.3">
      <c r="A792" t="s">
        <v>1229</v>
      </c>
      <c r="B792">
        <v>58</v>
      </c>
      <c r="C792" t="s">
        <v>54</v>
      </c>
      <c r="D792" t="s">
        <v>40</v>
      </c>
      <c r="E792" t="s">
        <v>51</v>
      </c>
      <c r="F792" t="s">
        <v>130</v>
      </c>
      <c r="G792">
        <v>34</v>
      </c>
      <c r="H792" t="s">
        <v>31</v>
      </c>
      <c r="I792" t="s">
        <v>22</v>
      </c>
      <c r="J792" t="s">
        <v>23</v>
      </c>
      <c r="K792" s="2">
        <v>56613</v>
      </c>
      <c r="L792" s="2">
        <v>57414</v>
      </c>
      <c r="M792" t="s">
        <v>32</v>
      </c>
      <c r="N792">
        <v>42</v>
      </c>
      <c r="O792" t="s">
        <v>23</v>
      </c>
      <c r="P792">
        <v>7</v>
      </c>
      <c r="Q792" s="1">
        <v>15.76</v>
      </c>
      <c r="R792" s="2">
        <f t="shared" si="48"/>
        <v>801</v>
      </c>
      <c r="S792" s="1">
        <f t="shared" si="49"/>
        <v>1.4148693762916644</v>
      </c>
      <c r="T792" t="str">
        <f t="shared" si="50"/>
        <v>Expert</v>
      </c>
      <c r="U792" t="str">
        <f t="shared" si="51"/>
        <v>Low Impact</v>
      </c>
    </row>
    <row r="793" spans="1:21" x14ac:dyDescent="0.3">
      <c r="A793" t="s">
        <v>1981</v>
      </c>
      <c r="B793">
        <v>50</v>
      </c>
      <c r="C793" t="s">
        <v>27</v>
      </c>
      <c r="D793" t="s">
        <v>19</v>
      </c>
      <c r="E793" t="s">
        <v>44</v>
      </c>
      <c r="F793" t="s">
        <v>45</v>
      </c>
      <c r="G793">
        <v>28</v>
      </c>
      <c r="H793" t="s">
        <v>22</v>
      </c>
      <c r="I793" t="s">
        <v>31</v>
      </c>
      <c r="J793" t="s">
        <v>25</v>
      </c>
      <c r="K793" s="2">
        <v>82433</v>
      </c>
      <c r="L793" s="2">
        <v>72482</v>
      </c>
      <c r="M793" t="s">
        <v>32</v>
      </c>
      <c r="N793">
        <v>38</v>
      </c>
      <c r="O793" t="s">
        <v>23</v>
      </c>
      <c r="P793">
        <v>3</v>
      </c>
      <c r="Q793" s="1">
        <v>15.73</v>
      </c>
      <c r="R793" s="2">
        <f t="shared" si="48"/>
        <v>-9951</v>
      </c>
      <c r="S793" s="1">
        <f t="shared" si="49"/>
        <v>-12.071621801948249</v>
      </c>
      <c r="T793" t="str">
        <f t="shared" si="50"/>
        <v>Expert</v>
      </c>
      <c r="U793" t="str">
        <f t="shared" si="51"/>
        <v>Low Impact</v>
      </c>
    </row>
    <row r="794" spans="1:21" x14ac:dyDescent="0.3">
      <c r="A794" t="s">
        <v>1732</v>
      </c>
      <c r="B794">
        <v>34</v>
      </c>
      <c r="C794" t="s">
        <v>27</v>
      </c>
      <c r="D794" t="s">
        <v>34</v>
      </c>
      <c r="E794" t="s">
        <v>20</v>
      </c>
      <c r="F794" t="s">
        <v>118</v>
      </c>
      <c r="G794">
        <v>8</v>
      </c>
      <c r="H794" t="s">
        <v>37</v>
      </c>
      <c r="I794" t="s">
        <v>22</v>
      </c>
      <c r="J794" t="s">
        <v>23</v>
      </c>
      <c r="K794" s="2">
        <v>111311</v>
      </c>
      <c r="L794" s="2">
        <v>111209</v>
      </c>
      <c r="M794" t="s">
        <v>32</v>
      </c>
      <c r="N794">
        <v>51</v>
      </c>
      <c r="O794" t="s">
        <v>25</v>
      </c>
      <c r="P794">
        <v>5</v>
      </c>
      <c r="Q794" s="1">
        <v>15.72</v>
      </c>
      <c r="R794" s="2">
        <f t="shared" si="48"/>
        <v>-102</v>
      </c>
      <c r="S794" s="1">
        <f t="shared" si="49"/>
        <v>-9.1635148368085811E-2</v>
      </c>
      <c r="T794" t="str">
        <f t="shared" si="50"/>
        <v>Intermediate</v>
      </c>
      <c r="U794" t="str">
        <f t="shared" si="51"/>
        <v>Low Impact</v>
      </c>
    </row>
    <row r="795" spans="1:21" x14ac:dyDescent="0.3">
      <c r="A795" t="s">
        <v>1180</v>
      </c>
      <c r="B795">
        <v>50</v>
      </c>
      <c r="C795" t="s">
        <v>27</v>
      </c>
      <c r="D795" t="s">
        <v>28</v>
      </c>
      <c r="E795" t="s">
        <v>35</v>
      </c>
      <c r="F795" t="s">
        <v>36</v>
      </c>
      <c r="G795">
        <v>26</v>
      </c>
      <c r="H795" t="s">
        <v>31</v>
      </c>
      <c r="I795" t="s">
        <v>37</v>
      </c>
      <c r="J795" t="s">
        <v>23</v>
      </c>
      <c r="K795" s="2">
        <v>98371</v>
      </c>
      <c r="L795" s="2">
        <v>93931</v>
      </c>
      <c r="M795" t="s">
        <v>38</v>
      </c>
      <c r="N795">
        <v>52</v>
      </c>
      <c r="O795" t="s">
        <v>23</v>
      </c>
      <c r="P795">
        <v>4</v>
      </c>
      <c r="Q795" s="1">
        <v>15.72</v>
      </c>
      <c r="R795" s="2">
        <f t="shared" si="48"/>
        <v>-4440</v>
      </c>
      <c r="S795" s="1">
        <f t="shared" si="49"/>
        <v>-4.5135253275863825</v>
      </c>
      <c r="T795" t="str">
        <f t="shared" si="50"/>
        <v>Expert</v>
      </c>
      <c r="U795" t="str">
        <f t="shared" si="51"/>
        <v>Medium Impact</v>
      </c>
    </row>
    <row r="796" spans="1:21" x14ac:dyDescent="0.3">
      <c r="A796" t="s">
        <v>1050</v>
      </c>
      <c r="B796">
        <v>38</v>
      </c>
      <c r="C796" t="s">
        <v>18</v>
      </c>
      <c r="D796" t="s">
        <v>19</v>
      </c>
      <c r="E796" t="s">
        <v>41</v>
      </c>
      <c r="F796" t="s">
        <v>55</v>
      </c>
      <c r="G796">
        <v>14</v>
      </c>
      <c r="H796" t="s">
        <v>31</v>
      </c>
      <c r="I796" t="s">
        <v>22</v>
      </c>
      <c r="J796" t="s">
        <v>25</v>
      </c>
      <c r="K796" s="2">
        <v>96830</v>
      </c>
      <c r="L796" s="2">
        <v>101914</v>
      </c>
      <c r="M796" t="s">
        <v>32</v>
      </c>
      <c r="N796">
        <v>49</v>
      </c>
      <c r="O796" t="s">
        <v>23</v>
      </c>
      <c r="P796">
        <v>4</v>
      </c>
      <c r="Q796" s="1">
        <v>15.62</v>
      </c>
      <c r="R796" s="2">
        <f t="shared" si="48"/>
        <v>5084</v>
      </c>
      <c r="S796" s="1">
        <f t="shared" si="49"/>
        <v>5.2504389135598473</v>
      </c>
      <c r="T796" t="str">
        <f t="shared" si="50"/>
        <v>Intermediate</v>
      </c>
      <c r="U796" t="str">
        <f t="shared" si="51"/>
        <v>Low Impact</v>
      </c>
    </row>
    <row r="797" spans="1:21" x14ac:dyDescent="0.3">
      <c r="A797" t="s">
        <v>2002</v>
      </c>
      <c r="B797">
        <v>45</v>
      </c>
      <c r="C797" t="s">
        <v>18</v>
      </c>
      <c r="D797" t="s">
        <v>19</v>
      </c>
      <c r="E797" t="s">
        <v>20</v>
      </c>
      <c r="F797" t="s">
        <v>118</v>
      </c>
      <c r="G797">
        <v>20</v>
      </c>
      <c r="H797" t="s">
        <v>22</v>
      </c>
      <c r="I797" t="s">
        <v>22</v>
      </c>
      <c r="J797" t="s">
        <v>23</v>
      </c>
      <c r="K797" s="2">
        <v>98617</v>
      </c>
      <c r="L797" s="2">
        <v>112128</v>
      </c>
      <c r="M797" t="s">
        <v>38</v>
      </c>
      <c r="N797">
        <v>45</v>
      </c>
      <c r="O797" t="s">
        <v>25</v>
      </c>
      <c r="P797">
        <v>8</v>
      </c>
      <c r="Q797" s="1">
        <v>15.59</v>
      </c>
      <c r="R797" s="2">
        <f t="shared" si="48"/>
        <v>13511</v>
      </c>
      <c r="S797" s="1">
        <f t="shared" si="49"/>
        <v>13.700477605281037</v>
      </c>
      <c r="T797" t="str">
        <f t="shared" si="50"/>
        <v>Expert</v>
      </c>
      <c r="U797" t="str">
        <f t="shared" si="51"/>
        <v>Medium Impact</v>
      </c>
    </row>
    <row r="798" spans="1:21" x14ac:dyDescent="0.3">
      <c r="A798" t="s">
        <v>661</v>
      </c>
      <c r="B798">
        <v>25</v>
      </c>
      <c r="C798" t="s">
        <v>27</v>
      </c>
      <c r="D798" t="s">
        <v>28</v>
      </c>
      <c r="E798" t="s">
        <v>29</v>
      </c>
      <c r="F798" t="s">
        <v>30</v>
      </c>
      <c r="G798">
        <v>3</v>
      </c>
      <c r="H798" t="s">
        <v>37</v>
      </c>
      <c r="I798" t="s">
        <v>22</v>
      </c>
      <c r="J798" t="s">
        <v>25</v>
      </c>
      <c r="K798" s="2">
        <v>97753</v>
      </c>
      <c r="L798" s="2">
        <v>108948</v>
      </c>
      <c r="M798" t="s">
        <v>32</v>
      </c>
      <c r="N798">
        <v>45</v>
      </c>
      <c r="O798" t="s">
        <v>25</v>
      </c>
      <c r="P798">
        <v>5</v>
      </c>
      <c r="Q798" s="1">
        <v>15.59</v>
      </c>
      <c r="R798" s="2">
        <f t="shared" si="48"/>
        <v>11195</v>
      </c>
      <c r="S798" s="1">
        <f t="shared" si="49"/>
        <v>11.452333943715283</v>
      </c>
      <c r="T798" t="str">
        <f t="shared" si="50"/>
        <v>Beginner</v>
      </c>
      <c r="U798" t="str">
        <f t="shared" si="51"/>
        <v>Low Impact</v>
      </c>
    </row>
    <row r="799" spans="1:21" x14ac:dyDescent="0.3">
      <c r="A799" t="s">
        <v>450</v>
      </c>
      <c r="B799">
        <v>25</v>
      </c>
      <c r="C799" t="s">
        <v>27</v>
      </c>
      <c r="D799" t="s">
        <v>28</v>
      </c>
      <c r="E799" t="s">
        <v>44</v>
      </c>
      <c r="F799" t="s">
        <v>47</v>
      </c>
      <c r="G799">
        <v>0</v>
      </c>
      <c r="H799" t="s">
        <v>22</v>
      </c>
      <c r="I799" t="s">
        <v>37</v>
      </c>
      <c r="J799" t="s">
        <v>25</v>
      </c>
      <c r="K799" s="2">
        <v>44849</v>
      </c>
      <c r="L799" s="2">
        <v>53849</v>
      </c>
      <c r="M799" t="s">
        <v>38</v>
      </c>
      <c r="N799">
        <v>43</v>
      </c>
      <c r="O799" t="s">
        <v>25</v>
      </c>
      <c r="P799">
        <v>9</v>
      </c>
      <c r="Q799" s="1">
        <v>15.59</v>
      </c>
      <c r="R799" s="2">
        <f t="shared" si="48"/>
        <v>9000</v>
      </c>
      <c r="S799" s="1">
        <f t="shared" si="49"/>
        <v>20.067337064371557</v>
      </c>
      <c r="T799" t="str">
        <f t="shared" si="50"/>
        <v>Beginner</v>
      </c>
      <c r="U799" t="str">
        <f t="shared" si="51"/>
        <v>Medium Impact</v>
      </c>
    </row>
    <row r="800" spans="1:21" x14ac:dyDescent="0.3">
      <c r="A800" t="s">
        <v>396</v>
      </c>
      <c r="B800">
        <v>25</v>
      </c>
      <c r="C800" t="s">
        <v>54</v>
      </c>
      <c r="D800" t="s">
        <v>28</v>
      </c>
      <c r="E800" t="s">
        <v>59</v>
      </c>
      <c r="F800" t="s">
        <v>60</v>
      </c>
      <c r="G800">
        <v>0</v>
      </c>
      <c r="H800" t="s">
        <v>22</v>
      </c>
      <c r="I800" t="s">
        <v>37</v>
      </c>
      <c r="J800" t="s">
        <v>25</v>
      </c>
      <c r="K800" s="2">
        <v>48313</v>
      </c>
      <c r="L800" s="2">
        <v>64339</v>
      </c>
      <c r="M800" t="s">
        <v>38</v>
      </c>
      <c r="N800">
        <v>39</v>
      </c>
      <c r="O800" t="s">
        <v>25</v>
      </c>
      <c r="P800">
        <v>8</v>
      </c>
      <c r="Q800" s="1">
        <v>15.58</v>
      </c>
      <c r="R800" s="2">
        <f t="shared" si="48"/>
        <v>16026</v>
      </c>
      <c r="S800" s="1">
        <f t="shared" si="49"/>
        <v>33.171196158383871</v>
      </c>
      <c r="T800" t="str">
        <f t="shared" si="50"/>
        <v>Beginner</v>
      </c>
      <c r="U800" t="str">
        <f t="shared" si="51"/>
        <v>Medium Impact</v>
      </c>
    </row>
    <row r="801" spans="1:21" x14ac:dyDescent="0.3">
      <c r="A801" t="s">
        <v>668</v>
      </c>
      <c r="B801">
        <v>23</v>
      </c>
      <c r="C801" t="s">
        <v>54</v>
      </c>
      <c r="D801" t="s">
        <v>40</v>
      </c>
      <c r="E801" t="s">
        <v>41</v>
      </c>
      <c r="F801" t="s">
        <v>55</v>
      </c>
      <c r="G801">
        <v>0</v>
      </c>
      <c r="H801" t="s">
        <v>31</v>
      </c>
      <c r="I801" t="s">
        <v>31</v>
      </c>
      <c r="J801" t="s">
        <v>23</v>
      </c>
      <c r="K801" s="2">
        <v>53989</v>
      </c>
      <c r="L801" s="2">
        <v>56012</v>
      </c>
      <c r="M801" t="s">
        <v>32</v>
      </c>
      <c r="N801">
        <v>42</v>
      </c>
      <c r="O801" t="s">
        <v>23</v>
      </c>
      <c r="P801">
        <v>5</v>
      </c>
      <c r="Q801" s="1">
        <v>15.57</v>
      </c>
      <c r="R801" s="2">
        <f t="shared" si="48"/>
        <v>2023</v>
      </c>
      <c r="S801" s="1">
        <f t="shared" si="49"/>
        <v>3.7470595862120057</v>
      </c>
      <c r="T801" t="str">
        <f t="shared" si="50"/>
        <v>Beginner</v>
      </c>
      <c r="U801" t="str">
        <f t="shared" si="51"/>
        <v>Low Impact</v>
      </c>
    </row>
    <row r="802" spans="1:21" x14ac:dyDescent="0.3">
      <c r="A802" t="s">
        <v>1968</v>
      </c>
      <c r="B802">
        <v>57</v>
      </c>
      <c r="C802" t="s">
        <v>18</v>
      </c>
      <c r="D802" t="s">
        <v>40</v>
      </c>
      <c r="E802" t="s">
        <v>20</v>
      </c>
      <c r="F802" t="s">
        <v>21</v>
      </c>
      <c r="G802">
        <v>32</v>
      </c>
      <c r="H802" t="s">
        <v>31</v>
      </c>
      <c r="I802" t="s">
        <v>37</v>
      </c>
      <c r="J802" t="s">
        <v>23</v>
      </c>
      <c r="K802" s="2">
        <v>35539</v>
      </c>
      <c r="L802" s="2">
        <v>37454</v>
      </c>
      <c r="M802" t="s">
        <v>38</v>
      </c>
      <c r="N802">
        <v>46</v>
      </c>
      <c r="O802" t="s">
        <v>23</v>
      </c>
      <c r="P802">
        <v>7</v>
      </c>
      <c r="Q802" s="1">
        <v>15.53</v>
      </c>
      <c r="R802" s="2">
        <f t="shared" si="48"/>
        <v>1915</v>
      </c>
      <c r="S802" s="1">
        <f t="shared" si="49"/>
        <v>5.3884464953994202</v>
      </c>
      <c r="T802" t="str">
        <f t="shared" si="50"/>
        <v>Expert</v>
      </c>
      <c r="U802" t="str">
        <f t="shared" si="51"/>
        <v>Medium Impact</v>
      </c>
    </row>
    <row r="803" spans="1:21" x14ac:dyDescent="0.3">
      <c r="A803" t="s">
        <v>203</v>
      </c>
      <c r="B803">
        <v>44</v>
      </c>
      <c r="C803" t="s">
        <v>27</v>
      </c>
      <c r="D803" t="s">
        <v>19</v>
      </c>
      <c r="E803" t="s">
        <v>51</v>
      </c>
      <c r="F803" t="s">
        <v>130</v>
      </c>
      <c r="G803">
        <v>22</v>
      </c>
      <c r="H803" t="s">
        <v>22</v>
      </c>
      <c r="I803" t="s">
        <v>22</v>
      </c>
      <c r="J803" t="s">
        <v>23</v>
      </c>
      <c r="K803" s="2">
        <v>83173</v>
      </c>
      <c r="L803" s="2">
        <v>92430</v>
      </c>
      <c r="M803" t="s">
        <v>24</v>
      </c>
      <c r="N803">
        <v>49</v>
      </c>
      <c r="O803" t="s">
        <v>23</v>
      </c>
      <c r="P803">
        <v>3</v>
      </c>
      <c r="Q803" s="1">
        <v>15.48</v>
      </c>
      <c r="R803" s="2">
        <f t="shared" si="48"/>
        <v>9257</v>
      </c>
      <c r="S803" s="1">
        <f t="shared" si="49"/>
        <v>11.129813761677468</v>
      </c>
      <c r="T803" t="str">
        <f t="shared" si="50"/>
        <v>Expert</v>
      </c>
      <c r="U803" t="str">
        <f t="shared" si="51"/>
        <v>High Impact</v>
      </c>
    </row>
    <row r="804" spans="1:21" x14ac:dyDescent="0.3">
      <c r="A804" t="s">
        <v>1492</v>
      </c>
      <c r="B804">
        <v>36</v>
      </c>
      <c r="C804" t="s">
        <v>54</v>
      </c>
      <c r="D804" t="s">
        <v>19</v>
      </c>
      <c r="E804" t="s">
        <v>51</v>
      </c>
      <c r="F804" t="s">
        <v>75</v>
      </c>
      <c r="G804">
        <v>10</v>
      </c>
      <c r="H804" t="s">
        <v>37</v>
      </c>
      <c r="I804" t="s">
        <v>37</v>
      </c>
      <c r="J804" t="s">
        <v>23</v>
      </c>
      <c r="K804" s="2">
        <v>116914</v>
      </c>
      <c r="L804" s="2">
        <v>112803</v>
      </c>
      <c r="M804" t="s">
        <v>38</v>
      </c>
      <c r="N804">
        <v>37</v>
      </c>
      <c r="O804" t="s">
        <v>25</v>
      </c>
      <c r="P804">
        <v>6</v>
      </c>
      <c r="Q804" s="1">
        <v>15.45</v>
      </c>
      <c r="R804" s="2">
        <f t="shared" si="48"/>
        <v>-4111</v>
      </c>
      <c r="S804" s="1">
        <f t="shared" si="49"/>
        <v>-3.5162598149066837</v>
      </c>
      <c r="T804" t="str">
        <f t="shared" si="50"/>
        <v>Intermediate</v>
      </c>
      <c r="U804" t="str">
        <f t="shared" si="51"/>
        <v>Medium Impact</v>
      </c>
    </row>
    <row r="805" spans="1:21" x14ac:dyDescent="0.3">
      <c r="A805" t="s">
        <v>566</v>
      </c>
      <c r="B805">
        <v>52</v>
      </c>
      <c r="C805" t="s">
        <v>27</v>
      </c>
      <c r="D805" t="s">
        <v>40</v>
      </c>
      <c r="E805" t="s">
        <v>20</v>
      </c>
      <c r="F805" t="s">
        <v>88</v>
      </c>
      <c r="G805">
        <v>26</v>
      </c>
      <c r="H805" t="s">
        <v>31</v>
      </c>
      <c r="I805" t="s">
        <v>31</v>
      </c>
      <c r="J805" t="s">
        <v>25</v>
      </c>
      <c r="K805" s="2">
        <v>87149</v>
      </c>
      <c r="L805" s="2">
        <v>89746</v>
      </c>
      <c r="M805" t="s">
        <v>32</v>
      </c>
      <c r="N805">
        <v>40</v>
      </c>
      <c r="O805" t="s">
        <v>25</v>
      </c>
      <c r="P805">
        <v>7</v>
      </c>
      <c r="Q805" s="1">
        <v>15.43</v>
      </c>
      <c r="R805" s="2">
        <f t="shared" si="48"/>
        <v>2597</v>
      </c>
      <c r="S805" s="1">
        <f t="shared" si="49"/>
        <v>2.9799538721040979</v>
      </c>
      <c r="T805" t="str">
        <f t="shared" si="50"/>
        <v>Expert</v>
      </c>
      <c r="U805" t="str">
        <f t="shared" si="51"/>
        <v>Low Impact</v>
      </c>
    </row>
    <row r="806" spans="1:21" x14ac:dyDescent="0.3">
      <c r="A806" t="s">
        <v>156</v>
      </c>
      <c r="B806">
        <v>22</v>
      </c>
      <c r="C806" t="s">
        <v>27</v>
      </c>
      <c r="D806" t="s">
        <v>40</v>
      </c>
      <c r="E806" t="s">
        <v>51</v>
      </c>
      <c r="F806" t="s">
        <v>75</v>
      </c>
      <c r="G806">
        <v>0</v>
      </c>
      <c r="H806" t="s">
        <v>37</v>
      </c>
      <c r="I806" t="s">
        <v>37</v>
      </c>
      <c r="J806" t="s">
        <v>25</v>
      </c>
      <c r="K806" s="2">
        <v>54285</v>
      </c>
      <c r="L806" s="2">
        <v>61751</v>
      </c>
      <c r="M806" t="s">
        <v>38</v>
      </c>
      <c r="N806">
        <v>49</v>
      </c>
      <c r="O806" t="s">
        <v>23</v>
      </c>
      <c r="P806">
        <v>9</v>
      </c>
      <c r="Q806" s="1">
        <v>15.4</v>
      </c>
      <c r="R806" s="2">
        <f t="shared" si="48"/>
        <v>7466</v>
      </c>
      <c r="S806" s="1">
        <f t="shared" si="49"/>
        <v>13.75333885972184</v>
      </c>
      <c r="T806" t="str">
        <f t="shared" si="50"/>
        <v>Beginner</v>
      </c>
      <c r="U806" t="str">
        <f t="shared" si="51"/>
        <v>Medium Impact</v>
      </c>
    </row>
    <row r="807" spans="1:21" x14ac:dyDescent="0.3">
      <c r="A807" t="s">
        <v>248</v>
      </c>
      <c r="B807">
        <v>35</v>
      </c>
      <c r="C807" t="s">
        <v>27</v>
      </c>
      <c r="D807" t="s">
        <v>34</v>
      </c>
      <c r="E807" t="s">
        <v>35</v>
      </c>
      <c r="F807" t="s">
        <v>36</v>
      </c>
      <c r="G807">
        <v>12</v>
      </c>
      <c r="H807" t="s">
        <v>37</v>
      </c>
      <c r="I807" t="s">
        <v>37</v>
      </c>
      <c r="J807" t="s">
        <v>25</v>
      </c>
      <c r="K807" s="2">
        <v>85619</v>
      </c>
      <c r="L807" s="2">
        <v>95436</v>
      </c>
      <c r="M807" t="s">
        <v>38</v>
      </c>
      <c r="N807">
        <v>50</v>
      </c>
      <c r="O807" t="s">
        <v>23</v>
      </c>
      <c r="P807">
        <v>3</v>
      </c>
      <c r="Q807" s="1">
        <v>15.35</v>
      </c>
      <c r="R807" s="2">
        <f t="shared" si="48"/>
        <v>9817</v>
      </c>
      <c r="S807" s="1">
        <f t="shared" si="49"/>
        <v>11.465912939884838</v>
      </c>
      <c r="T807" t="str">
        <f t="shared" si="50"/>
        <v>Intermediate</v>
      </c>
      <c r="U807" t="str">
        <f t="shared" si="51"/>
        <v>Medium Impact</v>
      </c>
    </row>
    <row r="808" spans="1:21" x14ac:dyDescent="0.3">
      <c r="A808" t="s">
        <v>643</v>
      </c>
      <c r="B808">
        <v>34</v>
      </c>
      <c r="C808" t="s">
        <v>18</v>
      </c>
      <c r="D808" t="s">
        <v>34</v>
      </c>
      <c r="E808" t="s">
        <v>44</v>
      </c>
      <c r="F808" t="s">
        <v>45</v>
      </c>
      <c r="G808">
        <v>10</v>
      </c>
      <c r="H808" t="s">
        <v>37</v>
      </c>
      <c r="I808" t="s">
        <v>31</v>
      </c>
      <c r="J808" t="s">
        <v>25</v>
      </c>
      <c r="K808" s="2">
        <v>62821</v>
      </c>
      <c r="L808" s="2">
        <v>63817</v>
      </c>
      <c r="M808" t="s">
        <v>32</v>
      </c>
      <c r="N808">
        <v>42</v>
      </c>
      <c r="O808" t="s">
        <v>23</v>
      </c>
      <c r="P808">
        <v>7</v>
      </c>
      <c r="Q808" s="1">
        <v>15.31</v>
      </c>
      <c r="R808" s="2">
        <f t="shared" si="48"/>
        <v>996</v>
      </c>
      <c r="S808" s="1">
        <f t="shared" si="49"/>
        <v>1.5854570923735694</v>
      </c>
      <c r="T808" t="str">
        <f t="shared" si="50"/>
        <v>Intermediate</v>
      </c>
      <c r="U808" t="str">
        <f t="shared" si="51"/>
        <v>Low Impact</v>
      </c>
    </row>
    <row r="809" spans="1:21" x14ac:dyDescent="0.3">
      <c r="A809" t="s">
        <v>1030</v>
      </c>
      <c r="B809">
        <v>52</v>
      </c>
      <c r="C809" t="s">
        <v>54</v>
      </c>
      <c r="D809" t="s">
        <v>40</v>
      </c>
      <c r="E809" t="s">
        <v>20</v>
      </c>
      <c r="F809" t="s">
        <v>21</v>
      </c>
      <c r="G809">
        <v>27</v>
      </c>
      <c r="H809" t="s">
        <v>37</v>
      </c>
      <c r="I809" t="s">
        <v>37</v>
      </c>
      <c r="J809" t="s">
        <v>23</v>
      </c>
      <c r="K809" s="2">
        <v>91720</v>
      </c>
      <c r="L809" s="2">
        <v>103234</v>
      </c>
      <c r="M809" t="s">
        <v>38</v>
      </c>
      <c r="N809">
        <v>53</v>
      </c>
      <c r="O809" t="s">
        <v>25</v>
      </c>
      <c r="P809">
        <v>4</v>
      </c>
      <c r="Q809" s="1">
        <v>15.3</v>
      </c>
      <c r="R809" s="2">
        <f t="shared" si="48"/>
        <v>11514</v>
      </c>
      <c r="S809" s="1">
        <f t="shared" si="49"/>
        <v>12.553423462712605</v>
      </c>
      <c r="T809" t="str">
        <f t="shared" si="50"/>
        <v>Expert</v>
      </c>
      <c r="U809" t="str">
        <f t="shared" si="51"/>
        <v>Medium Impact</v>
      </c>
    </row>
    <row r="810" spans="1:21" x14ac:dyDescent="0.3">
      <c r="A810" t="s">
        <v>985</v>
      </c>
      <c r="B810">
        <v>50</v>
      </c>
      <c r="C810" t="s">
        <v>18</v>
      </c>
      <c r="D810" t="s">
        <v>40</v>
      </c>
      <c r="E810" t="s">
        <v>59</v>
      </c>
      <c r="F810" t="s">
        <v>77</v>
      </c>
      <c r="G810">
        <v>26</v>
      </c>
      <c r="H810" t="s">
        <v>22</v>
      </c>
      <c r="I810" t="s">
        <v>22</v>
      </c>
      <c r="J810" t="s">
        <v>23</v>
      </c>
      <c r="K810" s="2">
        <v>31407</v>
      </c>
      <c r="L810" s="2">
        <v>38486</v>
      </c>
      <c r="M810" t="s">
        <v>24</v>
      </c>
      <c r="N810">
        <v>44</v>
      </c>
      <c r="O810" t="s">
        <v>25</v>
      </c>
      <c r="P810">
        <v>7</v>
      </c>
      <c r="Q810" s="1">
        <v>15.26</v>
      </c>
      <c r="R810" s="2">
        <f t="shared" si="48"/>
        <v>7079</v>
      </c>
      <c r="S810" s="1">
        <f t="shared" si="49"/>
        <v>22.539561244308594</v>
      </c>
      <c r="T810" t="str">
        <f t="shared" si="50"/>
        <v>Expert</v>
      </c>
      <c r="U810" t="str">
        <f t="shared" si="51"/>
        <v>High Impact</v>
      </c>
    </row>
    <row r="811" spans="1:21" x14ac:dyDescent="0.3">
      <c r="A811" t="s">
        <v>1514</v>
      </c>
      <c r="B811">
        <v>29</v>
      </c>
      <c r="C811" t="s">
        <v>18</v>
      </c>
      <c r="D811" t="s">
        <v>19</v>
      </c>
      <c r="E811" t="s">
        <v>51</v>
      </c>
      <c r="F811" t="s">
        <v>52</v>
      </c>
      <c r="G811">
        <v>5</v>
      </c>
      <c r="H811" t="s">
        <v>22</v>
      </c>
      <c r="I811" t="s">
        <v>22</v>
      </c>
      <c r="J811" t="s">
        <v>23</v>
      </c>
      <c r="K811" s="2">
        <v>48961</v>
      </c>
      <c r="L811" s="2">
        <v>48686</v>
      </c>
      <c r="M811" t="s">
        <v>38</v>
      </c>
      <c r="N811">
        <v>46</v>
      </c>
      <c r="O811" t="s">
        <v>25</v>
      </c>
      <c r="P811">
        <v>3</v>
      </c>
      <c r="Q811" s="1">
        <v>15.23</v>
      </c>
      <c r="R811" s="2">
        <f t="shared" si="48"/>
        <v>-275</v>
      </c>
      <c r="S811" s="1">
        <f t="shared" si="49"/>
        <v>-0.56167153448663221</v>
      </c>
      <c r="T811" t="str">
        <f t="shared" si="50"/>
        <v>Intermediate</v>
      </c>
      <c r="U811" t="str">
        <f t="shared" si="51"/>
        <v>Medium Impact</v>
      </c>
    </row>
    <row r="812" spans="1:21" x14ac:dyDescent="0.3">
      <c r="A812" t="s">
        <v>324</v>
      </c>
      <c r="B812">
        <v>53</v>
      </c>
      <c r="C812" t="s">
        <v>18</v>
      </c>
      <c r="D812" t="s">
        <v>28</v>
      </c>
      <c r="E812" t="s">
        <v>51</v>
      </c>
      <c r="F812" t="s">
        <v>52</v>
      </c>
      <c r="G812">
        <v>31</v>
      </c>
      <c r="H812" t="s">
        <v>31</v>
      </c>
      <c r="I812" t="s">
        <v>31</v>
      </c>
      <c r="J812" t="s">
        <v>23</v>
      </c>
      <c r="K812" s="2">
        <v>52443</v>
      </c>
      <c r="L812" s="2">
        <v>49936</v>
      </c>
      <c r="M812" t="s">
        <v>32</v>
      </c>
      <c r="N812">
        <v>42</v>
      </c>
      <c r="O812" t="s">
        <v>25</v>
      </c>
      <c r="P812">
        <v>8</v>
      </c>
      <c r="Q812" s="1">
        <v>15.22</v>
      </c>
      <c r="R812" s="2">
        <f t="shared" si="48"/>
        <v>-2507</v>
      </c>
      <c r="S812" s="1">
        <f t="shared" si="49"/>
        <v>-4.7804282745075612</v>
      </c>
      <c r="T812" t="str">
        <f t="shared" si="50"/>
        <v>Expert</v>
      </c>
      <c r="U812" t="str">
        <f t="shared" si="51"/>
        <v>Low Impact</v>
      </c>
    </row>
    <row r="813" spans="1:21" x14ac:dyDescent="0.3">
      <c r="A813" t="s">
        <v>969</v>
      </c>
      <c r="B813">
        <v>59</v>
      </c>
      <c r="C813" t="s">
        <v>54</v>
      </c>
      <c r="D813" t="s">
        <v>19</v>
      </c>
      <c r="E813" t="s">
        <v>35</v>
      </c>
      <c r="F813" t="s">
        <v>36</v>
      </c>
      <c r="G813">
        <v>34</v>
      </c>
      <c r="H813" t="s">
        <v>31</v>
      </c>
      <c r="I813" t="s">
        <v>37</v>
      </c>
      <c r="J813" t="s">
        <v>23</v>
      </c>
      <c r="K813" s="2">
        <v>104160</v>
      </c>
      <c r="L813" s="2">
        <v>103362</v>
      </c>
      <c r="M813" t="s">
        <v>38</v>
      </c>
      <c r="N813">
        <v>36</v>
      </c>
      <c r="O813" t="s">
        <v>25</v>
      </c>
      <c r="P813">
        <v>3</v>
      </c>
      <c r="Q813" s="1">
        <v>15.12</v>
      </c>
      <c r="R813" s="2">
        <f t="shared" si="48"/>
        <v>-798</v>
      </c>
      <c r="S813" s="1">
        <f t="shared" si="49"/>
        <v>-0.7661290322580645</v>
      </c>
      <c r="T813" t="str">
        <f t="shared" si="50"/>
        <v>Expert</v>
      </c>
      <c r="U813" t="str">
        <f t="shared" si="51"/>
        <v>Medium Impact</v>
      </c>
    </row>
    <row r="814" spans="1:21" x14ac:dyDescent="0.3">
      <c r="A814" t="s">
        <v>308</v>
      </c>
      <c r="B814">
        <v>58</v>
      </c>
      <c r="C814" t="s">
        <v>27</v>
      </c>
      <c r="D814" t="s">
        <v>40</v>
      </c>
      <c r="E814" t="s">
        <v>20</v>
      </c>
      <c r="F814" t="s">
        <v>118</v>
      </c>
      <c r="G814">
        <v>33</v>
      </c>
      <c r="H814" t="s">
        <v>22</v>
      </c>
      <c r="I814" t="s">
        <v>31</v>
      </c>
      <c r="J814" t="s">
        <v>25</v>
      </c>
      <c r="K814" s="2">
        <v>39847</v>
      </c>
      <c r="L814" s="2">
        <v>51139</v>
      </c>
      <c r="M814" t="s">
        <v>32</v>
      </c>
      <c r="N814">
        <v>49</v>
      </c>
      <c r="O814" t="s">
        <v>23</v>
      </c>
      <c r="P814">
        <v>8</v>
      </c>
      <c r="Q814" s="1">
        <v>15.12</v>
      </c>
      <c r="R814" s="2">
        <f t="shared" si="48"/>
        <v>11292</v>
      </c>
      <c r="S814" s="1">
        <f t="shared" si="49"/>
        <v>28.33839435842096</v>
      </c>
      <c r="T814" t="str">
        <f t="shared" si="50"/>
        <v>Expert</v>
      </c>
      <c r="U814" t="str">
        <f t="shared" si="51"/>
        <v>Low Impact</v>
      </c>
    </row>
    <row r="815" spans="1:21" x14ac:dyDescent="0.3">
      <c r="A815" t="s">
        <v>1645</v>
      </c>
      <c r="B815">
        <v>53</v>
      </c>
      <c r="C815" t="s">
        <v>18</v>
      </c>
      <c r="D815" t="s">
        <v>34</v>
      </c>
      <c r="E815" t="s">
        <v>59</v>
      </c>
      <c r="F815" t="s">
        <v>93</v>
      </c>
      <c r="G815">
        <v>31</v>
      </c>
      <c r="H815" t="s">
        <v>31</v>
      </c>
      <c r="I815" t="s">
        <v>31</v>
      </c>
      <c r="J815" t="s">
        <v>25</v>
      </c>
      <c r="K815" s="2">
        <v>34300</v>
      </c>
      <c r="L815" s="2">
        <v>36285</v>
      </c>
      <c r="M815" t="s">
        <v>32</v>
      </c>
      <c r="N815">
        <v>54</v>
      </c>
      <c r="O815" t="s">
        <v>25</v>
      </c>
      <c r="P815">
        <v>3</v>
      </c>
      <c r="Q815" s="1">
        <v>15.1</v>
      </c>
      <c r="R815" s="2">
        <f t="shared" si="48"/>
        <v>1985</v>
      </c>
      <c r="S815" s="1">
        <f t="shared" si="49"/>
        <v>5.7871720116618075</v>
      </c>
      <c r="T815" t="str">
        <f t="shared" si="50"/>
        <v>Expert</v>
      </c>
      <c r="U815" t="str">
        <f t="shared" si="51"/>
        <v>Low Impact</v>
      </c>
    </row>
    <row r="816" spans="1:21" x14ac:dyDescent="0.3">
      <c r="A816" t="s">
        <v>667</v>
      </c>
      <c r="B816">
        <v>49</v>
      </c>
      <c r="C816" t="s">
        <v>54</v>
      </c>
      <c r="D816" t="s">
        <v>40</v>
      </c>
      <c r="E816" t="s">
        <v>41</v>
      </c>
      <c r="F816" t="s">
        <v>42</v>
      </c>
      <c r="G816">
        <v>26</v>
      </c>
      <c r="H816" t="s">
        <v>22</v>
      </c>
      <c r="I816" t="s">
        <v>22</v>
      </c>
      <c r="J816" t="s">
        <v>23</v>
      </c>
      <c r="K816" s="2">
        <v>35213</v>
      </c>
      <c r="L816" s="2">
        <v>46796</v>
      </c>
      <c r="M816" t="s">
        <v>24</v>
      </c>
      <c r="N816">
        <v>51</v>
      </c>
      <c r="O816" t="s">
        <v>25</v>
      </c>
      <c r="P816">
        <v>8</v>
      </c>
      <c r="Q816" s="1">
        <v>15.07</v>
      </c>
      <c r="R816" s="2">
        <f t="shared" si="48"/>
        <v>11583</v>
      </c>
      <c r="S816" s="1">
        <f t="shared" si="49"/>
        <v>32.894101610200778</v>
      </c>
      <c r="T816" t="str">
        <f t="shared" si="50"/>
        <v>Expert</v>
      </c>
      <c r="U816" t="str">
        <f t="shared" si="51"/>
        <v>High Impact</v>
      </c>
    </row>
    <row r="817" spans="1:21" x14ac:dyDescent="0.3">
      <c r="A817" t="s">
        <v>572</v>
      </c>
      <c r="B817">
        <v>53</v>
      </c>
      <c r="C817" t="s">
        <v>27</v>
      </c>
      <c r="D817" t="s">
        <v>40</v>
      </c>
      <c r="E817" t="s">
        <v>51</v>
      </c>
      <c r="F817" t="s">
        <v>130</v>
      </c>
      <c r="G817">
        <v>29</v>
      </c>
      <c r="H817" t="s">
        <v>22</v>
      </c>
      <c r="I817" t="s">
        <v>31</v>
      </c>
      <c r="J817" t="s">
        <v>23</v>
      </c>
      <c r="K817" s="2">
        <v>60881</v>
      </c>
      <c r="L817" s="2">
        <v>77220</v>
      </c>
      <c r="M817" t="s">
        <v>32</v>
      </c>
      <c r="N817">
        <v>45</v>
      </c>
      <c r="O817" t="s">
        <v>23</v>
      </c>
      <c r="P817">
        <v>4</v>
      </c>
      <c r="Q817" s="1">
        <v>15.03</v>
      </c>
      <c r="R817" s="2">
        <f t="shared" si="48"/>
        <v>16339</v>
      </c>
      <c r="S817" s="1">
        <f t="shared" si="49"/>
        <v>26.83760122205614</v>
      </c>
      <c r="T817" t="str">
        <f t="shared" si="50"/>
        <v>Expert</v>
      </c>
      <c r="U817" t="str">
        <f t="shared" si="51"/>
        <v>Low Impact</v>
      </c>
    </row>
    <row r="818" spans="1:21" x14ac:dyDescent="0.3">
      <c r="A818" t="s">
        <v>1710</v>
      </c>
      <c r="B818">
        <v>27</v>
      </c>
      <c r="C818" t="s">
        <v>54</v>
      </c>
      <c r="D818" t="s">
        <v>40</v>
      </c>
      <c r="E818" t="s">
        <v>51</v>
      </c>
      <c r="F818" t="s">
        <v>75</v>
      </c>
      <c r="G818">
        <v>2</v>
      </c>
      <c r="H818" t="s">
        <v>37</v>
      </c>
      <c r="I818" t="s">
        <v>37</v>
      </c>
      <c r="J818" t="s">
        <v>25</v>
      </c>
      <c r="K818" s="2">
        <v>55594</v>
      </c>
      <c r="L818" s="2">
        <v>59572</v>
      </c>
      <c r="M818" t="s">
        <v>38</v>
      </c>
      <c r="N818">
        <v>40</v>
      </c>
      <c r="O818" t="s">
        <v>25</v>
      </c>
      <c r="P818">
        <v>4</v>
      </c>
      <c r="Q818" s="1">
        <v>15.03</v>
      </c>
      <c r="R818" s="2">
        <f t="shared" si="48"/>
        <v>3978</v>
      </c>
      <c r="S818" s="1">
        <f t="shared" si="49"/>
        <v>7.1554484296866576</v>
      </c>
      <c r="T818" t="str">
        <f t="shared" si="50"/>
        <v>Beginner</v>
      </c>
      <c r="U818" t="str">
        <f t="shared" si="51"/>
        <v>Medium Impact</v>
      </c>
    </row>
    <row r="819" spans="1:21" x14ac:dyDescent="0.3">
      <c r="A819" t="s">
        <v>915</v>
      </c>
      <c r="B819">
        <v>52</v>
      </c>
      <c r="C819" t="s">
        <v>27</v>
      </c>
      <c r="D819" t="s">
        <v>19</v>
      </c>
      <c r="E819" t="s">
        <v>44</v>
      </c>
      <c r="F819" t="s">
        <v>47</v>
      </c>
      <c r="G819">
        <v>27</v>
      </c>
      <c r="H819" t="s">
        <v>37</v>
      </c>
      <c r="I819" t="s">
        <v>37</v>
      </c>
      <c r="J819" t="s">
        <v>23</v>
      </c>
      <c r="K819" s="2">
        <v>53889</v>
      </c>
      <c r="L819" s="2">
        <v>56615</v>
      </c>
      <c r="M819" t="s">
        <v>38</v>
      </c>
      <c r="N819">
        <v>49</v>
      </c>
      <c r="O819" t="s">
        <v>23</v>
      </c>
      <c r="P819">
        <v>5</v>
      </c>
      <c r="Q819" s="1">
        <v>14.99</v>
      </c>
      <c r="R819" s="2">
        <f t="shared" si="48"/>
        <v>2726</v>
      </c>
      <c r="S819" s="1">
        <f t="shared" si="49"/>
        <v>5.0585462710386162</v>
      </c>
      <c r="T819" t="str">
        <f t="shared" si="50"/>
        <v>Expert</v>
      </c>
      <c r="U819" t="str">
        <f t="shared" si="51"/>
        <v>Medium Impact</v>
      </c>
    </row>
    <row r="820" spans="1:21" x14ac:dyDescent="0.3">
      <c r="A820" t="s">
        <v>1039</v>
      </c>
      <c r="B820">
        <v>52</v>
      </c>
      <c r="C820" t="s">
        <v>18</v>
      </c>
      <c r="D820" t="s">
        <v>34</v>
      </c>
      <c r="E820" t="s">
        <v>59</v>
      </c>
      <c r="F820" t="s">
        <v>60</v>
      </c>
      <c r="G820">
        <v>29</v>
      </c>
      <c r="H820" t="s">
        <v>22</v>
      </c>
      <c r="I820" t="s">
        <v>22</v>
      </c>
      <c r="J820" t="s">
        <v>23</v>
      </c>
      <c r="K820" s="2">
        <v>109096</v>
      </c>
      <c r="L820" s="2">
        <v>121776</v>
      </c>
      <c r="M820" t="s">
        <v>24</v>
      </c>
      <c r="N820">
        <v>44</v>
      </c>
      <c r="O820" t="s">
        <v>25</v>
      </c>
      <c r="P820">
        <v>7</v>
      </c>
      <c r="Q820" s="1">
        <v>14.95</v>
      </c>
      <c r="R820" s="2">
        <f t="shared" si="48"/>
        <v>12680</v>
      </c>
      <c r="S820" s="1">
        <f t="shared" si="49"/>
        <v>11.622790936422966</v>
      </c>
      <c r="T820" t="str">
        <f t="shared" si="50"/>
        <v>Expert</v>
      </c>
      <c r="U820" t="str">
        <f t="shared" si="51"/>
        <v>High Impact</v>
      </c>
    </row>
    <row r="821" spans="1:21" x14ac:dyDescent="0.3">
      <c r="A821" t="s">
        <v>270</v>
      </c>
      <c r="B821">
        <v>48</v>
      </c>
      <c r="C821" t="s">
        <v>18</v>
      </c>
      <c r="D821" t="s">
        <v>40</v>
      </c>
      <c r="E821" t="s">
        <v>44</v>
      </c>
      <c r="F821" t="s">
        <v>45</v>
      </c>
      <c r="G821">
        <v>26</v>
      </c>
      <c r="H821" t="s">
        <v>22</v>
      </c>
      <c r="I821" t="s">
        <v>37</v>
      </c>
      <c r="J821" t="s">
        <v>23</v>
      </c>
      <c r="K821" s="2">
        <v>110395</v>
      </c>
      <c r="L821" s="2">
        <v>92777</v>
      </c>
      <c r="M821" t="s">
        <v>38</v>
      </c>
      <c r="N821">
        <v>35</v>
      </c>
      <c r="O821" t="s">
        <v>25</v>
      </c>
      <c r="P821">
        <v>8</v>
      </c>
      <c r="Q821" s="1">
        <v>14.93</v>
      </c>
      <c r="R821" s="2">
        <f t="shared" si="48"/>
        <v>-17618</v>
      </c>
      <c r="S821" s="1">
        <f t="shared" si="49"/>
        <v>-15.959056116671952</v>
      </c>
      <c r="T821" t="str">
        <f t="shared" si="50"/>
        <v>Expert</v>
      </c>
      <c r="U821" t="str">
        <f t="shared" si="51"/>
        <v>Medium Impact</v>
      </c>
    </row>
    <row r="822" spans="1:21" x14ac:dyDescent="0.3">
      <c r="A822" t="s">
        <v>805</v>
      </c>
      <c r="B822">
        <v>31</v>
      </c>
      <c r="C822" t="s">
        <v>27</v>
      </c>
      <c r="D822" t="s">
        <v>40</v>
      </c>
      <c r="E822" t="s">
        <v>51</v>
      </c>
      <c r="F822" t="s">
        <v>75</v>
      </c>
      <c r="G822">
        <v>8</v>
      </c>
      <c r="H822" t="s">
        <v>22</v>
      </c>
      <c r="I822" t="s">
        <v>31</v>
      </c>
      <c r="J822" t="s">
        <v>25</v>
      </c>
      <c r="K822" s="2">
        <v>113384</v>
      </c>
      <c r="L822" s="2">
        <v>131648</v>
      </c>
      <c r="M822" t="s">
        <v>32</v>
      </c>
      <c r="N822">
        <v>40</v>
      </c>
      <c r="O822" t="s">
        <v>23</v>
      </c>
      <c r="P822">
        <v>5</v>
      </c>
      <c r="Q822" s="1">
        <v>14.9</v>
      </c>
      <c r="R822" s="2">
        <f t="shared" si="48"/>
        <v>18264</v>
      </c>
      <c r="S822" s="1">
        <f t="shared" si="49"/>
        <v>16.108092852607069</v>
      </c>
      <c r="T822" t="str">
        <f t="shared" si="50"/>
        <v>Intermediate</v>
      </c>
      <c r="U822" t="str">
        <f t="shared" si="51"/>
        <v>Low Impact</v>
      </c>
    </row>
    <row r="823" spans="1:21" x14ac:dyDescent="0.3">
      <c r="A823" t="s">
        <v>1169</v>
      </c>
      <c r="B823">
        <v>48</v>
      </c>
      <c r="C823" t="s">
        <v>27</v>
      </c>
      <c r="D823" t="s">
        <v>19</v>
      </c>
      <c r="E823" t="s">
        <v>44</v>
      </c>
      <c r="F823" t="s">
        <v>57</v>
      </c>
      <c r="G823">
        <v>26</v>
      </c>
      <c r="H823" t="s">
        <v>22</v>
      </c>
      <c r="I823" t="s">
        <v>22</v>
      </c>
      <c r="J823" t="s">
        <v>23</v>
      </c>
      <c r="K823" s="2">
        <v>113276</v>
      </c>
      <c r="L823" s="2">
        <v>139427</v>
      </c>
      <c r="M823" t="s">
        <v>24</v>
      </c>
      <c r="N823">
        <v>39</v>
      </c>
      <c r="O823" t="s">
        <v>25</v>
      </c>
      <c r="P823">
        <v>4</v>
      </c>
      <c r="Q823" s="1">
        <v>14.89</v>
      </c>
      <c r="R823" s="2">
        <f t="shared" si="48"/>
        <v>26151</v>
      </c>
      <c r="S823" s="1">
        <f t="shared" si="49"/>
        <v>23.086090610544158</v>
      </c>
      <c r="T823" t="str">
        <f t="shared" si="50"/>
        <v>Expert</v>
      </c>
      <c r="U823" t="str">
        <f t="shared" si="51"/>
        <v>High Impact</v>
      </c>
    </row>
    <row r="824" spans="1:21" x14ac:dyDescent="0.3">
      <c r="A824" t="s">
        <v>912</v>
      </c>
      <c r="B824">
        <v>38</v>
      </c>
      <c r="C824" t="s">
        <v>18</v>
      </c>
      <c r="D824" t="s">
        <v>34</v>
      </c>
      <c r="E824" t="s">
        <v>41</v>
      </c>
      <c r="F824" t="s">
        <v>49</v>
      </c>
      <c r="G824">
        <v>16</v>
      </c>
      <c r="H824" t="s">
        <v>22</v>
      </c>
      <c r="I824" t="s">
        <v>31</v>
      </c>
      <c r="J824" t="s">
        <v>25</v>
      </c>
      <c r="K824" s="2">
        <v>83364</v>
      </c>
      <c r="L824" s="2">
        <v>95222</v>
      </c>
      <c r="M824" t="s">
        <v>32</v>
      </c>
      <c r="N824">
        <v>45</v>
      </c>
      <c r="O824" t="s">
        <v>23</v>
      </c>
      <c r="P824">
        <v>7</v>
      </c>
      <c r="Q824" s="1">
        <v>14.89</v>
      </c>
      <c r="R824" s="2">
        <f t="shared" si="48"/>
        <v>11858</v>
      </c>
      <c r="S824" s="1">
        <f t="shared" si="49"/>
        <v>14.224365433520465</v>
      </c>
      <c r="T824" t="str">
        <f t="shared" si="50"/>
        <v>Expert</v>
      </c>
      <c r="U824" t="str">
        <f t="shared" si="51"/>
        <v>Low Impact</v>
      </c>
    </row>
    <row r="825" spans="1:21" x14ac:dyDescent="0.3">
      <c r="A825" t="s">
        <v>1112</v>
      </c>
      <c r="B825">
        <v>39</v>
      </c>
      <c r="C825" t="s">
        <v>18</v>
      </c>
      <c r="D825" t="s">
        <v>19</v>
      </c>
      <c r="E825" t="s">
        <v>29</v>
      </c>
      <c r="F825" t="s">
        <v>30</v>
      </c>
      <c r="G825">
        <v>13</v>
      </c>
      <c r="H825" t="s">
        <v>22</v>
      </c>
      <c r="I825" t="s">
        <v>22</v>
      </c>
      <c r="J825" t="s">
        <v>25</v>
      </c>
      <c r="K825" s="2">
        <v>107462</v>
      </c>
      <c r="L825" s="2">
        <v>140979</v>
      </c>
      <c r="M825" t="s">
        <v>38</v>
      </c>
      <c r="N825">
        <v>35</v>
      </c>
      <c r="O825" t="s">
        <v>25</v>
      </c>
      <c r="P825">
        <v>3</v>
      </c>
      <c r="Q825" s="1">
        <v>14.88</v>
      </c>
      <c r="R825" s="2">
        <f t="shared" si="48"/>
        <v>33517</v>
      </c>
      <c r="S825" s="1">
        <f t="shared" si="49"/>
        <v>31.189629822634977</v>
      </c>
      <c r="T825" t="str">
        <f t="shared" si="50"/>
        <v>Intermediate</v>
      </c>
      <c r="U825" t="str">
        <f t="shared" si="51"/>
        <v>Medium Impact</v>
      </c>
    </row>
    <row r="826" spans="1:21" x14ac:dyDescent="0.3">
      <c r="A826" t="s">
        <v>999</v>
      </c>
      <c r="B826">
        <v>39</v>
      </c>
      <c r="C826" t="s">
        <v>27</v>
      </c>
      <c r="D826" t="s">
        <v>28</v>
      </c>
      <c r="E826" t="s">
        <v>20</v>
      </c>
      <c r="F826" t="s">
        <v>88</v>
      </c>
      <c r="G826">
        <v>14</v>
      </c>
      <c r="H826" t="s">
        <v>37</v>
      </c>
      <c r="I826" t="s">
        <v>37</v>
      </c>
      <c r="J826" t="s">
        <v>23</v>
      </c>
      <c r="K826" s="2">
        <v>92501</v>
      </c>
      <c r="L826" s="2">
        <v>90534</v>
      </c>
      <c r="M826" t="s">
        <v>38</v>
      </c>
      <c r="N826">
        <v>43</v>
      </c>
      <c r="O826" t="s">
        <v>23</v>
      </c>
      <c r="P826">
        <v>8</v>
      </c>
      <c r="Q826" s="1">
        <v>14.87</v>
      </c>
      <c r="R826" s="2">
        <f t="shared" si="48"/>
        <v>-1967</v>
      </c>
      <c r="S826" s="1">
        <f t="shared" si="49"/>
        <v>-2.1264634976919168</v>
      </c>
      <c r="T826" t="str">
        <f t="shared" si="50"/>
        <v>Intermediate</v>
      </c>
      <c r="U826" t="str">
        <f t="shared" si="51"/>
        <v>Medium Impact</v>
      </c>
    </row>
    <row r="827" spans="1:21" x14ac:dyDescent="0.3">
      <c r="A827" t="s">
        <v>312</v>
      </c>
      <c r="B827">
        <v>55</v>
      </c>
      <c r="C827" t="s">
        <v>27</v>
      </c>
      <c r="D827" t="s">
        <v>34</v>
      </c>
      <c r="E827" t="s">
        <v>59</v>
      </c>
      <c r="F827" t="s">
        <v>77</v>
      </c>
      <c r="G827">
        <v>33</v>
      </c>
      <c r="H827" t="s">
        <v>31</v>
      </c>
      <c r="I827" t="s">
        <v>31</v>
      </c>
      <c r="J827" t="s">
        <v>25</v>
      </c>
      <c r="K827" s="2">
        <v>119393</v>
      </c>
      <c r="L827" s="2">
        <v>130850</v>
      </c>
      <c r="M827" t="s">
        <v>32</v>
      </c>
      <c r="N827">
        <v>49</v>
      </c>
      <c r="O827" t="s">
        <v>25</v>
      </c>
      <c r="P827">
        <v>5</v>
      </c>
      <c r="Q827" s="1">
        <v>14.81</v>
      </c>
      <c r="R827" s="2">
        <f t="shared" si="48"/>
        <v>11457</v>
      </c>
      <c r="S827" s="1">
        <f t="shared" si="49"/>
        <v>9.5960399688423941</v>
      </c>
      <c r="T827" t="str">
        <f t="shared" si="50"/>
        <v>Expert</v>
      </c>
      <c r="U827" t="str">
        <f t="shared" si="51"/>
        <v>Low Impact</v>
      </c>
    </row>
    <row r="828" spans="1:21" x14ac:dyDescent="0.3">
      <c r="A828" t="s">
        <v>1692</v>
      </c>
      <c r="B828">
        <v>31</v>
      </c>
      <c r="C828" t="s">
        <v>54</v>
      </c>
      <c r="D828" t="s">
        <v>40</v>
      </c>
      <c r="E828" t="s">
        <v>59</v>
      </c>
      <c r="F828" t="s">
        <v>93</v>
      </c>
      <c r="G828">
        <v>8</v>
      </c>
      <c r="H828" t="s">
        <v>31</v>
      </c>
      <c r="I828" t="s">
        <v>31</v>
      </c>
      <c r="J828" t="s">
        <v>23</v>
      </c>
      <c r="K828" s="2">
        <v>76022</v>
      </c>
      <c r="L828" s="2">
        <v>73024</v>
      </c>
      <c r="M828" t="s">
        <v>32</v>
      </c>
      <c r="N828">
        <v>41</v>
      </c>
      <c r="O828" t="s">
        <v>25</v>
      </c>
      <c r="P828">
        <v>3</v>
      </c>
      <c r="Q828" s="1">
        <v>14.8</v>
      </c>
      <c r="R828" s="2">
        <f t="shared" si="48"/>
        <v>-2998</v>
      </c>
      <c r="S828" s="1">
        <f t="shared" si="49"/>
        <v>-3.9435952750519587</v>
      </c>
      <c r="T828" t="str">
        <f t="shared" si="50"/>
        <v>Intermediate</v>
      </c>
      <c r="U828" t="str">
        <f t="shared" si="51"/>
        <v>Low Impact</v>
      </c>
    </row>
    <row r="829" spans="1:21" x14ac:dyDescent="0.3">
      <c r="A829" t="s">
        <v>1130</v>
      </c>
      <c r="B829">
        <v>31</v>
      </c>
      <c r="C829" t="s">
        <v>27</v>
      </c>
      <c r="D829" t="s">
        <v>28</v>
      </c>
      <c r="E829" t="s">
        <v>41</v>
      </c>
      <c r="F829" t="s">
        <v>55</v>
      </c>
      <c r="G829">
        <v>7</v>
      </c>
      <c r="H829" t="s">
        <v>37</v>
      </c>
      <c r="I829" t="s">
        <v>22</v>
      </c>
      <c r="J829" t="s">
        <v>25</v>
      </c>
      <c r="K829" s="2">
        <v>104632</v>
      </c>
      <c r="L829" s="2">
        <v>123869</v>
      </c>
      <c r="M829" t="s">
        <v>32</v>
      </c>
      <c r="N829">
        <v>46</v>
      </c>
      <c r="O829" t="s">
        <v>25</v>
      </c>
      <c r="P829">
        <v>5</v>
      </c>
      <c r="Q829" s="1">
        <v>14.79</v>
      </c>
      <c r="R829" s="2">
        <f t="shared" si="48"/>
        <v>19237</v>
      </c>
      <c r="S829" s="1">
        <f t="shared" si="49"/>
        <v>18.385388791191986</v>
      </c>
      <c r="T829" t="str">
        <f t="shared" si="50"/>
        <v>Intermediate</v>
      </c>
      <c r="U829" t="str">
        <f t="shared" si="51"/>
        <v>Low Impact</v>
      </c>
    </row>
    <row r="830" spans="1:21" x14ac:dyDescent="0.3">
      <c r="A830" t="s">
        <v>1406</v>
      </c>
      <c r="B830">
        <v>42</v>
      </c>
      <c r="C830" t="s">
        <v>18</v>
      </c>
      <c r="D830" t="s">
        <v>34</v>
      </c>
      <c r="E830" t="s">
        <v>51</v>
      </c>
      <c r="F830" t="s">
        <v>52</v>
      </c>
      <c r="G830">
        <v>19</v>
      </c>
      <c r="H830" t="s">
        <v>37</v>
      </c>
      <c r="I830" t="s">
        <v>31</v>
      </c>
      <c r="J830" t="s">
        <v>25</v>
      </c>
      <c r="K830" s="2">
        <v>43882</v>
      </c>
      <c r="L830" s="2">
        <v>49064</v>
      </c>
      <c r="M830" t="s">
        <v>32</v>
      </c>
      <c r="N830">
        <v>50</v>
      </c>
      <c r="O830" t="s">
        <v>25</v>
      </c>
      <c r="P830">
        <v>6</v>
      </c>
      <c r="Q830" s="1">
        <v>14.79</v>
      </c>
      <c r="R830" s="2">
        <f t="shared" si="48"/>
        <v>5182</v>
      </c>
      <c r="S830" s="1">
        <f t="shared" si="49"/>
        <v>11.808942163073697</v>
      </c>
      <c r="T830" t="str">
        <f t="shared" si="50"/>
        <v>Expert</v>
      </c>
      <c r="U830" t="str">
        <f t="shared" si="51"/>
        <v>Low Impact</v>
      </c>
    </row>
    <row r="831" spans="1:21" x14ac:dyDescent="0.3">
      <c r="A831" t="s">
        <v>829</v>
      </c>
      <c r="B831">
        <v>53</v>
      </c>
      <c r="C831" t="s">
        <v>27</v>
      </c>
      <c r="D831" t="s">
        <v>34</v>
      </c>
      <c r="E831" t="s">
        <v>35</v>
      </c>
      <c r="F831" t="s">
        <v>36</v>
      </c>
      <c r="G831">
        <v>31</v>
      </c>
      <c r="H831" t="s">
        <v>22</v>
      </c>
      <c r="I831" t="s">
        <v>37</v>
      </c>
      <c r="J831" t="s">
        <v>25</v>
      </c>
      <c r="K831" s="2">
        <v>60951</v>
      </c>
      <c r="L831" s="2">
        <v>72640</v>
      </c>
      <c r="M831" t="s">
        <v>38</v>
      </c>
      <c r="N831">
        <v>38</v>
      </c>
      <c r="O831" t="s">
        <v>25</v>
      </c>
      <c r="P831">
        <v>8</v>
      </c>
      <c r="Q831" s="1">
        <v>14.78</v>
      </c>
      <c r="R831" s="2">
        <f t="shared" si="48"/>
        <v>11689</v>
      </c>
      <c r="S831" s="1">
        <f t="shared" si="49"/>
        <v>19.177700119768339</v>
      </c>
      <c r="T831" t="str">
        <f t="shared" si="50"/>
        <v>Expert</v>
      </c>
      <c r="U831" t="str">
        <f t="shared" si="51"/>
        <v>Medium Impact</v>
      </c>
    </row>
    <row r="832" spans="1:21" x14ac:dyDescent="0.3">
      <c r="A832" t="s">
        <v>2015</v>
      </c>
      <c r="B832">
        <v>59</v>
      </c>
      <c r="C832" t="s">
        <v>27</v>
      </c>
      <c r="D832" t="s">
        <v>28</v>
      </c>
      <c r="E832" t="s">
        <v>59</v>
      </c>
      <c r="F832" t="s">
        <v>93</v>
      </c>
      <c r="G832">
        <v>37</v>
      </c>
      <c r="H832" t="s">
        <v>31</v>
      </c>
      <c r="I832" t="s">
        <v>37</v>
      </c>
      <c r="J832" t="s">
        <v>23</v>
      </c>
      <c r="K832" s="2">
        <v>42270</v>
      </c>
      <c r="L832" s="2">
        <v>46389</v>
      </c>
      <c r="M832" t="s">
        <v>38</v>
      </c>
      <c r="N832">
        <v>41</v>
      </c>
      <c r="O832" t="s">
        <v>25</v>
      </c>
      <c r="P832">
        <v>9</v>
      </c>
      <c r="Q832" s="1">
        <v>14.78</v>
      </c>
      <c r="R832" s="2">
        <f t="shared" si="48"/>
        <v>4119</v>
      </c>
      <c r="S832" s="1">
        <f t="shared" si="49"/>
        <v>9.7444996451383972</v>
      </c>
      <c r="T832" t="str">
        <f t="shared" si="50"/>
        <v>Expert</v>
      </c>
      <c r="U832" t="str">
        <f t="shared" si="51"/>
        <v>Medium Impact</v>
      </c>
    </row>
    <row r="833" spans="1:21" x14ac:dyDescent="0.3">
      <c r="A833" t="s">
        <v>850</v>
      </c>
      <c r="B833">
        <v>52</v>
      </c>
      <c r="C833" t="s">
        <v>27</v>
      </c>
      <c r="D833" t="s">
        <v>40</v>
      </c>
      <c r="E833" t="s">
        <v>20</v>
      </c>
      <c r="F833" t="s">
        <v>21</v>
      </c>
      <c r="G833">
        <v>29</v>
      </c>
      <c r="H833" t="s">
        <v>31</v>
      </c>
      <c r="I833" t="s">
        <v>22</v>
      </c>
      <c r="J833" t="s">
        <v>25</v>
      </c>
      <c r="K833" s="2">
        <v>77645</v>
      </c>
      <c r="L833" s="2">
        <v>82089</v>
      </c>
      <c r="M833" t="s">
        <v>32</v>
      </c>
      <c r="N833">
        <v>54</v>
      </c>
      <c r="O833" t="s">
        <v>23</v>
      </c>
      <c r="P833">
        <v>7</v>
      </c>
      <c r="Q833" s="1">
        <v>14.74</v>
      </c>
      <c r="R833" s="2">
        <f t="shared" si="48"/>
        <v>4444</v>
      </c>
      <c r="S833" s="1">
        <f t="shared" si="49"/>
        <v>5.7234850924077536</v>
      </c>
      <c r="T833" t="str">
        <f t="shared" si="50"/>
        <v>Expert</v>
      </c>
      <c r="U833" t="str">
        <f t="shared" si="51"/>
        <v>Low Impact</v>
      </c>
    </row>
    <row r="834" spans="1:21" x14ac:dyDescent="0.3">
      <c r="A834" t="s">
        <v>105</v>
      </c>
      <c r="B834">
        <v>33</v>
      </c>
      <c r="C834" t="s">
        <v>18</v>
      </c>
      <c r="D834" t="s">
        <v>40</v>
      </c>
      <c r="E834" t="s">
        <v>59</v>
      </c>
      <c r="F834" t="s">
        <v>60</v>
      </c>
      <c r="G834">
        <v>9</v>
      </c>
      <c r="H834" t="s">
        <v>31</v>
      </c>
      <c r="I834" t="s">
        <v>22</v>
      </c>
      <c r="J834" t="s">
        <v>23</v>
      </c>
      <c r="K834" s="2">
        <v>85766</v>
      </c>
      <c r="L834" s="2">
        <v>81832</v>
      </c>
      <c r="M834" t="s">
        <v>32</v>
      </c>
      <c r="N834">
        <v>53</v>
      </c>
      <c r="O834" t="s">
        <v>25</v>
      </c>
      <c r="P834">
        <v>3</v>
      </c>
      <c r="Q834" s="1">
        <v>14.73</v>
      </c>
      <c r="R834" s="2">
        <f t="shared" ref="R834:R897" si="52">L834-K834</f>
        <v>-3934</v>
      </c>
      <c r="S834" s="1">
        <f t="shared" ref="S834:S897" si="53">(L834-K834)/K834*100</f>
        <v>-4.5868992374600657</v>
      </c>
      <c r="T834" t="str">
        <f t="shared" ref="T834:T897" si="54">IF(G834&lt;5,"Beginner",IF(G834&lt;15,"Intermediate","Expert"))</f>
        <v>Intermediate</v>
      </c>
      <c r="U834" t="str">
        <f t="shared" ref="U834:U897" si="55">IF(M834="Replaced","High Impact",IF(M834="Modified","Medium Impact","Low Impact"))</f>
        <v>Low Impact</v>
      </c>
    </row>
    <row r="835" spans="1:21" x14ac:dyDescent="0.3">
      <c r="A835" t="s">
        <v>1394</v>
      </c>
      <c r="B835">
        <v>29</v>
      </c>
      <c r="C835" t="s">
        <v>18</v>
      </c>
      <c r="D835" t="s">
        <v>40</v>
      </c>
      <c r="E835" t="s">
        <v>44</v>
      </c>
      <c r="F835" t="s">
        <v>45</v>
      </c>
      <c r="G835">
        <v>5</v>
      </c>
      <c r="H835" t="s">
        <v>22</v>
      </c>
      <c r="I835" t="s">
        <v>31</v>
      </c>
      <c r="J835" t="s">
        <v>25</v>
      </c>
      <c r="K835" s="2">
        <v>30209</v>
      </c>
      <c r="L835" s="2">
        <v>33549</v>
      </c>
      <c r="M835" t="s">
        <v>32</v>
      </c>
      <c r="N835">
        <v>35</v>
      </c>
      <c r="O835" t="s">
        <v>25</v>
      </c>
      <c r="P835">
        <v>7</v>
      </c>
      <c r="Q835" s="1">
        <v>14.67</v>
      </c>
      <c r="R835" s="2">
        <f t="shared" si="52"/>
        <v>3340</v>
      </c>
      <c r="S835" s="1">
        <f t="shared" si="53"/>
        <v>11.056307722864048</v>
      </c>
      <c r="T835" t="str">
        <f t="shared" si="54"/>
        <v>Intermediate</v>
      </c>
      <c r="U835" t="str">
        <f t="shared" si="55"/>
        <v>Low Impact</v>
      </c>
    </row>
    <row r="836" spans="1:21" x14ac:dyDescent="0.3">
      <c r="A836" t="s">
        <v>846</v>
      </c>
      <c r="B836">
        <v>46</v>
      </c>
      <c r="C836" t="s">
        <v>54</v>
      </c>
      <c r="D836" t="s">
        <v>19</v>
      </c>
      <c r="E836" t="s">
        <v>51</v>
      </c>
      <c r="F836" t="s">
        <v>52</v>
      </c>
      <c r="G836">
        <v>20</v>
      </c>
      <c r="H836" t="s">
        <v>31</v>
      </c>
      <c r="I836" t="s">
        <v>22</v>
      </c>
      <c r="J836" t="s">
        <v>25</v>
      </c>
      <c r="K836" s="2">
        <v>91360</v>
      </c>
      <c r="L836" s="2">
        <v>98600</v>
      </c>
      <c r="M836" t="s">
        <v>32</v>
      </c>
      <c r="N836">
        <v>50</v>
      </c>
      <c r="O836" t="s">
        <v>23</v>
      </c>
      <c r="P836">
        <v>4</v>
      </c>
      <c r="Q836" s="1">
        <v>14.63</v>
      </c>
      <c r="R836" s="2">
        <f t="shared" si="52"/>
        <v>7240</v>
      </c>
      <c r="S836" s="1">
        <f t="shared" si="53"/>
        <v>7.9246935201401056</v>
      </c>
      <c r="T836" t="str">
        <f t="shared" si="54"/>
        <v>Expert</v>
      </c>
      <c r="U836" t="str">
        <f t="shared" si="55"/>
        <v>Low Impact</v>
      </c>
    </row>
    <row r="837" spans="1:21" x14ac:dyDescent="0.3">
      <c r="A837" t="s">
        <v>472</v>
      </c>
      <c r="B837">
        <v>33</v>
      </c>
      <c r="C837" t="s">
        <v>27</v>
      </c>
      <c r="D837" t="s">
        <v>28</v>
      </c>
      <c r="E837" t="s">
        <v>41</v>
      </c>
      <c r="F837" t="s">
        <v>55</v>
      </c>
      <c r="G837">
        <v>9</v>
      </c>
      <c r="H837" t="s">
        <v>22</v>
      </c>
      <c r="I837" t="s">
        <v>31</v>
      </c>
      <c r="J837" t="s">
        <v>23</v>
      </c>
      <c r="K837" s="2">
        <v>32282</v>
      </c>
      <c r="L837" s="2">
        <v>35239</v>
      </c>
      <c r="M837" t="s">
        <v>32</v>
      </c>
      <c r="N837">
        <v>39</v>
      </c>
      <c r="O837" t="s">
        <v>23</v>
      </c>
      <c r="P837">
        <v>7</v>
      </c>
      <c r="Q837" s="1">
        <v>14.63</v>
      </c>
      <c r="R837" s="2">
        <f t="shared" si="52"/>
        <v>2957</v>
      </c>
      <c r="S837" s="1">
        <f t="shared" si="53"/>
        <v>9.1599033517130302</v>
      </c>
      <c r="T837" t="str">
        <f t="shared" si="54"/>
        <v>Intermediate</v>
      </c>
      <c r="U837" t="str">
        <f t="shared" si="55"/>
        <v>Low Impact</v>
      </c>
    </row>
    <row r="838" spans="1:21" x14ac:dyDescent="0.3">
      <c r="A838" t="s">
        <v>2054</v>
      </c>
      <c r="B838">
        <v>38</v>
      </c>
      <c r="C838" t="s">
        <v>27</v>
      </c>
      <c r="D838" t="s">
        <v>34</v>
      </c>
      <c r="E838" t="s">
        <v>59</v>
      </c>
      <c r="F838" t="s">
        <v>60</v>
      </c>
      <c r="G838">
        <v>13</v>
      </c>
      <c r="H838" t="s">
        <v>22</v>
      </c>
      <c r="I838" t="s">
        <v>31</v>
      </c>
      <c r="J838" t="s">
        <v>23</v>
      </c>
      <c r="K838" s="2">
        <v>118078</v>
      </c>
      <c r="L838" s="2">
        <v>133969</v>
      </c>
      <c r="M838" t="s">
        <v>32</v>
      </c>
      <c r="N838">
        <v>38</v>
      </c>
      <c r="O838" t="s">
        <v>23</v>
      </c>
      <c r="P838">
        <v>5</v>
      </c>
      <c r="Q838" s="1">
        <v>14.61</v>
      </c>
      <c r="R838" s="2">
        <f t="shared" si="52"/>
        <v>15891</v>
      </c>
      <c r="S838" s="1">
        <f t="shared" si="53"/>
        <v>13.458053151306762</v>
      </c>
      <c r="T838" t="str">
        <f t="shared" si="54"/>
        <v>Intermediate</v>
      </c>
      <c r="U838" t="str">
        <f t="shared" si="55"/>
        <v>Low Impact</v>
      </c>
    </row>
    <row r="839" spans="1:21" x14ac:dyDescent="0.3">
      <c r="A839" t="s">
        <v>652</v>
      </c>
      <c r="B839">
        <v>59</v>
      </c>
      <c r="C839" t="s">
        <v>18</v>
      </c>
      <c r="D839" t="s">
        <v>40</v>
      </c>
      <c r="E839" t="s">
        <v>44</v>
      </c>
      <c r="F839" t="s">
        <v>57</v>
      </c>
      <c r="G839">
        <v>36</v>
      </c>
      <c r="H839" t="s">
        <v>22</v>
      </c>
      <c r="I839" t="s">
        <v>37</v>
      </c>
      <c r="J839" t="s">
        <v>23</v>
      </c>
      <c r="K839" s="2">
        <v>111159</v>
      </c>
      <c r="L839" s="2">
        <v>105534</v>
      </c>
      <c r="M839" t="s">
        <v>38</v>
      </c>
      <c r="N839">
        <v>40</v>
      </c>
      <c r="O839" t="s">
        <v>23</v>
      </c>
      <c r="P839">
        <v>5</v>
      </c>
      <c r="Q839" s="1">
        <v>14.6</v>
      </c>
      <c r="R839" s="2">
        <f t="shared" si="52"/>
        <v>-5625</v>
      </c>
      <c r="S839" s="1">
        <f t="shared" si="53"/>
        <v>-5.0603190025099183</v>
      </c>
      <c r="T839" t="str">
        <f t="shared" si="54"/>
        <v>Expert</v>
      </c>
      <c r="U839" t="str">
        <f t="shared" si="55"/>
        <v>Medium Impact</v>
      </c>
    </row>
    <row r="840" spans="1:21" x14ac:dyDescent="0.3">
      <c r="A840" t="s">
        <v>1893</v>
      </c>
      <c r="B840">
        <v>40</v>
      </c>
      <c r="C840" t="s">
        <v>54</v>
      </c>
      <c r="D840" t="s">
        <v>34</v>
      </c>
      <c r="E840" t="s">
        <v>20</v>
      </c>
      <c r="F840" t="s">
        <v>118</v>
      </c>
      <c r="G840">
        <v>14</v>
      </c>
      <c r="H840" t="s">
        <v>22</v>
      </c>
      <c r="I840" t="s">
        <v>37</v>
      </c>
      <c r="J840" t="s">
        <v>25</v>
      </c>
      <c r="K840" s="2">
        <v>93853</v>
      </c>
      <c r="L840" s="2">
        <v>97714</v>
      </c>
      <c r="M840" t="s">
        <v>38</v>
      </c>
      <c r="N840">
        <v>41</v>
      </c>
      <c r="O840" t="s">
        <v>25</v>
      </c>
      <c r="P840">
        <v>6</v>
      </c>
      <c r="Q840" s="1">
        <v>14.54</v>
      </c>
      <c r="R840" s="2">
        <f t="shared" si="52"/>
        <v>3861</v>
      </c>
      <c r="S840" s="1">
        <f t="shared" si="53"/>
        <v>4.1138802169349935</v>
      </c>
      <c r="T840" t="str">
        <f t="shared" si="54"/>
        <v>Intermediate</v>
      </c>
      <c r="U840" t="str">
        <f t="shared" si="55"/>
        <v>Medium Impact</v>
      </c>
    </row>
    <row r="841" spans="1:21" x14ac:dyDescent="0.3">
      <c r="A841" t="s">
        <v>1749</v>
      </c>
      <c r="B841">
        <v>29</v>
      </c>
      <c r="C841" t="s">
        <v>18</v>
      </c>
      <c r="D841" t="s">
        <v>28</v>
      </c>
      <c r="E841" t="s">
        <v>51</v>
      </c>
      <c r="F841" t="s">
        <v>130</v>
      </c>
      <c r="G841">
        <v>3</v>
      </c>
      <c r="H841" t="s">
        <v>31</v>
      </c>
      <c r="I841" t="s">
        <v>31</v>
      </c>
      <c r="J841" t="s">
        <v>23</v>
      </c>
      <c r="K841" s="2">
        <v>105351</v>
      </c>
      <c r="L841" s="2">
        <v>108849</v>
      </c>
      <c r="M841" t="s">
        <v>32</v>
      </c>
      <c r="N841">
        <v>50</v>
      </c>
      <c r="O841" t="s">
        <v>25</v>
      </c>
      <c r="P841">
        <v>6</v>
      </c>
      <c r="Q841" s="1">
        <v>14.52</v>
      </c>
      <c r="R841" s="2">
        <f t="shared" si="52"/>
        <v>3498</v>
      </c>
      <c r="S841" s="1">
        <f t="shared" si="53"/>
        <v>3.3203291852948715</v>
      </c>
      <c r="T841" t="str">
        <f t="shared" si="54"/>
        <v>Beginner</v>
      </c>
      <c r="U841" t="str">
        <f t="shared" si="55"/>
        <v>Low Impact</v>
      </c>
    </row>
    <row r="842" spans="1:21" x14ac:dyDescent="0.3">
      <c r="A842" t="s">
        <v>1767</v>
      </c>
      <c r="B842">
        <v>40</v>
      </c>
      <c r="C842" t="s">
        <v>18</v>
      </c>
      <c r="D842" t="s">
        <v>28</v>
      </c>
      <c r="E842" t="s">
        <v>44</v>
      </c>
      <c r="F842" t="s">
        <v>57</v>
      </c>
      <c r="G842">
        <v>14</v>
      </c>
      <c r="H842" t="s">
        <v>22</v>
      </c>
      <c r="I842" t="s">
        <v>22</v>
      </c>
      <c r="J842" t="s">
        <v>25</v>
      </c>
      <c r="K842" s="2">
        <v>90531</v>
      </c>
      <c r="L842" s="2">
        <v>120342</v>
      </c>
      <c r="M842" t="s">
        <v>38</v>
      </c>
      <c r="N842">
        <v>50</v>
      </c>
      <c r="O842" t="s">
        <v>23</v>
      </c>
      <c r="P842">
        <v>3</v>
      </c>
      <c r="Q842" s="1">
        <v>14.49</v>
      </c>
      <c r="R842" s="2">
        <f t="shared" si="52"/>
        <v>29811</v>
      </c>
      <c r="S842" s="1">
        <f t="shared" si="53"/>
        <v>32.929051926964242</v>
      </c>
      <c r="T842" t="str">
        <f t="shared" si="54"/>
        <v>Intermediate</v>
      </c>
      <c r="U842" t="str">
        <f t="shared" si="55"/>
        <v>Medium Impact</v>
      </c>
    </row>
    <row r="843" spans="1:21" x14ac:dyDescent="0.3">
      <c r="A843" t="s">
        <v>1771</v>
      </c>
      <c r="B843">
        <v>49</v>
      </c>
      <c r="C843" t="s">
        <v>54</v>
      </c>
      <c r="D843" t="s">
        <v>40</v>
      </c>
      <c r="E843" t="s">
        <v>35</v>
      </c>
      <c r="F843" t="s">
        <v>36</v>
      </c>
      <c r="G843">
        <v>27</v>
      </c>
      <c r="H843" t="s">
        <v>22</v>
      </c>
      <c r="I843" t="s">
        <v>22</v>
      </c>
      <c r="J843" t="s">
        <v>25</v>
      </c>
      <c r="K843" s="2">
        <v>57289</v>
      </c>
      <c r="L843" s="2">
        <v>47747</v>
      </c>
      <c r="M843" t="s">
        <v>38</v>
      </c>
      <c r="N843">
        <v>49</v>
      </c>
      <c r="O843" t="s">
        <v>23</v>
      </c>
      <c r="P843">
        <v>9</v>
      </c>
      <c r="Q843" s="1">
        <v>14.44</v>
      </c>
      <c r="R843" s="2">
        <f t="shared" si="52"/>
        <v>-9542</v>
      </c>
      <c r="S843" s="1">
        <f t="shared" si="53"/>
        <v>-16.655902529281363</v>
      </c>
      <c r="T843" t="str">
        <f t="shared" si="54"/>
        <v>Expert</v>
      </c>
      <c r="U843" t="str">
        <f t="shared" si="55"/>
        <v>Medium Impact</v>
      </c>
    </row>
    <row r="844" spans="1:21" x14ac:dyDescent="0.3">
      <c r="A844" t="s">
        <v>844</v>
      </c>
      <c r="B844">
        <v>32</v>
      </c>
      <c r="C844" t="s">
        <v>54</v>
      </c>
      <c r="D844" t="s">
        <v>28</v>
      </c>
      <c r="E844" t="s">
        <v>29</v>
      </c>
      <c r="F844" t="s">
        <v>104</v>
      </c>
      <c r="G844">
        <v>9</v>
      </c>
      <c r="H844" t="s">
        <v>31</v>
      </c>
      <c r="I844" t="s">
        <v>31</v>
      </c>
      <c r="J844" t="s">
        <v>25</v>
      </c>
      <c r="K844" s="2">
        <v>59863</v>
      </c>
      <c r="L844" s="2">
        <v>58024</v>
      </c>
      <c r="M844" t="s">
        <v>32</v>
      </c>
      <c r="N844">
        <v>35</v>
      </c>
      <c r="O844" t="s">
        <v>23</v>
      </c>
      <c r="P844">
        <v>5</v>
      </c>
      <c r="Q844" s="1">
        <v>14.43</v>
      </c>
      <c r="R844" s="2">
        <f t="shared" si="52"/>
        <v>-1839</v>
      </c>
      <c r="S844" s="1">
        <f t="shared" si="53"/>
        <v>-3.0720144329552479</v>
      </c>
      <c r="T844" t="str">
        <f t="shared" si="54"/>
        <v>Intermediate</v>
      </c>
      <c r="U844" t="str">
        <f t="shared" si="55"/>
        <v>Low Impact</v>
      </c>
    </row>
    <row r="845" spans="1:21" x14ac:dyDescent="0.3">
      <c r="A845" t="s">
        <v>192</v>
      </c>
      <c r="B845">
        <v>50</v>
      </c>
      <c r="C845" t="s">
        <v>27</v>
      </c>
      <c r="D845" t="s">
        <v>19</v>
      </c>
      <c r="E845" t="s">
        <v>51</v>
      </c>
      <c r="F845" t="s">
        <v>130</v>
      </c>
      <c r="G845">
        <v>28</v>
      </c>
      <c r="H845" t="s">
        <v>37</v>
      </c>
      <c r="I845" t="s">
        <v>37</v>
      </c>
      <c r="J845" t="s">
        <v>23</v>
      </c>
      <c r="K845" s="2">
        <v>89379</v>
      </c>
      <c r="L845" s="2">
        <v>100322</v>
      </c>
      <c r="M845" t="s">
        <v>38</v>
      </c>
      <c r="N845">
        <v>40</v>
      </c>
      <c r="O845" t="s">
        <v>25</v>
      </c>
      <c r="P845">
        <v>3</v>
      </c>
      <c r="Q845" s="1">
        <v>14.39</v>
      </c>
      <c r="R845" s="2">
        <f t="shared" si="52"/>
        <v>10943</v>
      </c>
      <c r="S845" s="1">
        <f t="shared" si="53"/>
        <v>12.243368128978844</v>
      </c>
      <c r="T845" t="str">
        <f t="shared" si="54"/>
        <v>Expert</v>
      </c>
      <c r="U845" t="str">
        <f t="shared" si="55"/>
        <v>Medium Impact</v>
      </c>
    </row>
    <row r="846" spans="1:21" x14ac:dyDescent="0.3">
      <c r="A846" t="s">
        <v>1036</v>
      </c>
      <c r="B846">
        <v>23</v>
      </c>
      <c r="C846" t="s">
        <v>18</v>
      </c>
      <c r="D846" t="s">
        <v>19</v>
      </c>
      <c r="E846" t="s">
        <v>35</v>
      </c>
      <c r="F846" t="s">
        <v>98</v>
      </c>
      <c r="G846">
        <v>0</v>
      </c>
      <c r="H846" t="s">
        <v>22</v>
      </c>
      <c r="I846" t="s">
        <v>22</v>
      </c>
      <c r="J846" t="s">
        <v>25</v>
      </c>
      <c r="K846" s="2">
        <v>33749</v>
      </c>
      <c r="L846" s="2">
        <v>37144</v>
      </c>
      <c r="M846" t="s">
        <v>38</v>
      </c>
      <c r="N846">
        <v>40</v>
      </c>
      <c r="O846" t="s">
        <v>23</v>
      </c>
      <c r="P846">
        <v>8</v>
      </c>
      <c r="Q846" s="1">
        <v>14.37</v>
      </c>
      <c r="R846" s="2">
        <f t="shared" si="52"/>
        <v>3395</v>
      </c>
      <c r="S846" s="1">
        <f t="shared" si="53"/>
        <v>10.059557320216896</v>
      </c>
      <c r="T846" t="str">
        <f t="shared" si="54"/>
        <v>Beginner</v>
      </c>
      <c r="U846" t="str">
        <f t="shared" si="55"/>
        <v>Medium Impact</v>
      </c>
    </row>
    <row r="847" spans="1:21" x14ac:dyDescent="0.3">
      <c r="A847" t="s">
        <v>1373</v>
      </c>
      <c r="B847">
        <v>51</v>
      </c>
      <c r="C847" t="s">
        <v>54</v>
      </c>
      <c r="D847" t="s">
        <v>19</v>
      </c>
      <c r="E847" t="s">
        <v>44</v>
      </c>
      <c r="F847" t="s">
        <v>57</v>
      </c>
      <c r="G847">
        <v>26</v>
      </c>
      <c r="H847" t="s">
        <v>31</v>
      </c>
      <c r="I847" t="s">
        <v>31</v>
      </c>
      <c r="J847" t="s">
        <v>25</v>
      </c>
      <c r="K847" s="2">
        <v>108210</v>
      </c>
      <c r="L847" s="2">
        <v>104508</v>
      </c>
      <c r="M847" t="s">
        <v>32</v>
      </c>
      <c r="N847">
        <v>38</v>
      </c>
      <c r="O847" t="s">
        <v>25</v>
      </c>
      <c r="P847">
        <v>3</v>
      </c>
      <c r="Q847" s="1">
        <v>14.36</v>
      </c>
      <c r="R847" s="2">
        <f t="shared" si="52"/>
        <v>-3702</v>
      </c>
      <c r="S847" s="1">
        <f t="shared" si="53"/>
        <v>-3.421125589132243</v>
      </c>
      <c r="T847" t="str">
        <f t="shared" si="54"/>
        <v>Expert</v>
      </c>
      <c r="U847" t="str">
        <f t="shared" si="55"/>
        <v>Low Impact</v>
      </c>
    </row>
    <row r="848" spans="1:21" x14ac:dyDescent="0.3">
      <c r="A848" t="s">
        <v>790</v>
      </c>
      <c r="B848">
        <v>56</v>
      </c>
      <c r="C848" t="s">
        <v>18</v>
      </c>
      <c r="D848" t="s">
        <v>28</v>
      </c>
      <c r="E848" t="s">
        <v>51</v>
      </c>
      <c r="F848" t="s">
        <v>75</v>
      </c>
      <c r="G848">
        <v>30</v>
      </c>
      <c r="H848" t="s">
        <v>22</v>
      </c>
      <c r="I848" t="s">
        <v>31</v>
      </c>
      <c r="J848" t="s">
        <v>25</v>
      </c>
      <c r="K848" s="2">
        <v>35594</v>
      </c>
      <c r="L848" s="2">
        <v>31028</v>
      </c>
      <c r="M848" t="s">
        <v>32</v>
      </c>
      <c r="N848">
        <v>54</v>
      </c>
      <c r="O848" t="s">
        <v>25</v>
      </c>
      <c r="P848">
        <v>3</v>
      </c>
      <c r="Q848" s="1">
        <v>14.36</v>
      </c>
      <c r="R848" s="2">
        <f t="shared" si="52"/>
        <v>-4566</v>
      </c>
      <c r="S848" s="1">
        <f t="shared" si="53"/>
        <v>-12.828004719896613</v>
      </c>
      <c r="T848" t="str">
        <f t="shared" si="54"/>
        <v>Expert</v>
      </c>
      <c r="U848" t="str">
        <f t="shared" si="55"/>
        <v>Low Impact</v>
      </c>
    </row>
    <row r="849" spans="1:21" x14ac:dyDescent="0.3">
      <c r="A849" t="s">
        <v>1346</v>
      </c>
      <c r="B849">
        <v>30</v>
      </c>
      <c r="C849" t="s">
        <v>18</v>
      </c>
      <c r="D849" t="s">
        <v>19</v>
      </c>
      <c r="E849" t="s">
        <v>29</v>
      </c>
      <c r="F849" t="s">
        <v>30</v>
      </c>
      <c r="G849">
        <v>7</v>
      </c>
      <c r="H849" t="s">
        <v>22</v>
      </c>
      <c r="I849" t="s">
        <v>31</v>
      </c>
      <c r="J849" t="s">
        <v>23</v>
      </c>
      <c r="K849" s="2">
        <v>61568</v>
      </c>
      <c r="L849" s="2">
        <v>74766</v>
      </c>
      <c r="M849" t="s">
        <v>32</v>
      </c>
      <c r="N849">
        <v>39</v>
      </c>
      <c r="O849" t="s">
        <v>23</v>
      </c>
      <c r="P849">
        <v>5</v>
      </c>
      <c r="Q849" s="1">
        <v>14.34</v>
      </c>
      <c r="R849" s="2">
        <f t="shared" si="52"/>
        <v>13198</v>
      </c>
      <c r="S849" s="1">
        <f t="shared" si="53"/>
        <v>21.4364604989605</v>
      </c>
      <c r="T849" t="str">
        <f t="shared" si="54"/>
        <v>Intermediate</v>
      </c>
      <c r="U849" t="str">
        <f t="shared" si="55"/>
        <v>Low Impact</v>
      </c>
    </row>
    <row r="850" spans="1:21" x14ac:dyDescent="0.3">
      <c r="A850" t="s">
        <v>1520</v>
      </c>
      <c r="B850">
        <v>29</v>
      </c>
      <c r="C850" t="s">
        <v>54</v>
      </c>
      <c r="D850" t="s">
        <v>34</v>
      </c>
      <c r="E850" t="s">
        <v>35</v>
      </c>
      <c r="F850" t="s">
        <v>98</v>
      </c>
      <c r="G850">
        <v>5</v>
      </c>
      <c r="H850" t="s">
        <v>22</v>
      </c>
      <c r="I850" t="s">
        <v>31</v>
      </c>
      <c r="J850" t="s">
        <v>25</v>
      </c>
      <c r="K850" s="2">
        <v>82136</v>
      </c>
      <c r="L850" s="2">
        <v>73094</v>
      </c>
      <c r="M850" t="s">
        <v>32</v>
      </c>
      <c r="N850">
        <v>48</v>
      </c>
      <c r="O850" t="s">
        <v>25</v>
      </c>
      <c r="P850">
        <v>6</v>
      </c>
      <c r="Q850" s="1">
        <v>14.31</v>
      </c>
      <c r="R850" s="2">
        <f t="shared" si="52"/>
        <v>-9042</v>
      </c>
      <c r="S850" s="1">
        <f t="shared" si="53"/>
        <v>-11.008571150287329</v>
      </c>
      <c r="T850" t="str">
        <f t="shared" si="54"/>
        <v>Intermediate</v>
      </c>
      <c r="U850" t="str">
        <f t="shared" si="55"/>
        <v>Low Impact</v>
      </c>
    </row>
    <row r="851" spans="1:21" x14ac:dyDescent="0.3">
      <c r="A851" t="s">
        <v>1907</v>
      </c>
      <c r="B851">
        <v>48</v>
      </c>
      <c r="C851" t="s">
        <v>27</v>
      </c>
      <c r="D851" t="s">
        <v>28</v>
      </c>
      <c r="E851" t="s">
        <v>41</v>
      </c>
      <c r="F851" t="s">
        <v>55</v>
      </c>
      <c r="G851">
        <v>26</v>
      </c>
      <c r="H851" t="s">
        <v>22</v>
      </c>
      <c r="I851" t="s">
        <v>31</v>
      </c>
      <c r="J851" t="s">
        <v>23</v>
      </c>
      <c r="K851" s="2">
        <v>33491</v>
      </c>
      <c r="L851" s="2">
        <v>32128</v>
      </c>
      <c r="M851" t="s">
        <v>32</v>
      </c>
      <c r="N851">
        <v>35</v>
      </c>
      <c r="O851" t="s">
        <v>23</v>
      </c>
      <c r="P851">
        <v>3</v>
      </c>
      <c r="Q851" s="1">
        <v>14.31</v>
      </c>
      <c r="R851" s="2">
        <f t="shared" si="52"/>
        <v>-1363</v>
      </c>
      <c r="S851" s="1">
        <f t="shared" si="53"/>
        <v>-4.0697500821116126</v>
      </c>
      <c r="T851" t="str">
        <f t="shared" si="54"/>
        <v>Expert</v>
      </c>
      <c r="U851" t="str">
        <f t="shared" si="55"/>
        <v>Low Impact</v>
      </c>
    </row>
    <row r="852" spans="1:21" x14ac:dyDescent="0.3">
      <c r="A852" t="s">
        <v>818</v>
      </c>
      <c r="B852">
        <v>35</v>
      </c>
      <c r="C852" t="s">
        <v>54</v>
      </c>
      <c r="D852" t="s">
        <v>19</v>
      </c>
      <c r="E852" t="s">
        <v>20</v>
      </c>
      <c r="F852" t="s">
        <v>118</v>
      </c>
      <c r="G852">
        <v>10</v>
      </c>
      <c r="H852" t="s">
        <v>37</v>
      </c>
      <c r="I852" t="s">
        <v>22</v>
      </c>
      <c r="J852" t="s">
        <v>23</v>
      </c>
      <c r="K852" s="2">
        <v>108002</v>
      </c>
      <c r="L852" s="2">
        <v>117473</v>
      </c>
      <c r="M852" t="s">
        <v>32</v>
      </c>
      <c r="N852">
        <v>47</v>
      </c>
      <c r="O852" t="s">
        <v>25</v>
      </c>
      <c r="P852">
        <v>8</v>
      </c>
      <c r="Q852" s="1">
        <v>14.3</v>
      </c>
      <c r="R852" s="2">
        <f t="shared" si="52"/>
        <v>9471</v>
      </c>
      <c r="S852" s="1">
        <f t="shared" si="53"/>
        <v>8.7692820503324018</v>
      </c>
      <c r="T852" t="str">
        <f t="shared" si="54"/>
        <v>Intermediate</v>
      </c>
      <c r="U852" t="str">
        <f t="shared" si="55"/>
        <v>Low Impact</v>
      </c>
    </row>
    <row r="853" spans="1:21" x14ac:dyDescent="0.3">
      <c r="A853" t="s">
        <v>689</v>
      </c>
      <c r="B853">
        <v>55</v>
      </c>
      <c r="C853" t="s">
        <v>27</v>
      </c>
      <c r="D853" t="s">
        <v>40</v>
      </c>
      <c r="E853" t="s">
        <v>41</v>
      </c>
      <c r="F853" t="s">
        <v>49</v>
      </c>
      <c r="G853">
        <v>29</v>
      </c>
      <c r="H853" t="s">
        <v>37</v>
      </c>
      <c r="I853" t="s">
        <v>22</v>
      </c>
      <c r="J853" t="s">
        <v>23</v>
      </c>
      <c r="K853" s="2">
        <v>93909</v>
      </c>
      <c r="L853" s="2">
        <v>111843</v>
      </c>
      <c r="M853" t="s">
        <v>32</v>
      </c>
      <c r="N853">
        <v>40</v>
      </c>
      <c r="O853" t="s">
        <v>23</v>
      </c>
      <c r="P853">
        <v>8</v>
      </c>
      <c r="Q853" s="1">
        <v>14.28</v>
      </c>
      <c r="R853" s="2">
        <f t="shared" si="52"/>
        <v>17934</v>
      </c>
      <c r="S853" s="1">
        <f t="shared" si="53"/>
        <v>19.09721112992365</v>
      </c>
      <c r="T853" t="str">
        <f t="shared" si="54"/>
        <v>Expert</v>
      </c>
      <c r="U853" t="str">
        <f t="shared" si="55"/>
        <v>Low Impact</v>
      </c>
    </row>
    <row r="854" spans="1:21" x14ac:dyDescent="0.3">
      <c r="A854" t="s">
        <v>989</v>
      </c>
      <c r="B854">
        <v>23</v>
      </c>
      <c r="C854" t="s">
        <v>27</v>
      </c>
      <c r="D854" t="s">
        <v>40</v>
      </c>
      <c r="E854" t="s">
        <v>41</v>
      </c>
      <c r="F854" t="s">
        <v>55</v>
      </c>
      <c r="G854">
        <v>0</v>
      </c>
      <c r="H854" t="s">
        <v>31</v>
      </c>
      <c r="I854" t="s">
        <v>22</v>
      </c>
      <c r="J854" t="s">
        <v>23</v>
      </c>
      <c r="K854" s="2">
        <v>52738</v>
      </c>
      <c r="L854" s="2">
        <v>55478</v>
      </c>
      <c r="M854" t="s">
        <v>32</v>
      </c>
      <c r="N854">
        <v>44</v>
      </c>
      <c r="O854" t="s">
        <v>25</v>
      </c>
      <c r="P854">
        <v>4</v>
      </c>
      <c r="Q854" s="1">
        <v>14.21</v>
      </c>
      <c r="R854" s="2">
        <f t="shared" si="52"/>
        <v>2740</v>
      </c>
      <c r="S854" s="1">
        <f t="shared" si="53"/>
        <v>5.1954947096969928</v>
      </c>
      <c r="T854" t="str">
        <f t="shared" si="54"/>
        <v>Beginner</v>
      </c>
      <c r="U854" t="str">
        <f t="shared" si="55"/>
        <v>Low Impact</v>
      </c>
    </row>
    <row r="855" spans="1:21" x14ac:dyDescent="0.3">
      <c r="A855" t="s">
        <v>918</v>
      </c>
      <c r="B855">
        <v>24</v>
      </c>
      <c r="C855" t="s">
        <v>54</v>
      </c>
      <c r="D855" t="s">
        <v>40</v>
      </c>
      <c r="E855" t="s">
        <v>51</v>
      </c>
      <c r="F855" t="s">
        <v>75</v>
      </c>
      <c r="G855">
        <v>1</v>
      </c>
      <c r="H855" t="s">
        <v>31</v>
      </c>
      <c r="I855" t="s">
        <v>22</v>
      </c>
      <c r="J855" t="s">
        <v>23</v>
      </c>
      <c r="K855" s="2">
        <v>93456</v>
      </c>
      <c r="L855" s="2">
        <v>101533</v>
      </c>
      <c r="M855" t="s">
        <v>32</v>
      </c>
      <c r="N855">
        <v>35</v>
      </c>
      <c r="O855" t="s">
        <v>23</v>
      </c>
      <c r="P855">
        <v>6</v>
      </c>
      <c r="Q855" s="1">
        <v>14.14</v>
      </c>
      <c r="R855" s="2">
        <f t="shared" si="52"/>
        <v>8077</v>
      </c>
      <c r="S855" s="1">
        <f t="shared" si="53"/>
        <v>8.6425697654511211</v>
      </c>
      <c r="T855" t="str">
        <f t="shared" si="54"/>
        <v>Beginner</v>
      </c>
      <c r="U855" t="str">
        <f t="shared" si="55"/>
        <v>Low Impact</v>
      </c>
    </row>
    <row r="856" spans="1:21" x14ac:dyDescent="0.3">
      <c r="A856" t="s">
        <v>1014</v>
      </c>
      <c r="B856">
        <v>41</v>
      </c>
      <c r="C856" t="s">
        <v>27</v>
      </c>
      <c r="D856" t="s">
        <v>28</v>
      </c>
      <c r="E856" t="s">
        <v>44</v>
      </c>
      <c r="F856" t="s">
        <v>47</v>
      </c>
      <c r="G856">
        <v>15</v>
      </c>
      <c r="H856" t="s">
        <v>37</v>
      </c>
      <c r="I856" t="s">
        <v>22</v>
      </c>
      <c r="J856" t="s">
        <v>23</v>
      </c>
      <c r="K856" s="2">
        <v>40024</v>
      </c>
      <c r="L856" s="2">
        <v>37275</v>
      </c>
      <c r="M856" t="s">
        <v>32</v>
      </c>
      <c r="N856">
        <v>47</v>
      </c>
      <c r="O856" t="s">
        <v>25</v>
      </c>
      <c r="P856">
        <v>4</v>
      </c>
      <c r="Q856" s="1">
        <v>14.14</v>
      </c>
      <c r="R856" s="2">
        <f t="shared" si="52"/>
        <v>-2749</v>
      </c>
      <c r="S856" s="1">
        <f t="shared" si="53"/>
        <v>-6.8683789726164308</v>
      </c>
      <c r="T856" t="str">
        <f t="shared" si="54"/>
        <v>Expert</v>
      </c>
      <c r="U856" t="str">
        <f t="shared" si="55"/>
        <v>Low Impact</v>
      </c>
    </row>
    <row r="857" spans="1:21" x14ac:dyDescent="0.3">
      <c r="A857" t="s">
        <v>1424</v>
      </c>
      <c r="B857">
        <v>43</v>
      </c>
      <c r="C857" t="s">
        <v>54</v>
      </c>
      <c r="D857" t="s">
        <v>34</v>
      </c>
      <c r="E857" t="s">
        <v>51</v>
      </c>
      <c r="F857" t="s">
        <v>130</v>
      </c>
      <c r="G857">
        <v>21</v>
      </c>
      <c r="H857" t="s">
        <v>22</v>
      </c>
      <c r="I857" t="s">
        <v>22</v>
      </c>
      <c r="J857" t="s">
        <v>25</v>
      </c>
      <c r="K857" s="2">
        <v>91821</v>
      </c>
      <c r="L857" s="2">
        <v>121337</v>
      </c>
      <c r="M857" t="s">
        <v>24</v>
      </c>
      <c r="N857">
        <v>47</v>
      </c>
      <c r="O857" t="s">
        <v>23</v>
      </c>
      <c r="P857">
        <v>5</v>
      </c>
      <c r="Q857" s="1">
        <v>14.1</v>
      </c>
      <c r="R857" s="2">
        <f t="shared" si="52"/>
        <v>29516</v>
      </c>
      <c r="S857" s="1">
        <f t="shared" si="53"/>
        <v>32.145151980483767</v>
      </c>
      <c r="T857" t="str">
        <f t="shared" si="54"/>
        <v>Expert</v>
      </c>
      <c r="U857" t="str">
        <f t="shared" si="55"/>
        <v>High Impact</v>
      </c>
    </row>
    <row r="858" spans="1:21" x14ac:dyDescent="0.3">
      <c r="A858" t="s">
        <v>1869</v>
      </c>
      <c r="B858">
        <v>55</v>
      </c>
      <c r="C858" t="s">
        <v>54</v>
      </c>
      <c r="D858" t="s">
        <v>34</v>
      </c>
      <c r="E858" t="s">
        <v>44</v>
      </c>
      <c r="F858" t="s">
        <v>45</v>
      </c>
      <c r="G858">
        <v>31</v>
      </c>
      <c r="H858" t="s">
        <v>22</v>
      </c>
      <c r="I858" t="s">
        <v>37</v>
      </c>
      <c r="J858" t="s">
        <v>23</v>
      </c>
      <c r="K858" s="2">
        <v>59022</v>
      </c>
      <c r="L858" s="2">
        <v>76178</v>
      </c>
      <c r="M858" t="s">
        <v>38</v>
      </c>
      <c r="N858">
        <v>45</v>
      </c>
      <c r="O858" t="s">
        <v>25</v>
      </c>
      <c r="P858">
        <v>4</v>
      </c>
      <c r="Q858" s="1">
        <v>14.07</v>
      </c>
      <c r="R858" s="2">
        <f t="shared" si="52"/>
        <v>17156</v>
      </c>
      <c r="S858" s="1">
        <f t="shared" si="53"/>
        <v>29.067127511775269</v>
      </c>
      <c r="T858" t="str">
        <f t="shared" si="54"/>
        <v>Expert</v>
      </c>
      <c r="U858" t="str">
        <f t="shared" si="55"/>
        <v>Medium Impact</v>
      </c>
    </row>
    <row r="859" spans="1:21" x14ac:dyDescent="0.3">
      <c r="A859" t="s">
        <v>1484</v>
      </c>
      <c r="B859">
        <v>37</v>
      </c>
      <c r="C859" t="s">
        <v>18</v>
      </c>
      <c r="D859" t="s">
        <v>40</v>
      </c>
      <c r="E859" t="s">
        <v>20</v>
      </c>
      <c r="F859" t="s">
        <v>21</v>
      </c>
      <c r="G859">
        <v>11</v>
      </c>
      <c r="H859" t="s">
        <v>22</v>
      </c>
      <c r="I859" t="s">
        <v>37</v>
      </c>
      <c r="J859" t="s">
        <v>25</v>
      </c>
      <c r="K859" s="2">
        <v>36044</v>
      </c>
      <c r="L859" s="2">
        <v>43735</v>
      </c>
      <c r="M859" t="s">
        <v>38</v>
      </c>
      <c r="N859">
        <v>40</v>
      </c>
      <c r="O859" t="s">
        <v>25</v>
      </c>
      <c r="P859">
        <v>5</v>
      </c>
      <c r="Q859" s="1">
        <v>14.02</v>
      </c>
      <c r="R859" s="2">
        <f t="shared" si="52"/>
        <v>7691</v>
      </c>
      <c r="S859" s="1">
        <f t="shared" si="53"/>
        <v>21.337809344134946</v>
      </c>
      <c r="T859" t="str">
        <f t="shared" si="54"/>
        <v>Intermediate</v>
      </c>
      <c r="U859" t="str">
        <f t="shared" si="55"/>
        <v>Medium Impact</v>
      </c>
    </row>
    <row r="860" spans="1:21" x14ac:dyDescent="0.3">
      <c r="A860" t="s">
        <v>353</v>
      </c>
      <c r="B860">
        <v>27</v>
      </c>
      <c r="C860" t="s">
        <v>18</v>
      </c>
      <c r="D860" t="s">
        <v>28</v>
      </c>
      <c r="E860" t="s">
        <v>51</v>
      </c>
      <c r="F860" t="s">
        <v>52</v>
      </c>
      <c r="G860">
        <v>3</v>
      </c>
      <c r="H860" t="s">
        <v>31</v>
      </c>
      <c r="I860" t="s">
        <v>37</v>
      </c>
      <c r="J860" t="s">
        <v>23</v>
      </c>
      <c r="K860" s="2">
        <v>95450</v>
      </c>
      <c r="L860" s="2">
        <v>98904</v>
      </c>
      <c r="M860" t="s">
        <v>38</v>
      </c>
      <c r="N860">
        <v>54</v>
      </c>
      <c r="O860" t="s">
        <v>23</v>
      </c>
      <c r="P860">
        <v>4</v>
      </c>
      <c r="Q860" s="1">
        <v>13.99</v>
      </c>
      <c r="R860" s="2">
        <f t="shared" si="52"/>
        <v>3454</v>
      </c>
      <c r="S860" s="1">
        <f t="shared" si="53"/>
        <v>3.6186485070717653</v>
      </c>
      <c r="T860" t="str">
        <f t="shared" si="54"/>
        <v>Beginner</v>
      </c>
      <c r="U860" t="str">
        <f t="shared" si="55"/>
        <v>Medium Impact</v>
      </c>
    </row>
    <row r="861" spans="1:21" x14ac:dyDescent="0.3">
      <c r="A861" t="s">
        <v>1268</v>
      </c>
      <c r="B861">
        <v>35</v>
      </c>
      <c r="C861" t="s">
        <v>27</v>
      </c>
      <c r="D861" t="s">
        <v>28</v>
      </c>
      <c r="E861" t="s">
        <v>35</v>
      </c>
      <c r="F861" t="s">
        <v>98</v>
      </c>
      <c r="G861">
        <v>9</v>
      </c>
      <c r="H861" t="s">
        <v>37</v>
      </c>
      <c r="I861" t="s">
        <v>31</v>
      </c>
      <c r="J861" t="s">
        <v>25</v>
      </c>
      <c r="K861" s="2">
        <v>84639</v>
      </c>
      <c r="L861" s="2">
        <v>77367</v>
      </c>
      <c r="M861" t="s">
        <v>32</v>
      </c>
      <c r="N861">
        <v>51</v>
      </c>
      <c r="O861" t="s">
        <v>23</v>
      </c>
      <c r="P861">
        <v>8</v>
      </c>
      <c r="Q861" s="1">
        <v>13.98</v>
      </c>
      <c r="R861" s="2">
        <f t="shared" si="52"/>
        <v>-7272</v>
      </c>
      <c r="S861" s="1">
        <f t="shared" si="53"/>
        <v>-8.59178392939425</v>
      </c>
      <c r="T861" t="str">
        <f t="shared" si="54"/>
        <v>Intermediate</v>
      </c>
      <c r="U861" t="str">
        <f t="shared" si="55"/>
        <v>Low Impact</v>
      </c>
    </row>
    <row r="862" spans="1:21" x14ac:dyDescent="0.3">
      <c r="A862" t="s">
        <v>230</v>
      </c>
      <c r="B862">
        <v>57</v>
      </c>
      <c r="C862" t="s">
        <v>54</v>
      </c>
      <c r="D862" t="s">
        <v>40</v>
      </c>
      <c r="E862" t="s">
        <v>59</v>
      </c>
      <c r="F862" t="s">
        <v>93</v>
      </c>
      <c r="G862">
        <v>35</v>
      </c>
      <c r="H862" t="s">
        <v>22</v>
      </c>
      <c r="I862" t="s">
        <v>22</v>
      </c>
      <c r="J862" t="s">
        <v>25</v>
      </c>
      <c r="K862" s="2">
        <v>54762</v>
      </c>
      <c r="L862" s="2">
        <v>53572</v>
      </c>
      <c r="M862" t="s">
        <v>38</v>
      </c>
      <c r="N862">
        <v>36</v>
      </c>
      <c r="O862" t="s">
        <v>25</v>
      </c>
      <c r="P862">
        <v>9</v>
      </c>
      <c r="Q862" s="1">
        <v>13.98</v>
      </c>
      <c r="R862" s="2">
        <f t="shared" si="52"/>
        <v>-1190</v>
      </c>
      <c r="S862" s="1">
        <f t="shared" si="53"/>
        <v>-2.1730396990613929</v>
      </c>
      <c r="T862" t="str">
        <f t="shared" si="54"/>
        <v>Expert</v>
      </c>
      <c r="U862" t="str">
        <f t="shared" si="55"/>
        <v>Medium Impact</v>
      </c>
    </row>
    <row r="863" spans="1:21" x14ac:dyDescent="0.3">
      <c r="A863" t="s">
        <v>1776</v>
      </c>
      <c r="B863">
        <v>46</v>
      </c>
      <c r="C863" t="s">
        <v>18</v>
      </c>
      <c r="D863" t="s">
        <v>19</v>
      </c>
      <c r="E863" t="s">
        <v>51</v>
      </c>
      <c r="F863" t="s">
        <v>130</v>
      </c>
      <c r="G863">
        <v>21</v>
      </c>
      <c r="H863" t="s">
        <v>22</v>
      </c>
      <c r="I863" t="s">
        <v>31</v>
      </c>
      <c r="J863" t="s">
        <v>23</v>
      </c>
      <c r="K863" s="2">
        <v>116173</v>
      </c>
      <c r="L863" s="2">
        <v>122414</v>
      </c>
      <c r="M863" t="s">
        <v>32</v>
      </c>
      <c r="N863">
        <v>39</v>
      </c>
      <c r="O863" t="s">
        <v>23</v>
      </c>
      <c r="P863">
        <v>5</v>
      </c>
      <c r="Q863" s="1">
        <v>13.95</v>
      </c>
      <c r="R863" s="2">
        <f t="shared" si="52"/>
        <v>6241</v>
      </c>
      <c r="S863" s="1">
        <f t="shared" si="53"/>
        <v>5.3721604847942288</v>
      </c>
      <c r="T863" t="str">
        <f t="shared" si="54"/>
        <v>Expert</v>
      </c>
      <c r="U863" t="str">
        <f t="shared" si="55"/>
        <v>Low Impact</v>
      </c>
    </row>
    <row r="864" spans="1:21" x14ac:dyDescent="0.3">
      <c r="A864" t="s">
        <v>808</v>
      </c>
      <c r="B864">
        <v>45</v>
      </c>
      <c r="C864" t="s">
        <v>54</v>
      </c>
      <c r="D864" t="s">
        <v>40</v>
      </c>
      <c r="E864" t="s">
        <v>44</v>
      </c>
      <c r="F864" t="s">
        <v>57</v>
      </c>
      <c r="G864">
        <v>21</v>
      </c>
      <c r="H864" t="s">
        <v>22</v>
      </c>
      <c r="I864" t="s">
        <v>31</v>
      </c>
      <c r="J864" t="s">
        <v>25</v>
      </c>
      <c r="K864" s="2">
        <v>38947</v>
      </c>
      <c r="L864" s="2">
        <v>33010</v>
      </c>
      <c r="M864" t="s">
        <v>32</v>
      </c>
      <c r="N864">
        <v>48</v>
      </c>
      <c r="O864" t="s">
        <v>25</v>
      </c>
      <c r="P864">
        <v>3</v>
      </c>
      <c r="Q864" s="1">
        <v>13.95</v>
      </c>
      <c r="R864" s="2">
        <f t="shared" si="52"/>
        <v>-5937</v>
      </c>
      <c r="S864" s="1">
        <f t="shared" si="53"/>
        <v>-15.243792846689091</v>
      </c>
      <c r="T864" t="str">
        <f t="shared" si="54"/>
        <v>Expert</v>
      </c>
      <c r="U864" t="str">
        <f t="shared" si="55"/>
        <v>Low Impact</v>
      </c>
    </row>
    <row r="865" spans="1:21" x14ac:dyDescent="0.3">
      <c r="A865" t="s">
        <v>745</v>
      </c>
      <c r="B865">
        <v>51</v>
      </c>
      <c r="C865" t="s">
        <v>18</v>
      </c>
      <c r="D865" t="s">
        <v>19</v>
      </c>
      <c r="E865" t="s">
        <v>41</v>
      </c>
      <c r="F865" t="s">
        <v>42</v>
      </c>
      <c r="G865">
        <v>29</v>
      </c>
      <c r="H865" t="s">
        <v>37</v>
      </c>
      <c r="I865" t="s">
        <v>22</v>
      </c>
      <c r="J865" t="s">
        <v>25</v>
      </c>
      <c r="K865" s="2">
        <v>65739</v>
      </c>
      <c r="L865" s="2">
        <v>61738</v>
      </c>
      <c r="M865" t="s">
        <v>32</v>
      </c>
      <c r="N865">
        <v>49</v>
      </c>
      <c r="O865" t="s">
        <v>25</v>
      </c>
      <c r="P865">
        <v>3</v>
      </c>
      <c r="Q865" s="1">
        <v>13.93</v>
      </c>
      <c r="R865" s="2">
        <f t="shared" si="52"/>
        <v>-4001</v>
      </c>
      <c r="S865" s="1">
        <f t="shared" si="53"/>
        <v>-6.0861893244497178</v>
      </c>
      <c r="T865" t="str">
        <f t="shared" si="54"/>
        <v>Expert</v>
      </c>
      <c r="U865" t="str">
        <f t="shared" si="55"/>
        <v>Low Impact</v>
      </c>
    </row>
    <row r="866" spans="1:21" x14ac:dyDescent="0.3">
      <c r="A866" t="s">
        <v>1790</v>
      </c>
      <c r="B866">
        <v>48</v>
      </c>
      <c r="C866" t="s">
        <v>18</v>
      </c>
      <c r="D866" t="s">
        <v>28</v>
      </c>
      <c r="E866" t="s">
        <v>41</v>
      </c>
      <c r="F866" t="s">
        <v>49</v>
      </c>
      <c r="G866">
        <v>25</v>
      </c>
      <c r="H866" t="s">
        <v>37</v>
      </c>
      <c r="I866" t="s">
        <v>22</v>
      </c>
      <c r="J866" t="s">
        <v>25</v>
      </c>
      <c r="K866" s="2">
        <v>38983</v>
      </c>
      <c r="L866" s="2">
        <v>40836</v>
      </c>
      <c r="M866" t="s">
        <v>32</v>
      </c>
      <c r="N866">
        <v>47</v>
      </c>
      <c r="O866" t="s">
        <v>23</v>
      </c>
      <c r="P866">
        <v>4</v>
      </c>
      <c r="Q866" s="1">
        <v>13.93</v>
      </c>
      <c r="R866" s="2">
        <f t="shared" si="52"/>
        <v>1853</v>
      </c>
      <c r="S866" s="1">
        <f t="shared" si="53"/>
        <v>4.7533540261139473</v>
      </c>
      <c r="T866" t="str">
        <f t="shared" si="54"/>
        <v>Expert</v>
      </c>
      <c r="U866" t="str">
        <f t="shared" si="55"/>
        <v>Low Impact</v>
      </c>
    </row>
    <row r="867" spans="1:21" x14ac:dyDescent="0.3">
      <c r="A867" t="s">
        <v>518</v>
      </c>
      <c r="B867">
        <v>58</v>
      </c>
      <c r="C867" t="s">
        <v>18</v>
      </c>
      <c r="D867" t="s">
        <v>34</v>
      </c>
      <c r="E867" t="s">
        <v>59</v>
      </c>
      <c r="F867" t="s">
        <v>60</v>
      </c>
      <c r="G867">
        <v>36</v>
      </c>
      <c r="H867" t="s">
        <v>37</v>
      </c>
      <c r="I867" t="s">
        <v>31</v>
      </c>
      <c r="J867" t="s">
        <v>25</v>
      </c>
      <c r="K867" s="2">
        <v>62441</v>
      </c>
      <c r="L867" s="2">
        <v>56989</v>
      </c>
      <c r="M867" t="s">
        <v>32</v>
      </c>
      <c r="N867">
        <v>44</v>
      </c>
      <c r="O867" t="s">
        <v>23</v>
      </c>
      <c r="P867">
        <v>9</v>
      </c>
      <c r="Q867" s="1">
        <v>13.88</v>
      </c>
      <c r="R867" s="2">
        <f t="shared" si="52"/>
        <v>-5452</v>
      </c>
      <c r="S867" s="1">
        <f t="shared" si="53"/>
        <v>-8.731442481702727</v>
      </c>
      <c r="T867" t="str">
        <f t="shared" si="54"/>
        <v>Expert</v>
      </c>
      <c r="U867" t="str">
        <f t="shared" si="55"/>
        <v>Low Impact</v>
      </c>
    </row>
    <row r="868" spans="1:21" x14ac:dyDescent="0.3">
      <c r="A868" t="s">
        <v>361</v>
      </c>
      <c r="B868">
        <v>23</v>
      </c>
      <c r="C868" t="s">
        <v>54</v>
      </c>
      <c r="D868" t="s">
        <v>28</v>
      </c>
      <c r="E868" t="s">
        <v>59</v>
      </c>
      <c r="F868" t="s">
        <v>60</v>
      </c>
      <c r="G868">
        <v>0</v>
      </c>
      <c r="H868" t="s">
        <v>31</v>
      </c>
      <c r="I868" t="s">
        <v>22</v>
      </c>
      <c r="J868" t="s">
        <v>25</v>
      </c>
      <c r="K868" s="2">
        <v>102146</v>
      </c>
      <c r="L868" s="2">
        <v>102960</v>
      </c>
      <c r="M868" t="s">
        <v>32</v>
      </c>
      <c r="N868">
        <v>36</v>
      </c>
      <c r="O868" t="s">
        <v>25</v>
      </c>
      <c r="P868">
        <v>4</v>
      </c>
      <c r="Q868" s="1">
        <v>13.87</v>
      </c>
      <c r="R868" s="2">
        <f t="shared" si="52"/>
        <v>814</v>
      </c>
      <c r="S868" s="1">
        <f t="shared" si="53"/>
        <v>0.79689855696747791</v>
      </c>
      <c r="T868" t="str">
        <f t="shared" si="54"/>
        <v>Beginner</v>
      </c>
      <c r="U868" t="str">
        <f t="shared" si="55"/>
        <v>Low Impact</v>
      </c>
    </row>
    <row r="869" spans="1:21" x14ac:dyDescent="0.3">
      <c r="A869" t="s">
        <v>1240</v>
      </c>
      <c r="B869">
        <v>44</v>
      </c>
      <c r="C869" t="s">
        <v>18</v>
      </c>
      <c r="D869" t="s">
        <v>28</v>
      </c>
      <c r="E869" t="s">
        <v>44</v>
      </c>
      <c r="F869" t="s">
        <v>57</v>
      </c>
      <c r="G869">
        <v>22</v>
      </c>
      <c r="H869" t="s">
        <v>31</v>
      </c>
      <c r="I869" t="s">
        <v>37</v>
      </c>
      <c r="J869" t="s">
        <v>23</v>
      </c>
      <c r="K869" s="2">
        <v>69291</v>
      </c>
      <c r="L869" s="2">
        <v>74784</v>
      </c>
      <c r="M869" t="s">
        <v>38</v>
      </c>
      <c r="N869">
        <v>41</v>
      </c>
      <c r="O869" t="s">
        <v>25</v>
      </c>
      <c r="P869">
        <v>7</v>
      </c>
      <c r="Q869" s="1">
        <v>13.86</v>
      </c>
      <c r="R869" s="2">
        <f t="shared" si="52"/>
        <v>5493</v>
      </c>
      <c r="S869" s="1">
        <f t="shared" si="53"/>
        <v>7.9274364636099923</v>
      </c>
      <c r="T869" t="str">
        <f t="shared" si="54"/>
        <v>Expert</v>
      </c>
      <c r="U869" t="str">
        <f t="shared" si="55"/>
        <v>Medium Impact</v>
      </c>
    </row>
    <row r="870" spans="1:21" x14ac:dyDescent="0.3">
      <c r="A870" t="s">
        <v>1316</v>
      </c>
      <c r="B870">
        <v>25</v>
      </c>
      <c r="C870" t="s">
        <v>54</v>
      </c>
      <c r="D870" t="s">
        <v>19</v>
      </c>
      <c r="E870" t="s">
        <v>44</v>
      </c>
      <c r="F870" t="s">
        <v>45</v>
      </c>
      <c r="G870">
        <v>3</v>
      </c>
      <c r="H870" t="s">
        <v>31</v>
      </c>
      <c r="I870" t="s">
        <v>37</v>
      </c>
      <c r="J870" t="s">
        <v>25</v>
      </c>
      <c r="K870" s="2">
        <v>72029</v>
      </c>
      <c r="L870" s="2">
        <v>72135</v>
      </c>
      <c r="M870" t="s">
        <v>38</v>
      </c>
      <c r="N870">
        <v>35</v>
      </c>
      <c r="O870" t="s">
        <v>23</v>
      </c>
      <c r="P870">
        <v>7</v>
      </c>
      <c r="Q870" s="1">
        <v>13.7</v>
      </c>
      <c r="R870" s="2">
        <f t="shared" si="52"/>
        <v>106</v>
      </c>
      <c r="S870" s="1">
        <f t="shared" si="53"/>
        <v>0.14716294825695206</v>
      </c>
      <c r="T870" t="str">
        <f t="shared" si="54"/>
        <v>Beginner</v>
      </c>
      <c r="U870" t="str">
        <f t="shared" si="55"/>
        <v>Medium Impact</v>
      </c>
    </row>
    <row r="871" spans="1:21" x14ac:dyDescent="0.3">
      <c r="A871" t="s">
        <v>417</v>
      </c>
      <c r="B871">
        <v>25</v>
      </c>
      <c r="C871" t="s">
        <v>27</v>
      </c>
      <c r="D871" t="s">
        <v>19</v>
      </c>
      <c r="E871" t="s">
        <v>59</v>
      </c>
      <c r="F871" t="s">
        <v>60</v>
      </c>
      <c r="G871">
        <v>2</v>
      </c>
      <c r="H871" t="s">
        <v>31</v>
      </c>
      <c r="I871" t="s">
        <v>22</v>
      </c>
      <c r="J871" t="s">
        <v>23</v>
      </c>
      <c r="K871" s="2">
        <v>45352</v>
      </c>
      <c r="L871" s="2">
        <v>48870</v>
      </c>
      <c r="M871" t="s">
        <v>32</v>
      </c>
      <c r="N871">
        <v>51</v>
      </c>
      <c r="O871" t="s">
        <v>25</v>
      </c>
      <c r="P871">
        <v>7</v>
      </c>
      <c r="Q871" s="1">
        <v>13.67</v>
      </c>
      <c r="R871" s="2">
        <f t="shared" si="52"/>
        <v>3518</v>
      </c>
      <c r="S871" s="1">
        <f t="shared" si="53"/>
        <v>7.7571000176397948</v>
      </c>
      <c r="T871" t="str">
        <f t="shared" si="54"/>
        <v>Beginner</v>
      </c>
      <c r="U871" t="str">
        <f t="shared" si="55"/>
        <v>Low Impact</v>
      </c>
    </row>
    <row r="872" spans="1:21" x14ac:dyDescent="0.3">
      <c r="A872" t="s">
        <v>1422</v>
      </c>
      <c r="B872">
        <v>33</v>
      </c>
      <c r="C872" t="s">
        <v>27</v>
      </c>
      <c r="D872" t="s">
        <v>34</v>
      </c>
      <c r="E872" t="s">
        <v>29</v>
      </c>
      <c r="F872" t="s">
        <v>104</v>
      </c>
      <c r="G872">
        <v>9</v>
      </c>
      <c r="H872" t="s">
        <v>37</v>
      </c>
      <c r="I872" t="s">
        <v>22</v>
      </c>
      <c r="J872" t="s">
        <v>23</v>
      </c>
      <c r="K872" s="2">
        <v>97850</v>
      </c>
      <c r="L872" s="2">
        <v>97926</v>
      </c>
      <c r="M872" t="s">
        <v>32</v>
      </c>
      <c r="N872">
        <v>50</v>
      </c>
      <c r="O872" t="s">
        <v>25</v>
      </c>
      <c r="P872">
        <v>6</v>
      </c>
      <c r="Q872" s="1">
        <v>13.64</v>
      </c>
      <c r="R872" s="2">
        <f t="shared" si="52"/>
        <v>76</v>
      </c>
      <c r="S872" s="1">
        <f t="shared" si="53"/>
        <v>7.7669902912621366E-2</v>
      </c>
      <c r="T872" t="str">
        <f t="shared" si="54"/>
        <v>Intermediate</v>
      </c>
      <c r="U872" t="str">
        <f t="shared" si="55"/>
        <v>Low Impact</v>
      </c>
    </row>
    <row r="873" spans="1:21" x14ac:dyDescent="0.3">
      <c r="A873" t="s">
        <v>443</v>
      </c>
      <c r="B873">
        <v>39</v>
      </c>
      <c r="C873" t="s">
        <v>54</v>
      </c>
      <c r="D873" t="s">
        <v>34</v>
      </c>
      <c r="E873" t="s">
        <v>59</v>
      </c>
      <c r="F873" t="s">
        <v>60</v>
      </c>
      <c r="G873">
        <v>15</v>
      </c>
      <c r="H873" t="s">
        <v>31</v>
      </c>
      <c r="I873" t="s">
        <v>37</v>
      </c>
      <c r="J873" t="s">
        <v>23</v>
      </c>
      <c r="K873" s="2">
        <v>116661</v>
      </c>
      <c r="L873" s="2">
        <v>122565</v>
      </c>
      <c r="M873" t="s">
        <v>38</v>
      </c>
      <c r="N873">
        <v>36</v>
      </c>
      <c r="O873" t="s">
        <v>23</v>
      </c>
      <c r="P873">
        <v>8</v>
      </c>
      <c r="Q873" s="1">
        <v>13.63</v>
      </c>
      <c r="R873" s="2">
        <f t="shared" si="52"/>
        <v>5904</v>
      </c>
      <c r="S873" s="1">
        <f t="shared" si="53"/>
        <v>5.0608172396944999</v>
      </c>
      <c r="T873" t="str">
        <f t="shared" si="54"/>
        <v>Expert</v>
      </c>
      <c r="U873" t="str">
        <f t="shared" si="55"/>
        <v>Medium Impact</v>
      </c>
    </row>
    <row r="874" spans="1:21" x14ac:dyDescent="0.3">
      <c r="A874" t="s">
        <v>1309</v>
      </c>
      <c r="B874">
        <v>46</v>
      </c>
      <c r="C874" t="s">
        <v>54</v>
      </c>
      <c r="D874" t="s">
        <v>28</v>
      </c>
      <c r="E874" t="s">
        <v>51</v>
      </c>
      <c r="F874" t="s">
        <v>52</v>
      </c>
      <c r="G874">
        <v>24</v>
      </c>
      <c r="H874" t="s">
        <v>31</v>
      </c>
      <c r="I874" t="s">
        <v>22</v>
      </c>
      <c r="J874" t="s">
        <v>23</v>
      </c>
      <c r="K874" s="2">
        <v>59381</v>
      </c>
      <c r="L874" s="2">
        <v>61801</v>
      </c>
      <c r="M874" t="s">
        <v>32</v>
      </c>
      <c r="N874">
        <v>52</v>
      </c>
      <c r="O874" t="s">
        <v>23</v>
      </c>
      <c r="P874">
        <v>8</v>
      </c>
      <c r="Q874" s="1">
        <v>13.59</v>
      </c>
      <c r="R874" s="2">
        <f t="shared" si="52"/>
        <v>2420</v>
      </c>
      <c r="S874" s="1">
        <f t="shared" si="53"/>
        <v>4.0753776460483992</v>
      </c>
      <c r="T874" t="str">
        <f t="shared" si="54"/>
        <v>Expert</v>
      </c>
      <c r="U874" t="str">
        <f t="shared" si="55"/>
        <v>Low Impact</v>
      </c>
    </row>
    <row r="875" spans="1:21" x14ac:dyDescent="0.3">
      <c r="A875" t="s">
        <v>809</v>
      </c>
      <c r="B875">
        <v>39</v>
      </c>
      <c r="C875" t="s">
        <v>27</v>
      </c>
      <c r="D875" t="s">
        <v>34</v>
      </c>
      <c r="E875" t="s">
        <v>44</v>
      </c>
      <c r="F875" t="s">
        <v>47</v>
      </c>
      <c r="G875">
        <v>14</v>
      </c>
      <c r="H875" t="s">
        <v>37</v>
      </c>
      <c r="I875" t="s">
        <v>31</v>
      </c>
      <c r="J875" t="s">
        <v>25</v>
      </c>
      <c r="K875" s="2">
        <v>30507</v>
      </c>
      <c r="L875" s="2">
        <v>35498</v>
      </c>
      <c r="M875" t="s">
        <v>32</v>
      </c>
      <c r="N875">
        <v>38</v>
      </c>
      <c r="O875" t="s">
        <v>25</v>
      </c>
      <c r="P875">
        <v>7</v>
      </c>
      <c r="Q875" s="1">
        <v>13.5</v>
      </c>
      <c r="R875" s="2">
        <f t="shared" si="52"/>
        <v>4991</v>
      </c>
      <c r="S875" s="1">
        <f t="shared" si="53"/>
        <v>16.360179630904383</v>
      </c>
      <c r="T875" t="str">
        <f t="shared" si="54"/>
        <v>Intermediate</v>
      </c>
      <c r="U875" t="str">
        <f t="shared" si="55"/>
        <v>Low Impact</v>
      </c>
    </row>
    <row r="876" spans="1:21" x14ac:dyDescent="0.3">
      <c r="A876" t="s">
        <v>1887</v>
      </c>
      <c r="B876">
        <v>30</v>
      </c>
      <c r="C876" t="s">
        <v>18</v>
      </c>
      <c r="D876" t="s">
        <v>19</v>
      </c>
      <c r="E876" t="s">
        <v>29</v>
      </c>
      <c r="F876" t="s">
        <v>104</v>
      </c>
      <c r="G876">
        <v>8</v>
      </c>
      <c r="H876" t="s">
        <v>37</v>
      </c>
      <c r="I876" t="s">
        <v>37</v>
      </c>
      <c r="J876" t="s">
        <v>23</v>
      </c>
      <c r="K876" s="2">
        <v>97136</v>
      </c>
      <c r="L876" s="2">
        <v>96814</v>
      </c>
      <c r="M876" t="s">
        <v>38</v>
      </c>
      <c r="N876">
        <v>40</v>
      </c>
      <c r="O876" t="s">
        <v>23</v>
      </c>
      <c r="P876">
        <v>6</v>
      </c>
      <c r="Q876" s="1">
        <v>13.47</v>
      </c>
      <c r="R876" s="2">
        <f t="shared" si="52"/>
        <v>-322</v>
      </c>
      <c r="S876" s="1">
        <f t="shared" si="53"/>
        <v>-0.33149398781090433</v>
      </c>
      <c r="T876" t="str">
        <f t="shared" si="54"/>
        <v>Intermediate</v>
      </c>
      <c r="U876" t="str">
        <f t="shared" si="55"/>
        <v>Medium Impact</v>
      </c>
    </row>
    <row r="877" spans="1:21" x14ac:dyDescent="0.3">
      <c r="A877" t="s">
        <v>1651</v>
      </c>
      <c r="B877">
        <v>26</v>
      </c>
      <c r="C877" t="s">
        <v>27</v>
      </c>
      <c r="D877" t="s">
        <v>28</v>
      </c>
      <c r="E877" t="s">
        <v>41</v>
      </c>
      <c r="F877" t="s">
        <v>49</v>
      </c>
      <c r="G877">
        <v>4</v>
      </c>
      <c r="H877" t="s">
        <v>22</v>
      </c>
      <c r="I877" t="s">
        <v>37</v>
      </c>
      <c r="J877" t="s">
        <v>23</v>
      </c>
      <c r="K877" s="2">
        <v>52320</v>
      </c>
      <c r="L877" s="2">
        <v>49392</v>
      </c>
      <c r="M877" t="s">
        <v>38</v>
      </c>
      <c r="N877">
        <v>40</v>
      </c>
      <c r="O877" t="s">
        <v>25</v>
      </c>
      <c r="P877">
        <v>4</v>
      </c>
      <c r="Q877" s="1">
        <v>13.42</v>
      </c>
      <c r="R877" s="2">
        <f t="shared" si="52"/>
        <v>-2928</v>
      </c>
      <c r="S877" s="1">
        <f t="shared" si="53"/>
        <v>-5.5963302752293584</v>
      </c>
      <c r="T877" t="str">
        <f t="shared" si="54"/>
        <v>Beginner</v>
      </c>
      <c r="U877" t="str">
        <f t="shared" si="55"/>
        <v>Medium Impact</v>
      </c>
    </row>
    <row r="878" spans="1:21" x14ac:dyDescent="0.3">
      <c r="A878" t="s">
        <v>1711</v>
      </c>
      <c r="B878">
        <v>42</v>
      </c>
      <c r="C878" t="s">
        <v>27</v>
      </c>
      <c r="D878" t="s">
        <v>28</v>
      </c>
      <c r="E878" t="s">
        <v>35</v>
      </c>
      <c r="F878" t="s">
        <v>132</v>
      </c>
      <c r="G878">
        <v>16</v>
      </c>
      <c r="H878" t="s">
        <v>31</v>
      </c>
      <c r="I878" t="s">
        <v>31</v>
      </c>
      <c r="J878" t="s">
        <v>25</v>
      </c>
      <c r="K878" s="2">
        <v>93226</v>
      </c>
      <c r="L878" s="2">
        <v>98857</v>
      </c>
      <c r="M878" t="s">
        <v>32</v>
      </c>
      <c r="N878">
        <v>46</v>
      </c>
      <c r="O878" t="s">
        <v>23</v>
      </c>
      <c r="P878">
        <v>3</v>
      </c>
      <c r="Q878" s="1">
        <v>13.41</v>
      </c>
      <c r="R878" s="2">
        <f t="shared" si="52"/>
        <v>5631</v>
      </c>
      <c r="S878" s="1">
        <f t="shared" si="53"/>
        <v>6.0401604702550795</v>
      </c>
      <c r="T878" t="str">
        <f t="shared" si="54"/>
        <v>Expert</v>
      </c>
      <c r="U878" t="str">
        <f t="shared" si="55"/>
        <v>Low Impact</v>
      </c>
    </row>
    <row r="879" spans="1:21" x14ac:dyDescent="0.3">
      <c r="A879" t="s">
        <v>625</v>
      </c>
      <c r="B879">
        <v>40</v>
      </c>
      <c r="C879" t="s">
        <v>27</v>
      </c>
      <c r="D879" t="s">
        <v>40</v>
      </c>
      <c r="E879" t="s">
        <v>44</v>
      </c>
      <c r="F879" t="s">
        <v>47</v>
      </c>
      <c r="G879">
        <v>15</v>
      </c>
      <c r="H879" t="s">
        <v>37</v>
      </c>
      <c r="I879" t="s">
        <v>22</v>
      </c>
      <c r="J879" t="s">
        <v>25</v>
      </c>
      <c r="K879" s="2">
        <v>84935</v>
      </c>
      <c r="L879" s="2">
        <v>92145</v>
      </c>
      <c r="M879" t="s">
        <v>32</v>
      </c>
      <c r="N879">
        <v>49</v>
      </c>
      <c r="O879" t="s">
        <v>25</v>
      </c>
      <c r="P879">
        <v>3</v>
      </c>
      <c r="Q879" s="1">
        <v>13.41</v>
      </c>
      <c r="R879" s="2">
        <f t="shared" si="52"/>
        <v>7210</v>
      </c>
      <c r="S879" s="1">
        <f t="shared" si="53"/>
        <v>8.4888444104315059</v>
      </c>
      <c r="T879" t="str">
        <f t="shared" si="54"/>
        <v>Expert</v>
      </c>
      <c r="U879" t="str">
        <f t="shared" si="55"/>
        <v>Low Impact</v>
      </c>
    </row>
    <row r="880" spans="1:21" x14ac:dyDescent="0.3">
      <c r="A880" t="s">
        <v>701</v>
      </c>
      <c r="B880">
        <v>32</v>
      </c>
      <c r="C880" t="s">
        <v>27</v>
      </c>
      <c r="D880" t="s">
        <v>28</v>
      </c>
      <c r="E880" t="s">
        <v>44</v>
      </c>
      <c r="F880" t="s">
        <v>47</v>
      </c>
      <c r="G880">
        <v>8</v>
      </c>
      <c r="H880" t="s">
        <v>37</v>
      </c>
      <c r="I880" t="s">
        <v>31</v>
      </c>
      <c r="J880" t="s">
        <v>25</v>
      </c>
      <c r="K880" s="2">
        <v>52800</v>
      </c>
      <c r="L880" s="2">
        <v>50858</v>
      </c>
      <c r="M880" t="s">
        <v>32</v>
      </c>
      <c r="N880">
        <v>42</v>
      </c>
      <c r="O880" t="s">
        <v>25</v>
      </c>
      <c r="P880">
        <v>9</v>
      </c>
      <c r="Q880" s="1">
        <v>13.39</v>
      </c>
      <c r="R880" s="2">
        <f t="shared" si="52"/>
        <v>-1942</v>
      </c>
      <c r="S880" s="1">
        <f t="shared" si="53"/>
        <v>-3.6780303030303032</v>
      </c>
      <c r="T880" t="str">
        <f t="shared" si="54"/>
        <v>Intermediate</v>
      </c>
      <c r="U880" t="str">
        <f t="shared" si="55"/>
        <v>Low Impact</v>
      </c>
    </row>
    <row r="881" spans="1:21" x14ac:dyDescent="0.3">
      <c r="A881" t="s">
        <v>1863</v>
      </c>
      <c r="B881">
        <v>59</v>
      </c>
      <c r="C881" t="s">
        <v>54</v>
      </c>
      <c r="D881" t="s">
        <v>34</v>
      </c>
      <c r="E881" t="s">
        <v>59</v>
      </c>
      <c r="F881" t="s">
        <v>60</v>
      </c>
      <c r="G881">
        <v>34</v>
      </c>
      <c r="H881" t="s">
        <v>22</v>
      </c>
      <c r="I881" t="s">
        <v>31</v>
      </c>
      <c r="J881" t="s">
        <v>25</v>
      </c>
      <c r="K881" s="2">
        <v>49547</v>
      </c>
      <c r="L881" s="2">
        <v>68491</v>
      </c>
      <c r="M881" t="s">
        <v>32</v>
      </c>
      <c r="N881">
        <v>49</v>
      </c>
      <c r="O881" t="s">
        <v>23</v>
      </c>
      <c r="P881">
        <v>6</v>
      </c>
      <c r="Q881" s="1">
        <v>13.3</v>
      </c>
      <c r="R881" s="2">
        <f t="shared" si="52"/>
        <v>18944</v>
      </c>
      <c r="S881" s="1">
        <f t="shared" si="53"/>
        <v>38.234403697499339</v>
      </c>
      <c r="T881" t="str">
        <f t="shared" si="54"/>
        <v>Expert</v>
      </c>
      <c r="U881" t="str">
        <f t="shared" si="55"/>
        <v>Low Impact</v>
      </c>
    </row>
    <row r="882" spans="1:21" x14ac:dyDescent="0.3">
      <c r="A882" t="s">
        <v>158</v>
      </c>
      <c r="B882">
        <v>55</v>
      </c>
      <c r="C882" t="s">
        <v>18</v>
      </c>
      <c r="D882" t="s">
        <v>34</v>
      </c>
      <c r="E882" t="s">
        <v>59</v>
      </c>
      <c r="F882" t="s">
        <v>60</v>
      </c>
      <c r="G882">
        <v>32</v>
      </c>
      <c r="H882" t="s">
        <v>31</v>
      </c>
      <c r="I882" t="s">
        <v>31</v>
      </c>
      <c r="J882" t="s">
        <v>25</v>
      </c>
      <c r="K882" s="2">
        <v>85393</v>
      </c>
      <c r="L882" s="2">
        <v>89278</v>
      </c>
      <c r="M882" t="s">
        <v>32</v>
      </c>
      <c r="N882">
        <v>53</v>
      </c>
      <c r="O882" t="s">
        <v>23</v>
      </c>
      <c r="P882">
        <v>9</v>
      </c>
      <c r="Q882" s="1">
        <v>13.29</v>
      </c>
      <c r="R882" s="2">
        <f t="shared" si="52"/>
        <v>3885</v>
      </c>
      <c r="S882" s="1">
        <f t="shared" si="53"/>
        <v>4.5495532420690221</v>
      </c>
      <c r="T882" t="str">
        <f t="shared" si="54"/>
        <v>Expert</v>
      </c>
      <c r="U882" t="str">
        <f t="shared" si="55"/>
        <v>Low Impact</v>
      </c>
    </row>
    <row r="883" spans="1:21" x14ac:dyDescent="0.3">
      <c r="A883" t="s">
        <v>510</v>
      </c>
      <c r="B883">
        <v>44</v>
      </c>
      <c r="C883" t="s">
        <v>27</v>
      </c>
      <c r="D883" t="s">
        <v>28</v>
      </c>
      <c r="E883" t="s">
        <v>51</v>
      </c>
      <c r="F883" t="s">
        <v>52</v>
      </c>
      <c r="G883">
        <v>21</v>
      </c>
      <c r="H883" t="s">
        <v>22</v>
      </c>
      <c r="I883" t="s">
        <v>22</v>
      </c>
      <c r="J883" t="s">
        <v>25</v>
      </c>
      <c r="K883" s="2">
        <v>110905</v>
      </c>
      <c r="L883" s="2">
        <v>143384</v>
      </c>
      <c r="M883" t="s">
        <v>38</v>
      </c>
      <c r="N883">
        <v>54</v>
      </c>
      <c r="O883" t="s">
        <v>23</v>
      </c>
      <c r="P883">
        <v>4</v>
      </c>
      <c r="Q883" s="1">
        <v>13.28</v>
      </c>
      <c r="R883" s="2">
        <f t="shared" si="52"/>
        <v>32479</v>
      </c>
      <c r="S883" s="1">
        <f t="shared" si="53"/>
        <v>29.285424462377712</v>
      </c>
      <c r="T883" t="str">
        <f t="shared" si="54"/>
        <v>Expert</v>
      </c>
      <c r="U883" t="str">
        <f t="shared" si="55"/>
        <v>Medium Impact</v>
      </c>
    </row>
    <row r="884" spans="1:21" x14ac:dyDescent="0.3">
      <c r="A884" t="s">
        <v>783</v>
      </c>
      <c r="B884">
        <v>54</v>
      </c>
      <c r="C884" t="s">
        <v>18</v>
      </c>
      <c r="D884" t="s">
        <v>40</v>
      </c>
      <c r="E884" t="s">
        <v>29</v>
      </c>
      <c r="F884" t="s">
        <v>102</v>
      </c>
      <c r="G884">
        <v>28</v>
      </c>
      <c r="H884" t="s">
        <v>37</v>
      </c>
      <c r="I884" t="s">
        <v>31</v>
      </c>
      <c r="J884" t="s">
        <v>23</v>
      </c>
      <c r="K884" s="2">
        <v>70222</v>
      </c>
      <c r="L884" s="2">
        <v>69998</v>
      </c>
      <c r="M884" t="s">
        <v>32</v>
      </c>
      <c r="N884">
        <v>48</v>
      </c>
      <c r="O884" t="s">
        <v>23</v>
      </c>
      <c r="P884">
        <v>8</v>
      </c>
      <c r="Q884" s="1">
        <v>13.26</v>
      </c>
      <c r="R884" s="2">
        <f t="shared" si="52"/>
        <v>-224</v>
      </c>
      <c r="S884" s="1">
        <f t="shared" si="53"/>
        <v>-0.31898835122895958</v>
      </c>
      <c r="T884" t="str">
        <f t="shared" si="54"/>
        <v>Expert</v>
      </c>
      <c r="U884" t="str">
        <f t="shared" si="55"/>
        <v>Low Impact</v>
      </c>
    </row>
    <row r="885" spans="1:21" x14ac:dyDescent="0.3">
      <c r="A885" t="s">
        <v>1350</v>
      </c>
      <c r="B885">
        <v>25</v>
      </c>
      <c r="C885" t="s">
        <v>27</v>
      </c>
      <c r="D885" t="s">
        <v>28</v>
      </c>
      <c r="E885" t="s">
        <v>35</v>
      </c>
      <c r="F885" t="s">
        <v>98</v>
      </c>
      <c r="G885">
        <v>2</v>
      </c>
      <c r="H885" t="s">
        <v>37</v>
      </c>
      <c r="I885" t="s">
        <v>22</v>
      </c>
      <c r="J885" t="s">
        <v>25</v>
      </c>
      <c r="K885" s="2">
        <v>44260</v>
      </c>
      <c r="L885" s="2">
        <v>41805</v>
      </c>
      <c r="M885" t="s">
        <v>32</v>
      </c>
      <c r="N885">
        <v>49</v>
      </c>
      <c r="O885" t="s">
        <v>23</v>
      </c>
      <c r="P885">
        <v>3</v>
      </c>
      <c r="Q885" s="1">
        <v>13.26</v>
      </c>
      <c r="R885" s="2">
        <f t="shared" si="52"/>
        <v>-2455</v>
      </c>
      <c r="S885" s="1">
        <f t="shared" si="53"/>
        <v>-5.546769091730682</v>
      </c>
      <c r="T885" t="str">
        <f t="shared" si="54"/>
        <v>Beginner</v>
      </c>
      <c r="U885" t="str">
        <f t="shared" si="55"/>
        <v>Low Impact</v>
      </c>
    </row>
    <row r="886" spans="1:21" x14ac:dyDescent="0.3">
      <c r="A886" t="s">
        <v>1564</v>
      </c>
      <c r="B886">
        <v>40</v>
      </c>
      <c r="C886" t="s">
        <v>18</v>
      </c>
      <c r="D886" t="s">
        <v>28</v>
      </c>
      <c r="E886" t="s">
        <v>20</v>
      </c>
      <c r="F886" t="s">
        <v>88</v>
      </c>
      <c r="G886">
        <v>16</v>
      </c>
      <c r="H886" t="s">
        <v>37</v>
      </c>
      <c r="I886" t="s">
        <v>22</v>
      </c>
      <c r="J886" t="s">
        <v>23</v>
      </c>
      <c r="K886" s="2">
        <v>80100</v>
      </c>
      <c r="L886" s="2">
        <v>84056</v>
      </c>
      <c r="M886" t="s">
        <v>32</v>
      </c>
      <c r="N886">
        <v>44</v>
      </c>
      <c r="O886" t="s">
        <v>23</v>
      </c>
      <c r="P886">
        <v>5</v>
      </c>
      <c r="Q886" s="1">
        <v>13.25</v>
      </c>
      <c r="R886" s="2">
        <f t="shared" si="52"/>
        <v>3956</v>
      </c>
      <c r="S886" s="1">
        <f t="shared" si="53"/>
        <v>4.9388264669163542</v>
      </c>
      <c r="T886" t="str">
        <f t="shared" si="54"/>
        <v>Expert</v>
      </c>
      <c r="U886" t="str">
        <f t="shared" si="55"/>
        <v>Low Impact</v>
      </c>
    </row>
    <row r="887" spans="1:21" x14ac:dyDescent="0.3">
      <c r="A887" t="s">
        <v>1400</v>
      </c>
      <c r="B887">
        <v>48</v>
      </c>
      <c r="C887" t="s">
        <v>54</v>
      </c>
      <c r="D887" t="s">
        <v>40</v>
      </c>
      <c r="E887" t="s">
        <v>35</v>
      </c>
      <c r="F887" t="s">
        <v>98</v>
      </c>
      <c r="G887">
        <v>23</v>
      </c>
      <c r="H887" t="s">
        <v>37</v>
      </c>
      <c r="I887" t="s">
        <v>22</v>
      </c>
      <c r="J887" t="s">
        <v>25</v>
      </c>
      <c r="K887" s="2">
        <v>74518</v>
      </c>
      <c r="L887" s="2">
        <v>67760</v>
      </c>
      <c r="M887" t="s">
        <v>32</v>
      </c>
      <c r="N887">
        <v>38</v>
      </c>
      <c r="O887" t="s">
        <v>25</v>
      </c>
      <c r="P887">
        <v>8</v>
      </c>
      <c r="Q887" s="1">
        <v>13.25</v>
      </c>
      <c r="R887" s="2">
        <f t="shared" si="52"/>
        <v>-6758</v>
      </c>
      <c r="S887" s="1">
        <f t="shared" si="53"/>
        <v>-9.0689497839448183</v>
      </c>
      <c r="T887" t="str">
        <f t="shared" si="54"/>
        <v>Expert</v>
      </c>
      <c r="U887" t="str">
        <f t="shared" si="55"/>
        <v>Low Impact</v>
      </c>
    </row>
    <row r="888" spans="1:21" x14ac:dyDescent="0.3">
      <c r="A888" t="s">
        <v>76</v>
      </c>
      <c r="B888">
        <v>23</v>
      </c>
      <c r="C888" t="s">
        <v>18</v>
      </c>
      <c r="D888" t="s">
        <v>34</v>
      </c>
      <c r="E888" t="s">
        <v>59</v>
      </c>
      <c r="F888" t="s">
        <v>77</v>
      </c>
      <c r="G888">
        <v>0</v>
      </c>
      <c r="H888" t="s">
        <v>31</v>
      </c>
      <c r="I888" t="s">
        <v>22</v>
      </c>
      <c r="J888" t="s">
        <v>25</v>
      </c>
      <c r="K888" s="2">
        <v>80859</v>
      </c>
      <c r="L888" s="2">
        <v>82247</v>
      </c>
      <c r="M888" t="s">
        <v>32</v>
      </c>
      <c r="N888">
        <v>38</v>
      </c>
      <c r="O888" t="s">
        <v>23</v>
      </c>
      <c r="P888">
        <v>9</v>
      </c>
      <c r="Q888" s="1">
        <v>13.17</v>
      </c>
      <c r="R888" s="2">
        <f t="shared" si="52"/>
        <v>1388</v>
      </c>
      <c r="S888" s="1">
        <f t="shared" si="53"/>
        <v>1.7165683473701134</v>
      </c>
      <c r="T888" t="str">
        <f t="shared" si="54"/>
        <v>Beginner</v>
      </c>
      <c r="U888" t="str">
        <f t="shared" si="55"/>
        <v>Low Impact</v>
      </c>
    </row>
    <row r="889" spans="1:21" x14ac:dyDescent="0.3">
      <c r="A889" t="s">
        <v>1179</v>
      </c>
      <c r="B889">
        <v>33</v>
      </c>
      <c r="C889" t="s">
        <v>18</v>
      </c>
      <c r="D889" t="s">
        <v>28</v>
      </c>
      <c r="E889" t="s">
        <v>44</v>
      </c>
      <c r="F889" t="s">
        <v>57</v>
      </c>
      <c r="G889">
        <v>7</v>
      </c>
      <c r="H889" t="s">
        <v>37</v>
      </c>
      <c r="I889" t="s">
        <v>31</v>
      </c>
      <c r="J889" t="s">
        <v>23</v>
      </c>
      <c r="K889" s="2">
        <v>63349</v>
      </c>
      <c r="L889" s="2">
        <v>67697</v>
      </c>
      <c r="M889" t="s">
        <v>32</v>
      </c>
      <c r="N889">
        <v>43</v>
      </c>
      <c r="O889" t="s">
        <v>23</v>
      </c>
      <c r="P889">
        <v>4</v>
      </c>
      <c r="Q889" s="1">
        <v>13.16</v>
      </c>
      <c r="R889" s="2">
        <f t="shared" si="52"/>
        <v>4348</v>
      </c>
      <c r="S889" s="1">
        <f t="shared" si="53"/>
        <v>6.8635653285766152</v>
      </c>
      <c r="T889" t="str">
        <f t="shared" si="54"/>
        <v>Intermediate</v>
      </c>
      <c r="U889" t="str">
        <f t="shared" si="55"/>
        <v>Low Impact</v>
      </c>
    </row>
    <row r="890" spans="1:21" x14ac:dyDescent="0.3">
      <c r="A890" t="s">
        <v>1037</v>
      </c>
      <c r="B890">
        <v>46</v>
      </c>
      <c r="C890" t="s">
        <v>18</v>
      </c>
      <c r="D890" t="s">
        <v>40</v>
      </c>
      <c r="E890" t="s">
        <v>44</v>
      </c>
      <c r="F890" t="s">
        <v>45</v>
      </c>
      <c r="G890">
        <v>22</v>
      </c>
      <c r="H890" t="s">
        <v>22</v>
      </c>
      <c r="I890" t="s">
        <v>22</v>
      </c>
      <c r="J890" t="s">
        <v>25</v>
      </c>
      <c r="K890" s="2">
        <v>34551</v>
      </c>
      <c r="L890" s="2">
        <v>32682</v>
      </c>
      <c r="M890" t="s">
        <v>38</v>
      </c>
      <c r="N890">
        <v>40</v>
      </c>
      <c r="O890" t="s">
        <v>25</v>
      </c>
      <c r="P890">
        <v>7</v>
      </c>
      <c r="Q890" s="1">
        <v>13.03</v>
      </c>
      <c r="R890" s="2">
        <f t="shared" si="52"/>
        <v>-1869</v>
      </c>
      <c r="S890" s="1">
        <f t="shared" si="53"/>
        <v>-5.4093948076756098</v>
      </c>
      <c r="T890" t="str">
        <f t="shared" si="54"/>
        <v>Expert</v>
      </c>
      <c r="U890" t="str">
        <f t="shared" si="55"/>
        <v>Medium Impact</v>
      </c>
    </row>
    <row r="891" spans="1:21" x14ac:dyDescent="0.3">
      <c r="A891" t="s">
        <v>333</v>
      </c>
      <c r="B891">
        <v>57</v>
      </c>
      <c r="C891" t="s">
        <v>27</v>
      </c>
      <c r="D891" t="s">
        <v>19</v>
      </c>
      <c r="E891" t="s">
        <v>41</v>
      </c>
      <c r="F891" t="s">
        <v>49</v>
      </c>
      <c r="G891">
        <v>32</v>
      </c>
      <c r="H891" t="s">
        <v>31</v>
      </c>
      <c r="I891" t="s">
        <v>31</v>
      </c>
      <c r="J891" t="s">
        <v>23</v>
      </c>
      <c r="K891" s="2">
        <v>42149</v>
      </c>
      <c r="L891" s="2">
        <v>45137</v>
      </c>
      <c r="M891" t="s">
        <v>32</v>
      </c>
      <c r="N891">
        <v>47</v>
      </c>
      <c r="O891" t="s">
        <v>25</v>
      </c>
      <c r="P891">
        <v>4</v>
      </c>
      <c r="Q891" s="1">
        <v>13.01</v>
      </c>
      <c r="R891" s="2">
        <f t="shared" si="52"/>
        <v>2988</v>
      </c>
      <c r="S891" s="1">
        <f t="shared" si="53"/>
        <v>7.089136159813993</v>
      </c>
      <c r="T891" t="str">
        <f t="shared" si="54"/>
        <v>Expert</v>
      </c>
      <c r="U891" t="str">
        <f t="shared" si="55"/>
        <v>Low Impact</v>
      </c>
    </row>
    <row r="892" spans="1:21" x14ac:dyDescent="0.3">
      <c r="A892" t="s">
        <v>1173</v>
      </c>
      <c r="B892">
        <v>48</v>
      </c>
      <c r="C892" t="s">
        <v>54</v>
      </c>
      <c r="D892" t="s">
        <v>28</v>
      </c>
      <c r="E892" t="s">
        <v>59</v>
      </c>
      <c r="F892" t="s">
        <v>77</v>
      </c>
      <c r="G892">
        <v>23</v>
      </c>
      <c r="H892" t="s">
        <v>37</v>
      </c>
      <c r="I892" t="s">
        <v>22</v>
      </c>
      <c r="J892" t="s">
        <v>25</v>
      </c>
      <c r="K892" s="2">
        <v>101017</v>
      </c>
      <c r="L892" s="2">
        <v>104260</v>
      </c>
      <c r="M892" t="s">
        <v>32</v>
      </c>
      <c r="N892">
        <v>52</v>
      </c>
      <c r="O892" t="s">
        <v>25</v>
      </c>
      <c r="P892">
        <v>6</v>
      </c>
      <c r="Q892" s="1">
        <v>12.93</v>
      </c>
      <c r="R892" s="2">
        <f t="shared" si="52"/>
        <v>3243</v>
      </c>
      <c r="S892" s="1">
        <f t="shared" si="53"/>
        <v>3.2103507330449332</v>
      </c>
      <c r="T892" t="str">
        <f t="shared" si="54"/>
        <v>Expert</v>
      </c>
      <c r="U892" t="str">
        <f t="shared" si="55"/>
        <v>Low Impact</v>
      </c>
    </row>
    <row r="893" spans="1:21" x14ac:dyDescent="0.3">
      <c r="A893" t="s">
        <v>638</v>
      </c>
      <c r="B893">
        <v>49</v>
      </c>
      <c r="C893" t="s">
        <v>54</v>
      </c>
      <c r="D893" t="s">
        <v>19</v>
      </c>
      <c r="E893" t="s">
        <v>29</v>
      </c>
      <c r="F893" t="s">
        <v>104</v>
      </c>
      <c r="G893">
        <v>24</v>
      </c>
      <c r="H893" t="s">
        <v>31</v>
      </c>
      <c r="I893" t="s">
        <v>22</v>
      </c>
      <c r="J893" t="s">
        <v>23</v>
      </c>
      <c r="K893" s="2">
        <v>47889</v>
      </c>
      <c r="L893" s="2">
        <v>51045</v>
      </c>
      <c r="M893" t="s">
        <v>32</v>
      </c>
      <c r="N893">
        <v>38</v>
      </c>
      <c r="O893" t="s">
        <v>23</v>
      </c>
      <c r="P893">
        <v>3</v>
      </c>
      <c r="Q893" s="1">
        <v>12.91</v>
      </c>
      <c r="R893" s="2">
        <f t="shared" si="52"/>
        <v>3156</v>
      </c>
      <c r="S893" s="1">
        <f t="shared" si="53"/>
        <v>6.5902399298377503</v>
      </c>
      <c r="T893" t="str">
        <f t="shared" si="54"/>
        <v>Expert</v>
      </c>
      <c r="U893" t="str">
        <f t="shared" si="55"/>
        <v>Low Impact</v>
      </c>
    </row>
    <row r="894" spans="1:21" x14ac:dyDescent="0.3">
      <c r="A894" t="s">
        <v>323</v>
      </c>
      <c r="B894">
        <v>33</v>
      </c>
      <c r="C894" t="s">
        <v>27</v>
      </c>
      <c r="D894" t="s">
        <v>19</v>
      </c>
      <c r="E894" t="s">
        <v>44</v>
      </c>
      <c r="F894" t="s">
        <v>45</v>
      </c>
      <c r="G894">
        <v>10</v>
      </c>
      <c r="H894" t="s">
        <v>22</v>
      </c>
      <c r="I894" t="s">
        <v>37</v>
      </c>
      <c r="J894" t="s">
        <v>23</v>
      </c>
      <c r="K894" s="2">
        <v>39108</v>
      </c>
      <c r="L894" s="2">
        <v>40212</v>
      </c>
      <c r="M894" t="s">
        <v>38</v>
      </c>
      <c r="N894">
        <v>35</v>
      </c>
      <c r="O894" t="s">
        <v>25</v>
      </c>
      <c r="P894">
        <v>3</v>
      </c>
      <c r="Q894" s="1">
        <v>12.91</v>
      </c>
      <c r="R894" s="2">
        <f t="shared" si="52"/>
        <v>1104</v>
      </c>
      <c r="S894" s="1">
        <f t="shared" si="53"/>
        <v>2.822951825713409</v>
      </c>
      <c r="T894" t="str">
        <f t="shared" si="54"/>
        <v>Intermediate</v>
      </c>
      <c r="U894" t="str">
        <f t="shared" si="55"/>
        <v>Medium Impact</v>
      </c>
    </row>
    <row r="895" spans="1:21" x14ac:dyDescent="0.3">
      <c r="A895" t="s">
        <v>369</v>
      </c>
      <c r="B895">
        <v>53</v>
      </c>
      <c r="C895" t="s">
        <v>18</v>
      </c>
      <c r="D895" t="s">
        <v>19</v>
      </c>
      <c r="E895" t="s">
        <v>41</v>
      </c>
      <c r="F895" t="s">
        <v>55</v>
      </c>
      <c r="G895">
        <v>28</v>
      </c>
      <c r="H895" t="s">
        <v>22</v>
      </c>
      <c r="I895" t="s">
        <v>22</v>
      </c>
      <c r="J895" t="s">
        <v>23</v>
      </c>
      <c r="K895" s="2">
        <v>71424</v>
      </c>
      <c r="L895" s="2">
        <v>61841</v>
      </c>
      <c r="M895" t="s">
        <v>24</v>
      </c>
      <c r="N895">
        <v>54</v>
      </c>
      <c r="O895" t="s">
        <v>25</v>
      </c>
      <c r="P895">
        <v>9</v>
      </c>
      <c r="Q895" s="1">
        <v>12.88</v>
      </c>
      <c r="R895" s="2">
        <f t="shared" si="52"/>
        <v>-9583</v>
      </c>
      <c r="S895" s="1">
        <f t="shared" si="53"/>
        <v>-13.417058691756273</v>
      </c>
      <c r="T895" t="str">
        <f t="shared" si="54"/>
        <v>Expert</v>
      </c>
      <c r="U895" t="str">
        <f t="shared" si="55"/>
        <v>High Impact</v>
      </c>
    </row>
    <row r="896" spans="1:21" x14ac:dyDescent="0.3">
      <c r="A896" t="s">
        <v>900</v>
      </c>
      <c r="B896">
        <v>27</v>
      </c>
      <c r="C896" t="s">
        <v>54</v>
      </c>
      <c r="D896" t="s">
        <v>34</v>
      </c>
      <c r="E896" t="s">
        <v>41</v>
      </c>
      <c r="F896" t="s">
        <v>49</v>
      </c>
      <c r="G896">
        <v>5</v>
      </c>
      <c r="H896" t="s">
        <v>31</v>
      </c>
      <c r="I896" t="s">
        <v>31</v>
      </c>
      <c r="J896" t="s">
        <v>25</v>
      </c>
      <c r="K896" s="2">
        <v>38320</v>
      </c>
      <c r="L896" s="2">
        <v>37299</v>
      </c>
      <c r="M896" t="s">
        <v>32</v>
      </c>
      <c r="N896">
        <v>40</v>
      </c>
      <c r="O896" t="s">
        <v>25</v>
      </c>
      <c r="P896">
        <v>5</v>
      </c>
      <c r="Q896" s="1">
        <v>12.82</v>
      </c>
      <c r="R896" s="2">
        <f t="shared" si="52"/>
        <v>-1021</v>
      </c>
      <c r="S896" s="1">
        <f t="shared" si="53"/>
        <v>-2.6644050104384132</v>
      </c>
      <c r="T896" t="str">
        <f t="shared" si="54"/>
        <v>Intermediate</v>
      </c>
      <c r="U896" t="str">
        <f t="shared" si="55"/>
        <v>Low Impact</v>
      </c>
    </row>
    <row r="897" spans="1:21" x14ac:dyDescent="0.3">
      <c r="A897" t="s">
        <v>133</v>
      </c>
      <c r="B897">
        <v>35</v>
      </c>
      <c r="C897" t="s">
        <v>54</v>
      </c>
      <c r="D897" t="s">
        <v>34</v>
      </c>
      <c r="E897" t="s">
        <v>41</v>
      </c>
      <c r="F897" t="s">
        <v>42</v>
      </c>
      <c r="G897">
        <v>12</v>
      </c>
      <c r="H897" t="s">
        <v>31</v>
      </c>
      <c r="I897" t="s">
        <v>31</v>
      </c>
      <c r="J897" t="s">
        <v>25</v>
      </c>
      <c r="K897" s="2">
        <v>39348</v>
      </c>
      <c r="L897" s="2">
        <v>41730</v>
      </c>
      <c r="M897" t="s">
        <v>32</v>
      </c>
      <c r="N897">
        <v>45</v>
      </c>
      <c r="O897" t="s">
        <v>25</v>
      </c>
      <c r="P897">
        <v>4</v>
      </c>
      <c r="Q897" s="1">
        <v>12.75</v>
      </c>
      <c r="R897" s="2">
        <f t="shared" si="52"/>
        <v>2382</v>
      </c>
      <c r="S897" s="1">
        <f t="shared" si="53"/>
        <v>6.053674900884416</v>
      </c>
      <c r="T897" t="str">
        <f t="shared" si="54"/>
        <v>Intermediate</v>
      </c>
      <c r="U897" t="str">
        <f t="shared" si="55"/>
        <v>Low Impact</v>
      </c>
    </row>
    <row r="898" spans="1:21" x14ac:dyDescent="0.3">
      <c r="A898" t="s">
        <v>1867</v>
      </c>
      <c r="B898">
        <v>26</v>
      </c>
      <c r="C898" t="s">
        <v>18</v>
      </c>
      <c r="D898" t="s">
        <v>34</v>
      </c>
      <c r="E898" t="s">
        <v>44</v>
      </c>
      <c r="F898" t="s">
        <v>47</v>
      </c>
      <c r="G898">
        <v>4</v>
      </c>
      <c r="H898" t="s">
        <v>22</v>
      </c>
      <c r="I898" t="s">
        <v>31</v>
      </c>
      <c r="J898" t="s">
        <v>25</v>
      </c>
      <c r="K898" s="2">
        <v>101540</v>
      </c>
      <c r="L898" s="2">
        <v>120613</v>
      </c>
      <c r="M898" t="s">
        <v>32</v>
      </c>
      <c r="N898">
        <v>54</v>
      </c>
      <c r="O898" t="s">
        <v>23</v>
      </c>
      <c r="P898">
        <v>4</v>
      </c>
      <c r="Q898" s="1">
        <v>12.72</v>
      </c>
      <c r="R898" s="2">
        <f t="shared" ref="R898:R961" si="56">L898-K898</f>
        <v>19073</v>
      </c>
      <c r="S898" s="1">
        <f t="shared" ref="S898:S961" si="57">(L898-K898)/K898*100</f>
        <v>18.783730549537129</v>
      </c>
      <c r="T898" t="str">
        <f t="shared" ref="T898:T961" si="58">IF(G898&lt;5,"Beginner",IF(G898&lt;15,"Intermediate","Expert"))</f>
        <v>Beginner</v>
      </c>
      <c r="U898" t="str">
        <f t="shared" ref="U898:U961" si="59">IF(M898="Replaced","High Impact",IF(M898="Modified","Medium Impact","Low Impact"))</f>
        <v>Low Impact</v>
      </c>
    </row>
    <row r="899" spans="1:21" x14ac:dyDescent="0.3">
      <c r="A899" t="s">
        <v>487</v>
      </c>
      <c r="B899">
        <v>42</v>
      </c>
      <c r="C899" t="s">
        <v>18</v>
      </c>
      <c r="D899" t="s">
        <v>28</v>
      </c>
      <c r="E899" t="s">
        <v>35</v>
      </c>
      <c r="F899" t="s">
        <v>132</v>
      </c>
      <c r="G899">
        <v>17</v>
      </c>
      <c r="H899" t="s">
        <v>37</v>
      </c>
      <c r="I899" t="s">
        <v>37</v>
      </c>
      <c r="J899" t="s">
        <v>25</v>
      </c>
      <c r="K899" s="2">
        <v>104027</v>
      </c>
      <c r="L899" s="2">
        <v>119548</v>
      </c>
      <c r="M899" t="s">
        <v>38</v>
      </c>
      <c r="N899">
        <v>35</v>
      </c>
      <c r="O899" t="s">
        <v>25</v>
      </c>
      <c r="P899">
        <v>6</v>
      </c>
      <c r="Q899" s="1">
        <v>12.69</v>
      </c>
      <c r="R899" s="2">
        <f t="shared" si="56"/>
        <v>15521</v>
      </c>
      <c r="S899" s="1">
        <f t="shared" si="57"/>
        <v>14.920164957174581</v>
      </c>
      <c r="T899" t="str">
        <f t="shared" si="58"/>
        <v>Expert</v>
      </c>
      <c r="U899" t="str">
        <f t="shared" si="59"/>
        <v>Medium Impact</v>
      </c>
    </row>
    <row r="900" spans="1:21" x14ac:dyDescent="0.3">
      <c r="A900" t="s">
        <v>537</v>
      </c>
      <c r="B900">
        <v>30</v>
      </c>
      <c r="C900" t="s">
        <v>27</v>
      </c>
      <c r="D900" t="s">
        <v>28</v>
      </c>
      <c r="E900" t="s">
        <v>41</v>
      </c>
      <c r="F900" t="s">
        <v>49</v>
      </c>
      <c r="G900">
        <v>4</v>
      </c>
      <c r="H900" t="s">
        <v>37</v>
      </c>
      <c r="I900" t="s">
        <v>22</v>
      </c>
      <c r="J900" t="s">
        <v>25</v>
      </c>
      <c r="K900" s="2">
        <v>56423</v>
      </c>
      <c r="L900" s="2">
        <v>67560</v>
      </c>
      <c r="M900" t="s">
        <v>32</v>
      </c>
      <c r="N900">
        <v>49</v>
      </c>
      <c r="O900" t="s">
        <v>25</v>
      </c>
      <c r="P900">
        <v>6</v>
      </c>
      <c r="Q900" s="1">
        <v>12.67</v>
      </c>
      <c r="R900" s="2">
        <f t="shared" si="56"/>
        <v>11137</v>
      </c>
      <c r="S900" s="1">
        <f t="shared" si="57"/>
        <v>19.738404551335449</v>
      </c>
      <c r="T900" t="str">
        <f t="shared" si="58"/>
        <v>Beginner</v>
      </c>
      <c r="U900" t="str">
        <f t="shared" si="59"/>
        <v>Low Impact</v>
      </c>
    </row>
    <row r="901" spans="1:21" x14ac:dyDescent="0.3">
      <c r="A901" t="s">
        <v>1649</v>
      </c>
      <c r="B901">
        <v>52</v>
      </c>
      <c r="C901" t="s">
        <v>18</v>
      </c>
      <c r="D901" t="s">
        <v>40</v>
      </c>
      <c r="E901" t="s">
        <v>29</v>
      </c>
      <c r="F901" t="s">
        <v>102</v>
      </c>
      <c r="G901">
        <v>30</v>
      </c>
      <c r="H901" t="s">
        <v>31</v>
      </c>
      <c r="I901" t="s">
        <v>37</v>
      </c>
      <c r="J901" t="s">
        <v>25</v>
      </c>
      <c r="K901" s="2">
        <v>88596</v>
      </c>
      <c r="L901" s="2">
        <v>89604</v>
      </c>
      <c r="M901" t="s">
        <v>38</v>
      </c>
      <c r="N901">
        <v>51</v>
      </c>
      <c r="O901" t="s">
        <v>25</v>
      </c>
      <c r="P901">
        <v>4</v>
      </c>
      <c r="Q901" s="1">
        <v>12.65</v>
      </c>
      <c r="R901" s="2">
        <f t="shared" si="56"/>
        <v>1008</v>
      </c>
      <c r="S901" s="1">
        <f t="shared" si="57"/>
        <v>1.1377488825680617</v>
      </c>
      <c r="T901" t="str">
        <f t="shared" si="58"/>
        <v>Expert</v>
      </c>
      <c r="U901" t="str">
        <f t="shared" si="59"/>
        <v>Medium Impact</v>
      </c>
    </row>
    <row r="902" spans="1:21" x14ac:dyDescent="0.3">
      <c r="A902" t="s">
        <v>490</v>
      </c>
      <c r="B902">
        <v>42</v>
      </c>
      <c r="C902" t="s">
        <v>54</v>
      </c>
      <c r="D902" t="s">
        <v>40</v>
      </c>
      <c r="E902" t="s">
        <v>51</v>
      </c>
      <c r="F902" t="s">
        <v>75</v>
      </c>
      <c r="G902">
        <v>17</v>
      </c>
      <c r="H902" t="s">
        <v>22</v>
      </c>
      <c r="I902" t="s">
        <v>22</v>
      </c>
      <c r="J902" t="s">
        <v>25</v>
      </c>
      <c r="K902" s="2">
        <v>110388</v>
      </c>
      <c r="L902" s="2">
        <v>119807</v>
      </c>
      <c r="M902" t="s">
        <v>38</v>
      </c>
      <c r="N902">
        <v>53</v>
      </c>
      <c r="O902" t="s">
        <v>23</v>
      </c>
      <c r="P902">
        <v>9</v>
      </c>
      <c r="Q902" s="1">
        <v>12.58</v>
      </c>
      <c r="R902" s="2">
        <f t="shared" si="56"/>
        <v>9419</v>
      </c>
      <c r="S902" s="1">
        <f t="shared" si="57"/>
        <v>8.5326303583722876</v>
      </c>
      <c r="T902" t="str">
        <f t="shared" si="58"/>
        <v>Expert</v>
      </c>
      <c r="U902" t="str">
        <f t="shared" si="59"/>
        <v>Medium Impact</v>
      </c>
    </row>
    <row r="903" spans="1:21" x14ac:dyDescent="0.3">
      <c r="A903" t="s">
        <v>58</v>
      </c>
      <c r="B903">
        <v>45</v>
      </c>
      <c r="C903" t="s">
        <v>18</v>
      </c>
      <c r="D903" t="s">
        <v>28</v>
      </c>
      <c r="E903" t="s">
        <v>59</v>
      </c>
      <c r="F903" t="s">
        <v>60</v>
      </c>
      <c r="G903">
        <v>22</v>
      </c>
      <c r="H903" t="s">
        <v>37</v>
      </c>
      <c r="I903" t="s">
        <v>22</v>
      </c>
      <c r="J903" t="s">
        <v>25</v>
      </c>
      <c r="K903" s="2">
        <v>93704</v>
      </c>
      <c r="L903" s="2">
        <v>92231</v>
      </c>
      <c r="M903" t="s">
        <v>32</v>
      </c>
      <c r="N903">
        <v>43</v>
      </c>
      <c r="O903" t="s">
        <v>25</v>
      </c>
      <c r="P903">
        <v>7</v>
      </c>
      <c r="Q903" s="1">
        <v>12.56</v>
      </c>
      <c r="R903" s="2">
        <f t="shared" si="56"/>
        <v>-1473</v>
      </c>
      <c r="S903" s="1">
        <f t="shared" si="57"/>
        <v>-1.5719713139246991</v>
      </c>
      <c r="T903" t="str">
        <f t="shared" si="58"/>
        <v>Expert</v>
      </c>
      <c r="U903" t="str">
        <f t="shared" si="59"/>
        <v>Low Impact</v>
      </c>
    </row>
    <row r="904" spans="1:21" x14ac:dyDescent="0.3">
      <c r="A904" t="s">
        <v>1374</v>
      </c>
      <c r="B904">
        <v>52</v>
      </c>
      <c r="C904" t="s">
        <v>18</v>
      </c>
      <c r="D904" t="s">
        <v>28</v>
      </c>
      <c r="E904" t="s">
        <v>20</v>
      </c>
      <c r="F904" t="s">
        <v>88</v>
      </c>
      <c r="G904">
        <v>26</v>
      </c>
      <c r="H904" t="s">
        <v>22</v>
      </c>
      <c r="I904" t="s">
        <v>37</v>
      </c>
      <c r="J904" t="s">
        <v>23</v>
      </c>
      <c r="K904" s="2">
        <v>89884</v>
      </c>
      <c r="L904" s="2">
        <v>108344</v>
      </c>
      <c r="M904" t="s">
        <v>38</v>
      </c>
      <c r="N904">
        <v>38</v>
      </c>
      <c r="O904" t="s">
        <v>25</v>
      </c>
      <c r="P904">
        <v>8</v>
      </c>
      <c r="Q904" s="1">
        <v>12.55</v>
      </c>
      <c r="R904" s="2">
        <f t="shared" si="56"/>
        <v>18460</v>
      </c>
      <c r="S904" s="1">
        <f t="shared" si="57"/>
        <v>20.53758177206177</v>
      </c>
      <c r="T904" t="str">
        <f t="shared" si="58"/>
        <v>Expert</v>
      </c>
      <c r="U904" t="str">
        <f t="shared" si="59"/>
        <v>Medium Impact</v>
      </c>
    </row>
    <row r="905" spans="1:21" x14ac:dyDescent="0.3">
      <c r="A905" t="s">
        <v>1404</v>
      </c>
      <c r="B905">
        <v>23</v>
      </c>
      <c r="C905" t="s">
        <v>54</v>
      </c>
      <c r="D905" t="s">
        <v>40</v>
      </c>
      <c r="E905" t="s">
        <v>59</v>
      </c>
      <c r="F905" t="s">
        <v>77</v>
      </c>
      <c r="G905">
        <v>0</v>
      </c>
      <c r="H905" t="s">
        <v>22</v>
      </c>
      <c r="I905" t="s">
        <v>31</v>
      </c>
      <c r="J905" t="s">
        <v>23</v>
      </c>
      <c r="K905" s="2">
        <v>98304</v>
      </c>
      <c r="L905" s="2">
        <v>133713</v>
      </c>
      <c r="M905" t="s">
        <v>32</v>
      </c>
      <c r="N905">
        <v>42</v>
      </c>
      <c r="O905" t="s">
        <v>25</v>
      </c>
      <c r="P905">
        <v>8</v>
      </c>
      <c r="Q905" s="1">
        <v>12.54</v>
      </c>
      <c r="R905" s="2">
        <f t="shared" si="56"/>
        <v>35409</v>
      </c>
      <c r="S905" s="1">
        <f t="shared" si="57"/>
        <v>36.0198974609375</v>
      </c>
      <c r="T905" t="str">
        <f t="shared" si="58"/>
        <v>Beginner</v>
      </c>
      <c r="U905" t="str">
        <f t="shared" si="59"/>
        <v>Low Impact</v>
      </c>
    </row>
    <row r="906" spans="1:21" x14ac:dyDescent="0.3">
      <c r="A906" t="s">
        <v>1759</v>
      </c>
      <c r="B906">
        <v>58</v>
      </c>
      <c r="C906" t="s">
        <v>54</v>
      </c>
      <c r="D906" t="s">
        <v>28</v>
      </c>
      <c r="E906" t="s">
        <v>41</v>
      </c>
      <c r="F906" t="s">
        <v>49</v>
      </c>
      <c r="G906">
        <v>33</v>
      </c>
      <c r="H906" t="s">
        <v>22</v>
      </c>
      <c r="I906" t="s">
        <v>31</v>
      </c>
      <c r="J906" t="s">
        <v>25</v>
      </c>
      <c r="K906" s="2">
        <v>73923</v>
      </c>
      <c r="L906" s="2">
        <v>100737</v>
      </c>
      <c r="M906" t="s">
        <v>32</v>
      </c>
      <c r="N906">
        <v>54</v>
      </c>
      <c r="O906" t="s">
        <v>23</v>
      </c>
      <c r="P906">
        <v>3</v>
      </c>
      <c r="Q906" s="1">
        <v>12.54</v>
      </c>
      <c r="R906" s="2">
        <f t="shared" si="56"/>
        <v>26814</v>
      </c>
      <c r="S906" s="1">
        <f t="shared" si="57"/>
        <v>36.272878535773714</v>
      </c>
      <c r="T906" t="str">
        <f t="shared" si="58"/>
        <v>Expert</v>
      </c>
      <c r="U906" t="str">
        <f t="shared" si="59"/>
        <v>Low Impact</v>
      </c>
    </row>
    <row r="907" spans="1:21" x14ac:dyDescent="0.3">
      <c r="A907" t="s">
        <v>1310</v>
      </c>
      <c r="B907">
        <v>22</v>
      </c>
      <c r="C907" t="s">
        <v>27</v>
      </c>
      <c r="D907" t="s">
        <v>28</v>
      </c>
      <c r="E907" t="s">
        <v>59</v>
      </c>
      <c r="F907" t="s">
        <v>93</v>
      </c>
      <c r="G907">
        <v>0</v>
      </c>
      <c r="H907" t="s">
        <v>22</v>
      </c>
      <c r="I907" t="s">
        <v>37</v>
      </c>
      <c r="J907" t="s">
        <v>25</v>
      </c>
      <c r="K907" s="2">
        <v>102943</v>
      </c>
      <c r="L907" s="2">
        <v>132553</v>
      </c>
      <c r="M907" t="s">
        <v>38</v>
      </c>
      <c r="N907">
        <v>43</v>
      </c>
      <c r="O907" t="s">
        <v>25</v>
      </c>
      <c r="P907">
        <v>7</v>
      </c>
      <c r="Q907" s="1">
        <v>12.51</v>
      </c>
      <c r="R907" s="2">
        <f t="shared" si="56"/>
        <v>29610</v>
      </c>
      <c r="S907" s="1">
        <f t="shared" si="57"/>
        <v>28.763490475311581</v>
      </c>
      <c r="T907" t="str">
        <f t="shared" si="58"/>
        <v>Beginner</v>
      </c>
      <c r="U907" t="str">
        <f t="shared" si="59"/>
        <v>Medium Impact</v>
      </c>
    </row>
    <row r="908" spans="1:21" x14ac:dyDescent="0.3">
      <c r="A908" t="s">
        <v>434</v>
      </c>
      <c r="B908">
        <v>49</v>
      </c>
      <c r="C908" t="s">
        <v>18</v>
      </c>
      <c r="D908" t="s">
        <v>19</v>
      </c>
      <c r="E908" t="s">
        <v>41</v>
      </c>
      <c r="F908" t="s">
        <v>49</v>
      </c>
      <c r="G908">
        <v>23</v>
      </c>
      <c r="H908" t="s">
        <v>31</v>
      </c>
      <c r="I908" t="s">
        <v>31</v>
      </c>
      <c r="J908" t="s">
        <v>23</v>
      </c>
      <c r="K908" s="2">
        <v>79416</v>
      </c>
      <c r="L908" s="2">
        <v>85202</v>
      </c>
      <c r="M908" t="s">
        <v>32</v>
      </c>
      <c r="N908">
        <v>53</v>
      </c>
      <c r="O908" t="s">
        <v>23</v>
      </c>
      <c r="P908">
        <v>6</v>
      </c>
      <c r="Q908" s="1">
        <v>12.45</v>
      </c>
      <c r="R908" s="2">
        <f t="shared" si="56"/>
        <v>5786</v>
      </c>
      <c r="S908" s="1">
        <f t="shared" si="57"/>
        <v>7.2856855041805186</v>
      </c>
      <c r="T908" t="str">
        <f t="shared" si="58"/>
        <v>Expert</v>
      </c>
      <c r="U908" t="str">
        <f t="shared" si="59"/>
        <v>Low Impact</v>
      </c>
    </row>
    <row r="909" spans="1:21" x14ac:dyDescent="0.3">
      <c r="A909" t="s">
        <v>108</v>
      </c>
      <c r="B909">
        <v>25</v>
      </c>
      <c r="C909" t="s">
        <v>27</v>
      </c>
      <c r="D909" t="s">
        <v>40</v>
      </c>
      <c r="E909" t="s">
        <v>41</v>
      </c>
      <c r="F909" t="s">
        <v>55</v>
      </c>
      <c r="G909">
        <v>0</v>
      </c>
      <c r="H909" t="s">
        <v>31</v>
      </c>
      <c r="I909" t="s">
        <v>22</v>
      </c>
      <c r="J909" t="s">
        <v>25</v>
      </c>
      <c r="K909" s="2">
        <v>88335</v>
      </c>
      <c r="L909" s="2">
        <v>90958</v>
      </c>
      <c r="M909" t="s">
        <v>32</v>
      </c>
      <c r="N909">
        <v>42</v>
      </c>
      <c r="O909" t="s">
        <v>25</v>
      </c>
      <c r="P909">
        <v>6</v>
      </c>
      <c r="Q909" s="1">
        <v>12.44</v>
      </c>
      <c r="R909" s="2">
        <f t="shared" si="56"/>
        <v>2623</v>
      </c>
      <c r="S909" s="1">
        <f t="shared" si="57"/>
        <v>2.9693779362653534</v>
      </c>
      <c r="T909" t="str">
        <f t="shared" si="58"/>
        <v>Beginner</v>
      </c>
      <c r="U909" t="str">
        <f t="shared" si="59"/>
        <v>Low Impact</v>
      </c>
    </row>
    <row r="910" spans="1:21" x14ac:dyDescent="0.3">
      <c r="A910" t="s">
        <v>195</v>
      </c>
      <c r="B910">
        <v>45</v>
      </c>
      <c r="C910" t="s">
        <v>27</v>
      </c>
      <c r="D910" t="s">
        <v>40</v>
      </c>
      <c r="E910" t="s">
        <v>51</v>
      </c>
      <c r="F910" t="s">
        <v>75</v>
      </c>
      <c r="G910">
        <v>20</v>
      </c>
      <c r="H910" t="s">
        <v>37</v>
      </c>
      <c r="I910" t="s">
        <v>37</v>
      </c>
      <c r="J910" t="s">
        <v>23</v>
      </c>
      <c r="K910" s="2">
        <v>70631</v>
      </c>
      <c r="L910" s="2">
        <v>74211</v>
      </c>
      <c r="M910" t="s">
        <v>38</v>
      </c>
      <c r="N910">
        <v>49</v>
      </c>
      <c r="O910" t="s">
        <v>25</v>
      </c>
      <c r="P910">
        <v>6</v>
      </c>
      <c r="Q910" s="1">
        <v>12.39</v>
      </c>
      <c r="R910" s="2">
        <f t="shared" si="56"/>
        <v>3580</v>
      </c>
      <c r="S910" s="1">
        <f t="shared" si="57"/>
        <v>5.068595942291628</v>
      </c>
      <c r="T910" t="str">
        <f t="shared" si="58"/>
        <v>Expert</v>
      </c>
      <c r="U910" t="str">
        <f t="shared" si="59"/>
        <v>Medium Impact</v>
      </c>
    </row>
    <row r="911" spans="1:21" x14ac:dyDescent="0.3">
      <c r="A911" t="s">
        <v>243</v>
      </c>
      <c r="B911">
        <v>47</v>
      </c>
      <c r="C911" t="s">
        <v>54</v>
      </c>
      <c r="D911" t="s">
        <v>40</v>
      </c>
      <c r="E911" t="s">
        <v>20</v>
      </c>
      <c r="F911" t="s">
        <v>118</v>
      </c>
      <c r="G911">
        <v>22</v>
      </c>
      <c r="H911" t="s">
        <v>31</v>
      </c>
      <c r="I911" t="s">
        <v>31</v>
      </c>
      <c r="J911" t="s">
        <v>23</v>
      </c>
      <c r="K911" s="2">
        <v>70998</v>
      </c>
      <c r="L911" s="2">
        <v>70805</v>
      </c>
      <c r="M911" t="s">
        <v>32</v>
      </c>
      <c r="N911">
        <v>47</v>
      </c>
      <c r="O911" t="s">
        <v>23</v>
      </c>
      <c r="P911">
        <v>4</v>
      </c>
      <c r="Q911" s="1">
        <v>12.37</v>
      </c>
      <c r="R911" s="2">
        <f t="shared" si="56"/>
        <v>-193</v>
      </c>
      <c r="S911" s="1">
        <f t="shared" si="57"/>
        <v>-0.27183864334206598</v>
      </c>
      <c r="T911" t="str">
        <f t="shared" si="58"/>
        <v>Expert</v>
      </c>
      <c r="U911" t="str">
        <f t="shared" si="59"/>
        <v>Low Impact</v>
      </c>
    </row>
    <row r="912" spans="1:21" x14ac:dyDescent="0.3">
      <c r="A912" t="s">
        <v>393</v>
      </c>
      <c r="B912">
        <v>48</v>
      </c>
      <c r="C912" t="s">
        <v>27</v>
      </c>
      <c r="D912" t="s">
        <v>28</v>
      </c>
      <c r="E912" t="s">
        <v>41</v>
      </c>
      <c r="F912" t="s">
        <v>49</v>
      </c>
      <c r="G912">
        <v>25</v>
      </c>
      <c r="H912" t="s">
        <v>22</v>
      </c>
      <c r="I912" t="s">
        <v>31</v>
      </c>
      <c r="J912" t="s">
        <v>25</v>
      </c>
      <c r="K912" s="2">
        <v>61656</v>
      </c>
      <c r="L912" s="2">
        <v>63207</v>
      </c>
      <c r="M912" t="s">
        <v>32</v>
      </c>
      <c r="N912">
        <v>38</v>
      </c>
      <c r="O912" t="s">
        <v>23</v>
      </c>
      <c r="P912">
        <v>8</v>
      </c>
      <c r="Q912" s="1">
        <v>12.32</v>
      </c>
      <c r="R912" s="2">
        <f t="shared" si="56"/>
        <v>1551</v>
      </c>
      <c r="S912" s="1">
        <f t="shared" si="57"/>
        <v>2.5155702608018684</v>
      </c>
      <c r="T912" t="str">
        <f t="shared" si="58"/>
        <v>Expert</v>
      </c>
      <c r="U912" t="str">
        <f t="shared" si="59"/>
        <v>Low Impact</v>
      </c>
    </row>
    <row r="913" spans="1:21" x14ac:dyDescent="0.3">
      <c r="A913" t="s">
        <v>609</v>
      </c>
      <c r="B913">
        <v>38</v>
      </c>
      <c r="C913" t="s">
        <v>27</v>
      </c>
      <c r="D913" t="s">
        <v>28</v>
      </c>
      <c r="E913" t="s">
        <v>20</v>
      </c>
      <c r="F913" t="s">
        <v>118</v>
      </c>
      <c r="G913">
        <v>16</v>
      </c>
      <c r="H913" t="s">
        <v>37</v>
      </c>
      <c r="I913" t="s">
        <v>22</v>
      </c>
      <c r="J913" t="s">
        <v>25</v>
      </c>
      <c r="K913" s="2">
        <v>73516</v>
      </c>
      <c r="L913" s="2">
        <v>79054</v>
      </c>
      <c r="M913" t="s">
        <v>32</v>
      </c>
      <c r="N913">
        <v>51</v>
      </c>
      <c r="O913" t="s">
        <v>23</v>
      </c>
      <c r="P913">
        <v>6</v>
      </c>
      <c r="Q913" s="1">
        <v>12.3</v>
      </c>
      <c r="R913" s="2">
        <f t="shared" si="56"/>
        <v>5538</v>
      </c>
      <c r="S913" s="1">
        <f t="shared" si="57"/>
        <v>7.5330540290549006</v>
      </c>
      <c r="T913" t="str">
        <f t="shared" si="58"/>
        <v>Expert</v>
      </c>
      <c r="U913" t="str">
        <f t="shared" si="59"/>
        <v>Low Impact</v>
      </c>
    </row>
    <row r="914" spans="1:21" x14ac:dyDescent="0.3">
      <c r="A914" t="s">
        <v>991</v>
      </c>
      <c r="B914">
        <v>38</v>
      </c>
      <c r="C914" t="s">
        <v>18</v>
      </c>
      <c r="D914" t="s">
        <v>34</v>
      </c>
      <c r="E914" t="s">
        <v>59</v>
      </c>
      <c r="F914" t="s">
        <v>77</v>
      </c>
      <c r="G914">
        <v>12</v>
      </c>
      <c r="H914" t="s">
        <v>31</v>
      </c>
      <c r="I914" t="s">
        <v>22</v>
      </c>
      <c r="J914" t="s">
        <v>25</v>
      </c>
      <c r="K914" s="2">
        <v>117505</v>
      </c>
      <c r="L914" s="2">
        <v>116697</v>
      </c>
      <c r="M914" t="s">
        <v>32</v>
      </c>
      <c r="N914">
        <v>51</v>
      </c>
      <c r="O914" t="s">
        <v>23</v>
      </c>
      <c r="P914">
        <v>9</v>
      </c>
      <c r="Q914" s="1">
        <v>12.29</v>
      </c>
      <c r="R914" s="2">
        <f t="shared" si="56"/>
        <v>-808</v>
      </c>
      <c r="S914" s="1">
        <f t="shared" si="57"/>
        <v>-0.68763031360367644</v>
      </c>
      <c r="T914" t="str">
        <f t="shared" si="58"/>
        <v>Intermediate</v>
      </c>
      <c r="U914" t="str">
        <f t="shared" si="59"/>
        <v>Low Impact</v>
      </c>
    </row>
    <row r="915" spans="1:21" x14ac:dyDescent="0.3">
      <c r="A915" t="s">
        <v>1583</v>
      </c>
      <c r="B915">
        <v>42</v>
      </c>
      <c r="C915" t="s">
        <v>18</v>
      </c>
      <c r="D915" t="s">
        <v>19</v>
      </c>
      <c r="E915" t="s">
        <v>44</v>
      </c>
      <c r="F915" t="s">
        <v>57</v>
      </c>
      <c r="G915">
        <v>20</v>
      </c>
      <c r="H915" t="s">
        <v>37</v>
      </c>
      <c r="I915" t="s">
        <v>22</v>
      </c>
      <c r="J915" t="s">
        <v>25</v>
      </c>
      <c r="K915" s="2">
        <v>92028</v>
      </c>
      <c r="L915" s="2">
        <v>90031</v>
      </c>
      <c r="M915" t="s">
        <v>32</v>
      </c>
      <c r="N915">
        <v>49</v>
      </c>
      <c r="O915" t="s">
        <v>23</v>
      </c>
      <c r="P915">
        <v>7</v>
      </c>
      <c r="Q915" s="1">
        <v>12.28</v>
      </c>
      <c r="R915" s="2">
        <f t="shared" si="56"/>
        <v>-1997</v>
      </c>
      <c r="S915" s="1">
        <f t="shared" si="57"/>
        <v>-2.1699917416438477</v>
      </c>
      <c r="T915" t="str">
        <f t="shared" si="58"/>
        <v>Expert</v>
      </c>
      <c r="U915" t="str">
        <f t="shared" si="59"/>
        <v>Low Impact</v>
      </c>
    </row>
    <row r="916" spans="1:21" x14ac:dyDescent="0.3">
      <c r="A916" t="s">
        <v>1550</v>
      </c>
      <c r="B916">
        <v>44</v>
      </c>
      <c r="C916" t="s">
        <v>54</v>
      </c>
      <c r="D916" t="s">
        <v>19</v>
      </c>
      <c r="E916" t="s">
        <v>35</v>
      </c>
      <c r="F916" t="s">
        <v>36</v>
      </c>
      <c r="G916">
        <v>21</v>
      </c>
      <c r="H916" t="s">
        <v>31</v>
      </c>
      <c r="I916" t="s">
        <v>31</v>
      </c>
      <c r="J916" t="s">
        <v>23</v>
      </c>
      <c r="K916" s="2">
        <v>82328</v>
      </c>
      <c r="L916" s="2">
        <v>88060</v>
      </c>
      <c r="M916" t="s">
        <v>32</v>
      </c>
      <c r="N916">
        <v>37</v>
      </c>
      <c r="O916" t="s">
        <v>23</v>
      </c>
      <c r="P916">
        <v>5</v>
      </c>
      <c r="Q916" s="1">
        <v>12.28</v>
      </c>
      <c r="R916" s="2">
        <f t="shared" si="56"/>
        <v>5732</v>
      </c>
      <c r="S916" s="1">
        <f t="shared" si="57"/>
        <v>6.9623943251384697</v>
      </c>
      <c r="T916" t="str">
        <f t="shared" si="58"/>
        <v>Expert</v>
      </c>
      <c r="U916" t="str">
        <f t="shared" si="59"/>
        <v>Low Impact</v>
      </c>
    </row>
    <row r="917" spans="1:21" x14ac:dyDescent="0.3">
      <c r="A917" t="s">
        <v>1209</v>
      </c>
      <c r="B917">
        <v>55</v>
      </c>
      <c r="C917" t="s">
        <v>54</v>
      </c>
      <c r="D917" t="s">
        <v>28</v>
      </c>
      <c r="E917" t="s">
        <v>35</v>
      </c>
      <c r="F917" t="s">
        <v>98</v>
      </c>
      <c r="G917">
        <v>32</v>
      </c>
      <c r="H917" t="s">
        <v>37</v>
      </c>
      <c r="I917" t="s">
        <v>37</v>
      </c>
      <c r="J917" t="s">
        <v>25</v>
      </c>
      <c r="K917" s="2">
        <v>31353</v>
      </c>
      <c r="L917" s="2">
        <v>29431</v>
      </c>
      <c r="M917" t="s">
        <v>38</v>
      </c>
      <c r="N917">
        <v>46</v>
      </c>
      <c r="O917" t="s">
        <v>23</v>
      </c>
      <c r="P917">
        <v>5</v>
      </c>
      <c r="Q917" s="1">
        <v>12.21</v>
      </c>
      <c r="R917" s="2">
        <f t="shared" si="56"/>
        <v>-1922</v>
      </c>
      <c r="S917" s="1">
        <f t="shared" si="57"/>
        <v>-6.1301948776831567</v>
      </c>
      <c r="T917" t="str">
        <f t="shared" si="58"/>
        <v>Expert</v>
      </c>
      <c r="U917" t="str">
        <f t="shared" si="59"/>
        <v>Medium Impact</v>
      </c>
    </row>
    <row r="918" spans="1:21" x14ac:dyDescent="0.3">
      <c r="A918" t="s">
        <v>1274</v>
      </c>
      <c r="B918">
        <v>45</v>
      </c>
      <c r="C918" t="s">
        <v>27</v>
      </c>
      <c r="D918" t="s">
        <v>34</v>
      </c>
      <c r="E918" t="s">
        <v>41</v>
      </c>
      <c r="F918" t="s">
        <v>55</v>
      </c>
      <c r="G918">
        <v>23</v>
      </c>
      <c r="H918" t="s">
        <v>37</v>
      </c>
      <c r="I918" t="s">
        <v>37</v>
      </c>
      <c r="J918" t="s">
        <v>25</v>
      </c>
      <c r="K918" s="2">
        <v>76930</v>
      </c>
      <c r="L918" s="2">
        <v>73717</v>
      </c>
      <c r="M918" t="s">
        <v>38</v>
      </c>
      <c r="N918">
        <v>42</v>
      </c>
      <c r="O918" t="s">
        <v>25</v>
      </c>
      <c r="P918">
        <v>3</v>
      </c>
      <c r="Q918" s="1">
        <v>12.2</v>
      </c>
      <c r="R918" s="2">
        <f t="shared" si="56"/>
        <v>-3213</v>
      </c>
      <c r="S918" s="1">
        <f t="shared" si="57"/>
        <v>-4.1765241128298447</v>
      </c>
      <c r="T918" t="str">
        <f t="shared" si="58"/>
        <v>Expert</v>
      </c>
      <c r="U918" t="str">
        <f t="shared" si="59"/>
        <v>Medium Impact</v>
      </c>
    </row>
    <row r="919" spans="1:21" x14ac:dyDescent="0.3">
      <c r="A919" t="s">
        <v>194</v>
      </c>
      <c r="B919">
        <v>23</v>
      </c>
      <c r="C919" t="s">
        <v>27</v>
      </c>
      <c r="D919" t="s">
        <v>19</v>
      </c>
      <c r="E919" t="s">
        <v>41</v>
      </c>
      <c r="F919" t="s">
        <v>42</v>
      </c>
      <c r="G919">
        <v>0</v>
      </c>
      <c r="H919" t="s">
        <v>31</v>
      </c>
      <c r="I919" t="s">
        <v>31</v>
      </c>
      <c r="J919" t="s">
        <v>23</v>
      </c>
      <c r="K919" s="2">
        <v>73872</v>
      </c>
      <c r="L919" s="2">
        <v>71318</v>
      </c>
      <c r="M919" t="s">
        <v>32</v>
      </c>
      <c r="N919">
        <v>49</v>
      </c>
      <c r="O919" t="s">
        <v>25</v>
      </c>
      <c r="P919">
        <v>6</v>
      </c>
      <c r="Q919" s="1">
        <v>12.19</v>
      </c>
      <c r="R919" s="2">
        <f t="shared" si="56"/>
        <v>-2554</v>
      </c>
      <c r="S919" s="1">
        <f t="shared" si="57"/>
        <v>-3.4573316006064543</v>
      </c>
      <c r="T919" t="str">
        <f t="shared" si="58"/>
        <v>Beginner</v>
      </c>
      <c r="U919" t="str">
        <f t="shared" si="59"/>
        <v>Low Impact</v>
      </c>
    </row>
    <row r="920" spans="1:21" x14ac:dyDescent="0.3">
      <c r="A920" t="s">
        <v>1355</v>
      </c>
      <c r="B920">
        <v>25</v>
      </c>
      <c r="C920" t="s">
        <v>54</v>
      </c>
      <c r="D920" t="s">
        <v>19</v>
      </c>
      <c r="E920" t="s">
        <v>20</v>
      </c>
      <c r="F920" t="s">
        <v>88</v>
      </c>
      <c r="G920">
        <v>0</v>
      </c>
      <c r="H920" t="s">
        <v>22</v>
      </c>
      <c r="I920" t="s">
        <v>37</v>
      </c>
      <c r="J920" t="s">
        <v>25</v>
      </c>
      <c r="K920" s="2">
        <v>102932</v>
      </c>
      <c r="L920" s="2">
        <v>89526</v>
      </c>
      <c r="M920" t="s">
        <v>38</v>
      </c>
      <c r="N920">
        <v>43</v>
      </c>
      <c r="O920" t="s">
        <v>25</v>
      </c>
      <c r="P920">
        <v>4</v>
      </c>
      <c r="Q920" s="1">
        <v>12.18</v>
      </c>
      <c r="R920" s="2">
        <f t="shared" si="56"/>
        <v>-13406</v>
      </c>
      <c r="S920" s="1">
        <f t="shared" si="57"/>
        <v>-13.024132436948666</v>
      </c>
      <c r="T920" t="str">
        <f t="shared" si="58"/>
        <v>Beginner</v>
      </c>
      <c r="U920" t="str">
        <f t="shared" si="59"/>
        <v>Medium Impact</v>
      </c>
    </row>
    <row r="921" spans="1:21" x14ac:dyDescent="0.3">
      <c r="A921" t="s">
        <v>1113</v>
      </c>
      <c r="B921">
        <v>42</v>
      </c>
      <c r="C921" t="s">
        <v>54</v>
      </c>
      <c r="D921" t="s">
        <v>28</v>
      </c>
      <c r="E921" t="s">
        <v>20</v>
      </c>
      <c r="F921" t="s">
        <v>118</v>
      </c>
      <c r="G921">
        <v>20</v>
      </c>
      <c r="H921" t="s">
        <v>37</v>
      </c>
      <c r="I921" t="s">
        <v>31</v>
      </c>
      <c r="J921" t="s">
        <v>23</v>
      </c>
      <c r="K921" s="2">
        <v>57626</v>
      </c>
      <c r="L921" s="2">
        <v>68291</v>
      </c>
      <c r="M921" t="s">
        <v>32</v>
      </c>
      <c r="N921">
        <v>54</v>
      </c>
      <c r="O921" t="s">
        <v>23</v>
      </c>
      <c r="P921">
        <v>8</v>
      </c>
      <c r="Q921" s="1">
        <v>12.14</v>
      </c>
      <c r="R921" s="2">
        <f t="shared" si="56"/>
        <v>10665</v>
      </c>
      <c r="S921" s="1">
        <f t="shared" si="57"/>
        <v>18.507271023496337</v>
      </c>
      <c r="T921" t="str">
        <f t="shared" si="58"/>
        <v>Expert</v>
      </c>
      <c r="U921" t="str">
        <f t="shared" si="59"/>
        <v>Low Impact</v>
      </c>
    </row>
    <row r="922" spans="1:21" x14ac:dyDescent="0.3">
      <c r="A922" t="s">
        <v>286</v>
      </c>
      <c r="B922">
        <v>31</v>
      </c>
      <c r="C922" t="s">
        <v>27</v>
      </c>
      <c r="D922" t="s">
        <v>28</v>
      </c>
      <c r="E922" t="s">
        <v>51</v>
      </c>
      <c r="F922" t="s">
        <v>52</v>
      </c>
      <c r="G922">
        <v>8</v>
      </c>
      <c r="H922" t="s">
        <v>31</v>
      </c>
      <c r="I922" t="s">
        <v>37</v>
      </c>
      <c r="J922" t="s">
        <v>23</v>
      </c>
      <c r="K922" s="2">
        <v>93483</v>
      </c>
      <c r="L922" s="2">
        <v>89824</v>
      </c>
      <c r="M922" t="s">
        <v>38</v>
      </c>
      <c r="N922">
        <v>43</v>
      </c>
      <c r="O922" t="s">
        <v>23</v>
      </c>
      <c r="P922">
        <v>7</v>
      </c>
      <c r="Q922" s="1">
        <v>12.05</v>
      </c>
      <c r="R922" s="2">
        <f t="shared" si="56"/>
        <v>-3659</v>
      </c>
      <c r="S922" s="1">
        <f t="shared" si="57"/>
        <v>-3.9140806349817612</v>
      </c>
      <c r="T922" t="str">
        <f t="shared" si="58"/>
        <v>Intermediate</v>
      </c>
      <c r="U922" t="str">
        <f t="shared" si="59"/>
        <v>Medium Impact</v>
      </c>
    </row>
    <row r="923" spans="1:21" x14ac:dyDescent="0.3">
      <c r="A923" t="s">
        <v>990</v>
      </c>
      <c r="B923">
        <v>41</v>
      </c>
      <c r="C923" t="s">
        <v>27</v>
      </c>
      <c r="D923" t="s">
        <v>19</v>
      </c>
      <c r="E923" t="s">
        <v>59</v>
      </c>
      <c r="F923" t="s">
        <v>93</v>
      </c>
      <c r="G923">
        <v>19</v>
      </c>
      <c r="H923" t="s">
        <v>37</v>
      </c>
      <c r="I923" t="s">
        <v>31</v>
      </c>
      <c r="J923" t="s">
        <v>25</v>
      </c>
      <c r="K923" s="2">
        <v>55616</v>
      </c>
      <c r="L923" s="2">
        <v>50455</v>
      </c>
      <c r="M923" t="s">
        <v>32</v>
      </c>
      <c r="N923">
        <v>38</v>
      </c>
      <c r="O923" t="s">
        <v>23</v>
      </c>
      <c r="P923">
        <v>5</v>
      </c>
      <c r="Q923" s="1">
        <v>12.05</v>
      </c>
      <c r="R923" s="2">
        <f t="shared" si="56"/>
        <v>-5161</v>
      </c>
      <c r="S923" s="1">
        <f t="shared" si="57"/>
        <v>-9.2797036823935564</v>
      </c>
      <c r="T923" t="str">
        <f t="shared" si="58"/>
        <v>Expert</v>
      </c>
      <c r="U923" t="str">
        <f t="shared" si="59"/>
        <v>Low Impact</v>
      </c>
    </row>
    <row r="924" spans="1:21" x14ac:dyDescent="0.3">
      <c r="A924" t="s">
        <v>1336</v>
      </c>
      <c r="B924">
        <v>25</v>
      </c>
      <c r="C924" t="s">
        <v>18</v>
      </c>
      <c r="D924" t="s">
        <v>40</v>
      </c>
      <c r="E924" t="s">
        <v>20</v>
      </c>
      <c r="F924" t="s">
        <v>21</v>
      </c>
      <c r="G924">
        <v>1</v>
      </c>
      <c r="H924" t="s">
        <v>22</v>
      </c>
      <c r="I924" t="s">
        <v>31</v>
      </c>
      <c r="J924" t="s">
        <v>25</v>
      </c>
      <c r="K924" s="2">
        <v>102499</v>
      </c>
      <c r="L924" s="2">
        <v>122234</v>
      </c>
      <c r="M924" t="s">
        <v>32</v>
      </c>
      <c r="N924">
        <v>50</v>
      </c>
      <c r="O924" t="s">
        <v>23</v>
      </c>
      <c r="P924">
        <v>6</v>
      </c>
      <c r="Q924" s="1">
        <v>12.02</v>
      </c>
      <c r="R924" s="2">
        <f t="shared" si="56"/>
        <v>19735</v>
      </c>
      <c r="S924" s="1">
        <f t="shared" si="57"/>
        <v>19.253846378989063</v>
      </c>
      <c r="T924" t="str">
        <f t="shared" si="58"/>
        <v>Beginner</v>
      </c>
      <c r="U924" t="str">
        <f t="shared" si="59"/>
        <v>Low Impact</v>
      </c>
    </row>
    <row r="925" spans="1:21" x14ac:dyDescent="0.3">
      <c r="A925" t="s">
        <v>1278</v>
      </c>
      <c r="B925">
        <v>26</v>
      </c>
      <c r="C925" t="s">
        <v>27</v>
      </c>
      <c r="D925" t="s">
        <v>40</v>
      </c>
      <c r="E925" t="s">
        <v>20</v>
      </c>
      <c r="F925" t="s">
        <v>21</v>
      </c>
      <c r="G925">
        <v>2</v>
      </c>
      <c r="H925" t="s">
        <v>22</v>
      </c>
      <c r="I925" t="s">
        <v>22</v>
      </c>
      <c r="J925" t="s">
        <v>23</v>
      </c>
      <c r="K925" s="2">
        <v>59047</v>
      </c>
      <c r="L925" s="2">
        <v>60587</v>
      </c>
      <c r="M925" t="s">
        <v>38</v>
      </c>
      <c r="N925">
        <v>39</v>
      </c>
      <c r="O925" t="s">
        <v>25</v>
      </c>
      <c r="P925">
        <v>9</v>
      </c>
      <c r="Q925" s="1">
        <v>12.01</v>
      </c>
      <c r="R925" s="2">
        <f t="shared" si="56"/>
        <v>1540</v>
      </c>
      <c r="S925" s="1">
        <f t="shared" si="57"/>
        <v>2.6080918590275544</v>
      </c>
      <c r="T925" t="str">
        <f t="shared" si="58"/>
        <v>Beginner</v>
      </c>
      <c r="U925" t="str">
        <f t="shared" si="59"/>
        <v>Medium Impact</v>
      </c>
    </row>
    <row r="926" spans="1:21" x14ac:dyDescent="0.3">
      <c r="A926" t="s">
        <v>2018</v>
      </c>
      <c r="B926">
        <v>48</v>
      </c>
      <c r="C926" t="s">
        <v>18</v>
      </c>
      <c r="D926" t="s">
        <v>34</v>
      </c>
      <c r="E926" t="s">
        <v>41</v>
      </c>
      <c r="F926" t="s">
        <v>55</v>
      </c>
      <c r="G926">
        <v>22</v>
      </c>
      <c r="H926" t="s">
        <v>37</v>
      </c>
      <c r="I926" t="s">
        <v>31</v>
      </c>
      <c r="J926" t="s">
        <v>23</v>
      </c>
      <c r="K926" s="2">
        <v>45797</v>
      </c>
      <c r="L926" s="2">
        <v>53328</v>
      </c>
      <c r="M926" t="s">
        <v>32</v>
      </c>
      <c r="N926">
        <v>47</v>
      </c>
      <c r="O926" t="s">
        <v>23</v>
      </c>
      <c r="P926">
        <v>4</v>
      </c>
      <c r="Q926" s="1">
        <v>11.97</v>
      </c>
      <c r="R926" s="2">
        <f t="shared" si="56"/>
        <v>7531</v>
      </c>
      <c r="S926" s="1">
        <f t="shared" si="57"/>
        <v>16.444308579164574</v>
      </c>
      <c r="T926" t="str">
        <f t="shared" si="58"/>
        <v>Expert</v>
      </c>
      <c r="U926" t="str">
        <f t="shared" si="59"/>
        <v>Low Impact</v>
      </c>
    </row>
    <row r="927" spans="1:21" x14ac:dyDescent="0.3">
      <c r="A927" t="s">
        <v>259</v>
      </c>
      <c r="B927">
        <v>29</v>
      </c>
      <c r="C927" t="s">
        <v>54</v>
      </c>
      <c r="D927" t="s">
        <v>34</v>
      </c>
      <c r="E927" t="s">
        <v>59</v>
      </c>
      <c r="F927" t="s">
        <v>60</v>
      </c>
      <c r="G927">
        <v>5</v>
      </c>
      <c r="H927" t="s">
        <v>37</v>
      </c>
      <c r="I927" t="s">
        <v>37</v>
      </c>
      <c r="J927" t="s">
        <v>23</v>
      </c>
      <c r="K927" s="2">
        <v>33972</v>
      </c>
      <c r="L927" s="2">
        <v>31071</v>
      </c>
      <c r="M927" t="s">
        <v>38</v>
      </c>
      <c r="N927">
        <v>39</v>
      </c>
      <c r="O927" t="s">
        <v>25</v>
      </c>
      <c r="P927">
        <v>6</v>
      </c>
      <c r="Q927" s="1">
        <v>11.96</v>
      </c>
      <c r="R927" s="2">
        <f t="shared" si="56"/>
        <v>-2901</v>
      </c>
      <c r="S927" s="1">
        <f t="shared" si="57"/>
        <v>-8.5393853761921594</v>
      </c>
      <c r="T927" t="str">
        <f t="shared" si="58"/>
        <v>Intermediate</v>
      </c>
      <c r="U927" t="str">
        <f t="shared" si="59"/>
        <v>Medium Impact</v>
      </c>
    </row>
    <row r="928" spans="1:21" x14ac:dyDescent="0.3">
      <c r="A928" t="s">
        <v>330</v>
      </c>
      <c r="B928">
        <v>25</v>
      </c>
      <c r="C928" t="s">
        <v>18</v>
      </c>
      <c r="D928" t="s">
        <v>40</v>
      </c>
      <c r="E928" t="s">
        <v>20</v>
      </c>
      <c r="F928" t="s">
        <v>88</v>
      </c>
      <c r="G928">
        <v>0</v>
      </c>
      <c r="H928" t="s">
        <v>22</v>
      </c>
      <c r="I928" t="s">
        <v>31</v>
      </c>
      <c r="J928" t="s">
        <v>23</v>
      </c>
      <c r="K928" s="2">
        <v>66378</v>
      </c>
      <c r="L928" s="2">
        <v>90125</v>
      </c>
      <c r="M928" t="s">
        <v>32</v>
      </c>
      <c r="N928">
        <v>42</v>
      </c>
      <c r="O928" t="s">
        <v>23</v>
      </c>
      <c r="P928">
        <v>4</v>
      </c>
      <c r="Q928" s="1">
        <v>11.94</v>
      </c>
      <c r="R928" s="2">
        <f t="shared" si="56"/>
        <v>23747</v>
      </c>
      <c r="S928" s="1">
        <f t="shared" si="57"/>
        <v>35.775407514537946</v>
      </c>
      <c r="T928" t="str">
        <f t="shared" si="58"/>
        <v>Beginner</v>
      </c>
      <c r="U928" t="str">
        <f t="shared" si="59"/>
        <v>Low Impact</v>
      </c>
    </row>
    <row r="929" spans="1:21" x14ac:dyDescent="0.3">
      <c r="A929" t="s">
        <v>485</v>
      </c>
      <c r="B929">
        <v>25</v>
      </c>
      <c r="C929" t="s">
        <v>18</v>
      </c>
      <c r="D929" t="s">
        <v>34</v>
      </c>
      <c r="E929" t="s">
        <v>44</v>
      </c>
      <c r="F929" t="s">
        <v>45</v>
      </c>
      <c r="G929">
        <v>0</v>
      </c>
      <c r="H929" t="s">
        <v>31</v>
      </c>
      <c r="I929" t="s">
        <v>22</v>
      </c>
      <c r="J929" t="s">
        <v>23</v>
      </c>
      <c r="K929" s="2">
        <v>33236</v>
      </c>
      <c r="L929" s="2">
        <v>33956</v>
      </c>
      <c r="M929" t="s">
        <v>32</v>
      </c>
      <c r="N929">
        <v>47</v>
      </c>
      <c r="O929" t="s">
        <v>25</v>
      </c>
      <c r="P929">
        <v>8</v>
      </c>
      <c r="Q929" s="1">
        <v>11.94</v>
      </c>
      <c r="R929" s="2">
        <f t="shared" si="56"/>
        <v>720</v>
      </c>
      <c r="S929" s="1">
        <f t="shared" si="57"/>
        <v>2.1663256709592007</v>
      </c>
      <c r="T929" t="str">
        <f t="shared" si="58"/>
        <v>Beginner</v>
      </c>
      <c r="U929" t="str">
        <f t="shared" si="59"/>
        <v>Low Impact</v>
      </c>
    </row>
    <row r="930" spans="1:21" x14ac:dyDescent="0.3">
      <c r="A930" t="s">
        <v>190</v>
      </c>
      <c r="B930">
        <v>46</v>
      </c>
      <c r="C930" t="s">
        <v>18</v>
      </c>
      <c r="D930" t="s">
        <v>40</v>
      </c>
      <c r="E930" t="s">
        <v>51</v>
      </c>
      <c r="F930" t="s">
        <v>130</v>
      </c>
      <c r="G930">
        <v>24</v>
      </c>
      <c r="H930" t="s">
        <v>31</v>
      </c>
      <c r="I930" t="s">
        <v>37</v>
      </c>
      <c r="J930" t="s">
        <v>23</v>
      </c>
      <c r="K930" s="2">
        <v>64016</v>
      </c>
      <c r="L930" s="2">
        <v>64574</v>
      </c>
      <c r="M930" t="s">
        <v>38</v>
      </c>
      <c r="N930">
        <v>42</v>
      </c>
      <c r="O930" t="s">
        <v>23</v>
      </c>
      <c r="P930">
        <v>5</v>
      </c>
      <c r="Q930" s="1">
        <v>11.91</v>
      </c>
      <c r="R930" s="2">
        <f t="shared" si="56"/>
        <v>558</v>
      </c>
      <c r="S930" s="1">
        <f t="shared" si="57"/>
        <v>0.87165708572856782</v>
      </c>
      <c r="T930" t="str">
        <f t="shared" si="58"/>
        <v>Expert</v>
      </c>
      <c r="U930" t="str">
        <f t="shared" si="59"/>
        <v>Medium Impact</v>
      </c>
    </row>
    <row r="931" spans="1:21" x14ac:dyDescent="0.3">
      <c r="A931" t="s">
        <v>1263</v>
      </c>
      <c r="B931">
        <v>32</v>
      </c>
      <c r="C931" t="s">
        <v>18</v>
      </c>
      <c r="D931" t="s">
        <v>34</v>
      </c>
      <c r="E931" t="s">
        <v>35</v>
      </c>
      <c r="F931" t="s">
        <v>36</v>
      </c>
      <c r="G931">
        <v>7</v>
      </c>
      <c r="H931" t="s">
        <v>22</v>
      </c>
      <c r="I931" t="s">
        <v>22</v>
      </c>
      <c r="J931" t="s">
        <v>23</v>
      </c>
      <c r="K931" s="2">
        <v>36791</v>
      </c>
      <c r="L931" s="2">
        <v>44274</v>
      </c>
      <c r="M931" t="s">
        <v>24</v>
      </c>
      <c r="N931">
        <v>40</v>
      </c>
      <c r="O931" t="s">
        <v>23</v>
      </c>
      <c r="P931">
        <v>9</v>
      </c>
      <c r="Q931" s="1">
        <v>11.87</v>
      </c>
      <c r="R931" s="2">
        <f t="shared" si="56"/>
        <v>7483</v>
      </c>
      <c r="S931" s="1">
        <f t="shared" si="57"/>
        <v>20.339213394580195</v>
      </c>
      <c r="T931" t="str">
        <f t="shared" si="58"/>
        <v>Intermediate</v>
      </c>
      <c r="U931" t="str">
        <f t="shared" si="59"/>
        <v>High Impact</v>
      </c>
    </row>
    <row r="932" spans="1:21" x14ac:dyDescent="0.3">
      <c r="A932" t="s">
        <v>1978</v>
      </c>
      <c r="B932">
        <v>33</v>
      </c>
      <c r="C932" t="s">
        <v>27</v>
      </c>
      <c r="D932" t="s">
        <v>34</v>
      </c>
      <c r="E932" t="s">
        <v>44</v>
      </c>
      <c r="F932" t="s">
        <v>45</v>
      </c>
      <c r="G932">
        <v>7</v>
      </c>
      <c r="H932" t="s">
        <v>31</v>
      </c>
      <c r="I932" t="s">
        <v>31</v>
      </c>
      <c r="J932" t="s">
        <v>23</v>
      </c>
      <c r="K932" s="2">
        <v>92805</v>
      </c>
      <c r="L932" s="2">
        <v>96941</v>
      </c>
      <c r="M932" t="s">
        <v>32</v>
      </c>
      <c r="N932">
        <v>46</v>
      </c>
      <c r="O932" t="s">
        <v>25</v>
      </c>
      <c r="P932">
        <v>5</v>
      </c>
      <c r="Q932" s="1">
        <v>11.79</v>
      </c>
      <c r="R932" s="2">
        <f t="shared" si="56"/>
        <v>4136</v>
      </c>
      <c r="S932" s="1">
        <f t="shared" si="57"/>
        <v>4.4566564301492377</v>
      </c>
      <c r="T932" t="str">
        <f t="shared" si="58"/>
        <v>Intermediate</v>
      </c>
      <c r="U932" t="str">
        <f t="shared" si="59"/>
        <v>Low Impact</v>
      </c>
    </row>
    <row r="933" spans="1:21" x14ac:dyDescent="0.3">
      <c r="A933" t="s">
        <v>675</v>
      </c>
      <c r="B933">
        <v>59</v>
      </c>
      <c r="C933" t="s">
        <v>18</v>
      </c>
      <c r="D933" t="s">
        <v>19</v>
      </c>
      <c r="E933" t="s">
        <v>51</v>
      </c>
      <c r="F933" t="s">
        <v>52</v>
      </c>
      <c r="G933">
        <v>36</v>
      </c>
      <c r="H933" t="s">
        <v>37</v>
      </c>
      <c r="I933" t="s">
        <v>37</v>
      </c>
      <c r="J933" t="s">
        <v>25</v>
      </c>
      <c r="K933" s="2">
        <v>75619</v>
      </c>
      <c r="L933" s="2">
        <v>78003</v>
      </c>
      <c r="M933" t="s">
        <v>38</v>
      </c>
      <c r="N933">
        <v>39</v>
      </c>
      <c r="O933" t="s">
        <v>25</v>
      </c>
      <c r="P933">
        <v>8</v>
      </c>
      <c r="Q933" s="1">
        <v>11.79</v>
      </c>
      <c r="R933" s="2">
        <f t="shared" si="56"/>
        <v>2384</v>
      </c>
      <c r="S933" s="1">
        <f t="shared" si="57"/>
        <v>3.1526468215660084</v>
      </c>
      <c r="T933" t="str">
        <f t="shared" si="58"/>
        <v>Expert</v>
      </c>
      <c r="U933" t="str">
        <f t="shared" si="59"/>
        <v>Medium Impact</v>
      </c>
    </row>
    <row r="934" spans="1:21" x14ac:dyDescent="0.3">
      <c r="A934" t="s">
        <v>1395</v>
      </c>
      <c r="B934">
        <v>26</v>
      </c>
      <c r="C934" t="s">
        <v>27</v>
      </c>
      <c r="D934" t="s">
        <v>34</v>
      </c>
      <c r="E934" t="s">
        <v>29</v>
      </c>
      <c r="F934" t="s">
        <v>30</v>
      </c>
      <c r="G934">
        <v>0</v>
      </c>
      <c r="H934" t="s">
        <v>37</v>
      </c>
      <c r="I934" t="s">
        <v>22</v>
      </c>
      <c r="J934" t="s">
        <v>23</v>
      </c>
      <c r="K934" s="2">
        <v>35607</v>
      </c>
      <c r="L934" s="2">
        <v>42061</v>
      </c>
      <c r="M934" t="s">
        <v>32</v>
      </c>
      <c r="N934">
        <v>37</v>
      </c>
      <c r="O934" t="s">
        <v>23</v>
      </c>
      <c r="P934">
        <v>9</v>
      </c>
      <c r="Q934" s="1">
        <v>11.79</v>
      </c>
      <c r="R934" s="2">
        <f t="shared" si="56"/>
        <v>6454</v>
      </c>
      <c r="S934" s="1">
        <f t="shared" si="57"/>
        <v>18.125649450950657</v>
      </c>
      <c r="T934" t="str">
        <f t="shared" si="58"/>
        <v>Beginner</v>
      </c>
      <c r="U934" t="str">
        <f t="shared" si="59"/>
        <v>Low Impact</v>
      </c>
    </row>
    <row r="935" spans="1:21" x14ac:dyDescent="0.3">
      <c r="A935" t="s">
        <v>1023</v>
      </c>
      <c r="B935">
        <v>59</v>
      </c>
      <c r="C935" t="s">
        <v>27</v>
      </c>
      <c r="D935" t="s">
        <v>40</v>
      </c>
      <c r="E935" t="s">
        <v>59</v>
      </c>
      <c r="F935" t="s">
        <v>93</v>
      </c>
      <c r="G935">
        <v>35</v>
      </c>
      <c r="H935" t="s">
        <v>22</v>
      </c>
      <c r="I935" t="s">
        <v>31</v>
      </c>
      <c r="J935" t="s">
        <v>23</v>
      </c>
      <c r="K935" s="2">
        <v>103313</v>
      </c>
      <c r="L935" s="2">
        <v>137021</v>
      </c>
      <c r="M935" t="s">
        <v>32</v>
      </c>
      <c r="N935">
        <v>43</v>
      </c>
      <c r="O935" t="s">
        <v>25</v>
      </c>
      <c r="P935">
        <v>5</v>
      </c>
      <c r="Q935" s="1">
        <v>11.69</v>
      </c>
      <c r="R935" s="2">
        <f t="shared" si="56"/>
        <v>33708</v>
      </c>
      <c r="S935" s="1">
        <f t="shared" si="57"/>
        <v>32.627065325757648</v>
      </c>
      <c r="T935" t="str">
        <f t="shared" si="58"/>
        <v>Expert</v>
      </c>
      <c r="U935" t="str">
        <f t="shared" si="59"/>
        <v>Low Impact</v>
      </c>
    </row>
    <row r="936" spans="1:21" x14ac:dyDescent="0.3">
      <c r="A936" t="s">
        <v>1806</v>
      </c>
      <c r="B936">
        <v>55</v>
      </c>
      <c r="C936" t="s">
        <v>27</v>
      </c>
      <c r="D936" t="s">
        <v>19</v>
      </c>
      <c r="E936" t="s">
        <v>20</v>
      </c>
      <c r="F936" t="s">
        <v>21</v>
      </c>
      <c r="G936">
        <v>32</v>
      </c>
      <c r="H936" t="s">
        <v>22</v>
      </c>
      <c r="I936" t="s">
        <v>37</v>
      </c>
      <c r="J936" t="s">
        <v>25</v>
      </c>
      <c r="K936" s="2">
        <v>92077</v>
      </c>
      <c r="L936" s="2">
        <v>116487</v>
      </c>
      <c r="M936" t="s">
        <v>38</v>
      </c>
      <c r="N936">
        <v>51</v>
      </c>
      <c r="O936" t="s">
        <v>23</v>
      </c>
      <c r="P936">
        <v>7</v>
      </c>
      <c r="Q936" s="1">
        <v>11.61</v>
      </c>
      <c r="R936" s="2">
        <f t="shared" si="56"/>
        <v>24410</v>
      </c>
      <c r="S936" s="1">
        <f t="shared" si="57"/>
        <v>26.510420626215016</v>
      </c>
      <c r="T936" t="str">
        <f t="shared" si="58"/>
        <v>Expert</v>
      </c>
      <c r="U936" t="str">
        <f t="shared" si="59"/>
        <v>Medium Impact</v>
      </c>
    </row>
    <row r="937" spans="1:21" x14ac:dyDescent="0.3">
      <c r="A937" t="s">
        <v>1001</v>
      </c>
      <c r="B937">
        <v>41</v>
      </c>
      <c r="C937" t="s">
        <v>18</v>
      </c>
      <c r="D937" t="s">
        <v>19</v>
      </c>
      <c r="E937" t="s">
        <v>41</v>
      </c>
      <c r="F937" t="s">
        <v>55</v>
      </c>
      <c r="G937">
        <v>19</v>
      </c>
      <c r="H937" t="s">
        <v>22</v>
      </c>
      <c r="I937" t="s">
        <v>22</v>
      </c>
      <c r="J937" t="s">
        <v>25</v>
      </c>
      <c r="K937" s="2">
        <v>49867</v>
      </c>
      <c r="L937" s="2">
        <v>49497</v>
      </c>
      <c r="M937" t="s">
        <v>38</v>
      </c>
      <c r="N937">
        <v>50</v>
      </c>
      <c r="O937" t="s">
        <v>23</v>
      </c>
      <c r="P937">
        <v>6</v>
      </c>
      <c r="Q937" s="1">
        <v>11.57</v>
      </c>
      <c r="R937" s="2">
        <f t="shared" si="56"/>
        <v>-370</v>
      </c>
      <c r="S937" s="1">
        <f t="shared" si="57"/>
        <v>-0.74197364990875725</v>
      </c>
      <c r="T937" t="str">
        <f t="shared" si="58"/>
        <v>Expert</v>
      </c>
      <c r="U937" t="str">
        <f t="shared" si="59"/>
        <v>Medium Impact</v>
      </c>
    </row>
    <row r="938" spans="1:21" x14ac:dyDescent="0.3">
      <c r="A938" t="s">
        <v>824</v>
      </c>
      <c r="B938">
        <v>28</v>
      </c>
      <c r="C938" t="s">
        <v>27</v>
      </c>
      <c r="D938" t="s">
        <v>28</v>
      </c>
      <c r="E938" t="s">
        <v>59</v>
      </c>
      <c r="F938" t="s">
        <v>77</v>
      </c>
      <c r="G938">
        <v>5</v>
      </c>
      <c r="H938" t="s">
        <v>22</v>
      </c>
      <c r="I938" t="s">
        <v>31</v>
      </c>
      <c r="J938" t="s">
        <v>23</v>
      </c>
      <c r="K938" s="2">
        <v>49880</v>
      </c>
      <c r="L938" s="2">
        <v>66921</v>
      </c>
      <c r="M938" t="s">
        <v>32</v>
      </c>
      <c r="N938">
        <v>46</v>
      </c>
      <c r="O938" t="s">
        <v>25</v>
      </c>
      <c r="P938">
        <v>3</v>
      </c>
      <c r="Q938" s="1">
        <v>11.49</v>
      </c>
      <c r="R938" s="2">
        <f t="shared" si="56"/>
        <v>17041</v>
      </c>
      <c r="S938" s="1">
        <f t="shared" si="57"/>
        <v>34.163993584603048</v>
      </c>
      <c r="T938" t="str">
        <f t="shared" si="58"/>
        <v>Intermediate</v>
      </c>
      <c r="U938" t="str">
        <f t="shared" si="59"/>
        <v>Low Impact</v>
      </c>
    </row>
    <row r="939" spans="1:21" x14ac:dyDescent="0.3">
      <c r="A939" t="s">
        <v>702</v>
      </c>
      <c r="B939">
        <v>27</v>
      </c>
      <c r="C939" t="s">
        <v>27</v>
      </c>
      <c r="D939" t="s">
        <v>34</v>
      </c>
      <c r="E939" t="s">
        <v>44</v>
      </c>
      <c r="F939" t="s">
        <v>47</v>
      </c>
      <c r="G939">
        <v>4</v>
      </c>
      <c r="H939" t="s">
        <v>37</v>
      </c>
      <c r="I939" t="s">
        <v>22</v>
      </c>
      <c r="J939" t="s">
        <v>23</v>
      </c>
      <c r="K939" s="2">
        <v>55068</v>
      </c>
      <c r="L939" s="2">
        <v>63221</v>
      </c>
      <c r="M939" t="s">
        <v>32</v>
      </c>
      <c r="N939">
        <v>43</v>
      </c>
      <c r="O939" t="s">
        <v>25</v>
      </c>
      <c r="P939">
        <v>3</v>
      </c>
      <c r="Q939" s="1">
        <v>11.48</v>
      </c>
      <c r="R939" s="2">
        <f t="shared" si="56"/>
        <v>8153</v>
      </c>
      <c r="S939" s="1">
        <f t="shared" si="57"/>
        <v>14.80533159003414</v>
      </c>
      <c r="T939" t="str">
        <f t="shared" si="58"/>
        <v>Beginner</v>
      </c>
      <c r="U939" t="str">
        <f t="shared" si="59"/>
        <v>Low Impact</v>
      </c>
    </row>
    <row r="940" spans="1:21" x14ac:dyDescent="0.3">
      <c r="A940" t="s">
        <v>1878</v>
      </c>
      <c r="B940">
        <v>34</v>
      </c>
      <c r="C940" t="s">
        <v>18</v>
      </c>
      <c r="D940" t="s">
        <v>34</v>
      </c>
      <c r="E940" t="s">
        <v>29</v>
      </c>
      <c r="F940" t="s">
        <v>104</v>
      </c>
      <c r="G940">
        <v>8</v>
      </c>
      <c r="H940" t="s">
        <v>31</v>
      </c>
      <c r="I940" t="s">
        <v>37</v>
      </c>
      <c r="J940" t="s">
        <v>25</v>
      </c>
      <c r="K940" s="2">
        <v>107413</v>
      </c>
      <c r="L940" s="2">
        <v>102368</v>
      </c>
      <c r="M940" t="s">
        <v>38</v>
      </c>
      <c r="N940">
        <v>47</v>
      </c>
      <c r="O940" t="s">
        <v>25</v>
      </c>
      <c r="P940">
        <v>7</v>
      </c>
      <c r="Q940" s="1">
        <v>11.44</v>
      </c>
      <c r="R940" s="2">
        <f t="shared" si="56"/>
        <v>-5045</v>
      </c>
      <c r="S940" s="1">
        <f t="shared" si="57"/>
        <v>-4.6968244067291671</v>
      </c>
      <c r="T940" t="str">
        <f t="shared" si="58"/>
        <v>Intermediate</v>
      </c>
      <c r="U940" t="str">
        <f t="shared" si="59"/>
        <v>Medium Impact</v>
      </c>
    </row>
    <row r="941" spans="1:21" x14ac:dyDescent="0.3">
      <c r="A941" t="s">
        <v>764</v>
      </c>
      <c r="B941">
        <v>32</v>
      </c>
      <c r="C941" t="s">
        <v>27</v>
      </c>
      <c r="D941" t="s">
        <v>34</v>
      </c>
      <c r="E941" t="s">
        <v>35</v>
      </c>
      <c r="F941" t="s">
        <v>98</v>
      </c>
      <c r="G941">
        <v>6</v>
      </c>
      <c r="H941" t="s">
        <v>37</v>
      </c>
      <c r="I941" t="s">
        <v>22</v>
      </c>
      <c r="J941" t="s">
        <v>25</v>
      </c>
      <c r="K941" s="2">
        <v>56627</v>
      </c>
      <c r="L941" s="2">
        <v>61211</v>
      </c>
      <c r="M941" t="s">
        <v>32</v>
      </c>
      <c r="N941">
        <v>46</v>
      </c>
      <c r="O941" t="s">
        <v>25</v>
      </c>
      <c r="P941">
        <v>9</v>
      </c>
      <c r="Q941" s="1">
        <v>11.42</v>
      </c>
      <c r="R941" s="2">
        <f t="shared" si="56"/>
        <v>4584</v>
      </c>
      <c r="S941" s="1">
        <f t="shared" si="57"/>
        <v>8.0950783195295521</v>
      </c>
      <c r="T941" t="str">
        <f t="shared" si="58"/>
        <v>Intermediate</v>
      </c>
      <c r="U941" t="str">
        <f t="shared" si="59"/>
        <v>Low Impact</v>
      </c>
    </row>
    <row r="942" spans="1:21" x14ac:dyDescent="0.3">
      <c r="A942" t="s">
        <v>691</v>
      </c>
      <c r="B942">
        <v>46</v>
      </c>
      <c r="C942" t="s">
        <v>27</v>
      </c>
      <c r="D942" t="s">
        <v>19</v>
      </c>
      <c r="E942" t="s">
        <v>41</v>
      </c>
      <c r="F942" t="s">
        <v>42</v>
      </c>
      <c r="G942">
        <v>24</v>
      </c>
      <c r="H942" t="s">
        <v>37</v>
      </c>
      <c r="I942" t="s">
        <v>22</v>
      </c>
      <c r="J942" t="s">
        <v>23</v>
      </c>
      <c r="K942" s="2">
        <v>59437</v>
      </c>
      <c r="L942" s="2">
        <v>62766</v>
      </c>
      <c r="M942" t="s">
        <v>32</v>
      </c>
      <c r="N942">
        <v>38</v>
      </c>
      <c r="O942" t="s">
        <v>25</v>
      </c>
      <c r="P942">
        <v>7</v>
      </c>
      <c r="Q942" s="1">
        <v>11.32</v>
      </c>
      <c r="R942" s="2">
        <f t="shared" si="56"/>
        <v>3329</v>
      </c>
      <c r="S942" s="1">
        <f t="shared" si="57"/>
        <v>5.6008883355485644</v>
      </c>
      <c r="T942" t="str">
        <f t="shared" si="58"/>
        <v>Expert</v>
      </c>
      <c r="U942" t="str">
        <f t="shared" si="59"/>
        <v>Low Impact</v>
      </c>
    </row>
    <row r="943" spans="1:21" x14ac:dyDescent="0.3">
      <c r="A943" t="s">
        <v>1783</v>
      </c>
      <c r="B943">
        <v>53</v>
      </c>
      <c r="C943" t="s">
        <v>54</v>
      </c>
      <c r="D943" t="s">
        <v>34</v>
      </c>
      <c r="E943" t="s">
        <v>44</v>
      </c>
      <c r="F943" t="s">
        <v>45</v>
      </c>
      <c r="G943">
        <v>27</v>
      </c>
      <c r="H943" t="s">
        <v>37</v>
      </c>
      <c r="I943" t="s">
        <v>22</v>
      </c>
      <c r="J943" t="s">
        <v>23</v>
      </c>
      <c r="K943" s="2">
        <v>40196</v>
      </c>
      <c r="L943" s="2">
        <v>36423</v>
      </c>
      <c r="M943" t="s">
        <v>32</v>
      </c>
      <c r="N943">
        <v>37</v>
      </c>
      <c r="O943" t="s">
        <v>25</v>
      </c>
      <c r="P943">
        <v>6</v>
      </c>
      <c r="Q943" s="1">
        <v>11.31</v>
      </c>
      <c r="R943" s="2">
        <f t="shared" si="56"/>
        <v>-3773</v>
      </c>
      <c r="S943" s="1">
        <f t="shared" si="57"/>
        <v>-9.3865061200119424</v>
      </c>
      <c r="T943" t="str">
        <f t="shared" si="58"/>
        <v>Expert</v>
      </c>
      <c r="U943" t="str">
        <f t="shared" si="59"/>
        <v>Low Impact</v>
      </c>
    </row>
    <row r="944" spans="1:21" x14ac:dyDescent="0.3">
      <c r="A944" t="s">
        <v>1069</v>
      </c>
      <c r="B944">
        <v>26</v>
      </c>
      <c r="C944" t="s">
        <v>27</v>
      </c>
      <c r="D944" t="s">
        <v>19</v>
      </c>
      <c r="E944" t="s">
        <v>44</v>
      </c>
      <c r="F944" t="s">
        <v>57</v>
      </c>
      <c r="G944">
        <v>0</v>
      </c>
      <c r="H944" t="s">
        <v>31</v>
      </c>
      <c r="I944" t="s">
        <v>37</v>
      </c>
      <c r="J944" t="s">
        <v>25</v>
      </c>
      <c r="K944" s="2">
        <v>39247</v>
      </c>
      <c r="L944" s="2">
        <v>41607</v>
      </c>
      <c r="M944" t="s">
        <v>38</v>
      </c>
      <c r="N944">
        <v>52</v>
      </c>
      <c r="O944" t="s">
        <v>25</v>
      </c>
      <c r="P944">
        <v>6</v>
      </c>
      <c r="Q944" s="1">
        <v>11.3</v>
      </c>
      <c r="R944" s="2">
        <f t="shared" si="56"/>
        <v>2360</v>
      </c>
      <c r="S944" s="1">
        <f t="shared" si="57"/>
        <v>6.0131984610288685</v>
      </c>
      <c r="T944" t="str">
        <f t="shared" si="58"/>
        <v>Beginner</v>
      </c>
      <c r="U944" t="str">
        <f t="shared" si="59"/>
        <v>Medium Impact</v>
      </c>
    </row>
    <row r="945" spans="1:21" x14ac:dyDescent="0.3">
      <c r="A945" t="s">
        <v>608</v>
      </c>
      <c r="B945">
        <v>59</v>
      </c>
      <c r="C945" t="s">
        <v>27</v>
      </c>
      <c r="D945" t="s">
        <v>34</v>
      </c>
      <c r="E945" t="s">
        <v>51</v>
      </c>
      <c r="F945" t="s">
        <v>75</v>
      </c>
      <c r="G945">
        <v>37</v>
      </c>
      <c r="H945" t="s">
        <v>37</v>
      </c>
      <c r="I945" t="s">
        <v>37</v>
      </c>
      <c r="J945" t="s">
        <v>25</v>
      </c>
      <c r="K945" s="2">
        <v>31014</v>
      </c>
      <c r="L945" s="2">
        <v>34778</v>
      </c>
      <c r="M945" t="s">
        <v>38</v>
      </c>
      <c r="N945">
        <v>53</v>
      </c>
      <c r="O945" t="s">
        <v>23</v>
      </c>
      <c r="P945">
        <v>8</v>
      </c>
      <c r="Q945" s="1">
        <v>11.29</v>
      </c>
      <c r="R945" s="2">
        <f t="shared" si="56"/>
        <v>3764</v>
      </c>
      <c r="S945" s="1">
        <f t="shared" si="57"/>
        <v>12.13645450441736</v>
      </c>
      <c r="T945" t="str">
        <f t="shared" si="58"/>
        <v>Expert</v>
      </c>
      <c r="U945" t="str">
        <f t="shared" si="59"/>
        <v>Medium Impact</v>
      </c>
    </row>
    <row r="946" spans="1:21" x14ac:dyDescent="0.3">
      <c r="A946" t="s">
        <v>845</v>
      </c>
      <c r="B946">
        <v>39</v>
      </c>
      <c r="C946" t="s">
        <v>27</v>
      </c>
      <c r="D946" t="s">
        <v>19</v>
      </c>
      <c r="E946" t="s">
        <v>59</v>
      </c>
      <c r="F946" t="s">
        <v>60</v>
      </c>
      <c r="G946">
        <v>17</v>
      </c>
      <c r="H946" t="s">
        <v>22</v>
      </c>
      <c r="I946" t="s">
        <v>37</v>
      </c>
      <c r="J946" t="s">
        <v>23</v>
      </c>
      <c r="K946" s="2">
        <v>89251</v>
      </c>
      <c r="L946" s="2">
        <v>93215</v>
      </c>
      <c r="M946" t="s">
        <v>38</v>
      </c>
      <c r="N946">
        <v>35</v>
      </c>
      <c r="O946" t="s">
        <v>23</v>
      </c>
      <c r="P946">
        <v>6</v>
      </c>
      <c r="Q946" s="1">
        <v>11.28</v>
      </c>
      <c r="R946" s="2">
        <f t="shared" si="56"/>
        <v>3964</v>
      </c>
      <c r="S946" s="1">
        <f t="shared" si="57"/>
        <v>4.4414068189712159</v>
      </c>
      <c r="T946" t="str">
        <f t="shared" si="58"/>
        <v>Expert</v>
      </c>
      <c r="U946" t="str">
        <f t="shared" si="59"/>
        <v>Medium Impact</v>
      </c>
    </row>
    <row r="947" spans="1:21" x14ac:dyDescent="0.3">
      <c r="A947" t="s">
        <v>1352</v>
      </c>
      <c r="B947">
        <v>52</v>
      </c>
      <c r="C947" t="s">
        <v>27</v>
      </c>
      <c r="D947" t="s">
        <v>40</v>
      </c>
      <c r="E947" t="s">
        <v>41</v>
      </c>
      <c r="F947" t="s">
        <v>49</v>
      </c>
      <c r="G947">
        <v>28</v>
      </c>
      <c r="H947" t="s">
        <v>37</v>
      </c>
      <c r="I947" t="s">
        <v>31</v>
      </c>
      <c r="J947" t="s">
        <v>23</v>
      </c>
      <c r="K947" s="2">
        <v>57115</v>
      </c>
      <c r="L947" s="2">
        <v>65847</v>
      </c>
      <c r="M947" t="s">
        <v>32</v>
      </c>
      <c r="N947">
        <v>53</v>
      </c>
      <c r="O947" t="s">
        <v>23</v>
      </c>
      <c r="P947">
        <v>7</v>
      </c>
      <c r="Q947" s="1">
        <v>11.23</v>
      </c>
      <c r="R947" s="2">
        <f t="shared" si="56"/>
        <v>8732</v>
      </c>
      <c r="S947" s="1">
        <f t="shared" si="57"/>
        <v>15.288453120896436</v>
      </c>
      <c r="T947" t="str">
        <f t="shared" si="58"/>
        <v>Expert</v>
      </c>
      <c r="U947" t="str">
        <f t="shared" si="59"/>
        <v>Low Impact</v>
      </c>
    </row>
    <row r="948" spans="1:21" x14ac:dyDescent="0.3">
      <c r="A948" t="s">
        <v>1552</v>
      </c>
      <c r="B948">
        <v>32</v>
      </c>
      <c r="C948" t="s">
        <v>18</v>
      </c>
      <c r="D948" t="s">
        <v>28</v>
      </c>
      <c r="E948" t="s">
        <v>20</v>
      </c>
      <c r="F948" t="s">
        <v>88</v>
      </c>
      <c r="G948">
        <v>6</v>
      </c>
      <c r="H948" t="s">
        <v>22</v>
      </c>
      <c r="I948" t="s">
        <v>22</v>
      </c>
      <c r="J948" t="s">
        <v>25</v>
      </c>
      <c r="K948" s="2">
        <v>55792</v>
      </c>
      <c r="L948" s="2">
        <v>56275</v>
      </c>
      <c r="M948" t="s">
        <v>24</v>
      </c>
      <c r="N948">
        <v>37</v>
      </c>
      <c r="O948" t="s">
        <v>25</v>
      </c>
      <c r="P948">
        <v>9</v>
      </c>
      <c r="Q948" s="1">
        <v>11.23</v>
      </c>
      <c r="R948" s="2">
        <f t="shared" si="56"/>
        <v>483</v>
      </c>
      <c r="S948" s="1">
        <f t="shared" si="57"/>
        <v>0.86571551476914244</v>
      </c>
      <c r="T948" t="str">
        <f t="shared" si="58"/>
        <v>Intermediate</v>
      </c>
      <c r="U948" t="str">
        <f t="shared" si="59"/>
        <v>High Impact</v>
      </c>
    </row>
    <row r="949" spans="1:21" x14ac:dyDescent="0.3">
      <c r="A949" t="s">
        <v>1473</v>
      </c>
      <c r="B949">
        <v>47</v>
      </c>
      <c r="C949" t="s">
        <v>54</v>
      </c>
      <c r="D949" t="s">
        <v>40</v>
      </c>
      <c r="E949" t="s">
        <v>20</v>
      </c>
      <c r="F949" t="s">
        <v>118</v>
      </c>
      <c r="G949">
        <v>25</v>
      </c>
      <c r="H949" t="s">
        <v>31</v>
      </c>
      <c r="I949" t="s">
        <v>22</v>
      </c>
      <c r="J949" t="s">
        <v>23</v>
      </c>
      <c r="K949" s="2">
        <v>92524</v>
      </c>
      <c r="L949" s="2">
        <v>88346</v>
      </c>
      <c r="M949" t="s">
        <v>32</v>
      </c>
      <c r="N949">
        <v>46</v>
      </c>
      <c r="O949" t="s">
        <v>23</v>
      </c>
      <c r="P949">
        <v>4</v>
      </c>
      <c r="Q949" s="1">
        <v>11.21</v>
      </c>
      <c r="R949" s="2">
        <f t="shared" si="56"/>
        <v>-4178</v>
      </c>
      <c r="S949" s="1">
        <f t="shared" si="57"/>
        <v>-4.5155851454757689</v>
      </c>
      <c r="T949" t="str">
        <f t="shared" si="58"/>
        <v>Expert</v>
      </c>
      <c r="U949" t="str">
        <f t="shared" si="59"/>
        <v>Low Impact</v>
      </c>
    </row>
    <row r="950" spans="1:21" x14ac:dyDescent="0.3">
      <c r="A950" t="s">
        <v>1879</v>
      </c>
      <c r="B950">
        <v>35</v>
      </c>
      <c r="C950" t="s">
        <v>54</v>
      </c>
      <c r="D950" t="s">
        <v>34</v>
      </c>
      <c r="E950" t="s">
        <v>41</v>
      </c>
      <c r="F950" t="s">
        <v>49</v>
      </c>
      <c r="G950">
        <v>9</v>
      </c>
      <c r="H950" t="s">
        <v>22</v>
      </c>
      <c r="I950" t="s">
        <v>37</v>
      </c>
      <c r="J950" t="s">
        <v>23</v>
      </c>
      <c r="K950" s="2">
        <v>37240</v>
      </c>
      <c r="L950" s="2">
        <v>30167</v>
      </c>
      <c r="M950" t="s">
        <v>38</v>
      </c>
      <c r="N950">
        <v>37</v>
      </c>
      <c r="O950" t="s">
        <v>25</v>
      </c>
      <c r="P950">
        <v>9</v>
      </c>
      <c r="Q950" s="1">
        <v>11.21</v>
      </c>
      <c r="R950" s="2">
        <f t="shared" si="56"/>
        <v>-7073</v>
      </c>
      <c r="S950" s="1">
        <f t="shared" si="57"/>
        <v>-18.993018259935553</v>
      </c>
      <c r="T950" t="str">
        <f t="shared" si="58"/>
        <v>Intermediate</v>
      </c>
      <c r="U950" t="str">
        <f t="shared" si="59"/>
        <v>Medium Impact</v>
      </c>
    </row>
    <row r="951" spans="1:21" x14ac:dyDescent="0.3">
      <c r="A951" t="s">
        <v>1737</v>
      </c>
      <c r="B951">
        <v>54</v>
      </c>
      <c r="C951" t="s">
        <v>27</v>
      </c>
      <c r="D951" t="s">
        <v>19</v>
      </c>
      <c r="E951" t="s">
        <v>35</v>
      </c>
      <c r="F951" t="s">
        <v>98</v>
      </c>
      <c r="G951">
        <v>29</v>
      </c>
      <c r="H951" t="s">
        <v>37</v>
      </c>
      <c r="I951" t="s">
        <v>37</v>
      </c>
      <c r="J951" t="s">
        <v>23</v>
      </c>
      <c r="K951" s="2">
        <v>60383</v>
      </c>
      <c r="L951" s="2">
        <v>58418</v>
      </c>
      <c r="M951" t="s">
        <v>38</v>
      </c>
      <c r="N951">
        <v>49</v>
      </c>
      <c r="O951" t="s">
        <v>25</v>
      </c>
      <c r="P951">
        <v>4</v>
      </c>
      <c r="Q951" s="1">
        <v>11.17</v>
      </c>
      <c r="R951" s="2">
        <f t="shared" si="56"/>
        <v>-1965</v>
      </c>
      <c r="S951" s="1">
        <f t="shared" si="57"/>
        <v>-3.2542271831475746</v>
      </c>
      <c r="T951" t="str">
        <f t="shared" si="58"/>
        <v>Expert</v>
      </c>
      <c r="U951" t="str">
        <f t="shared" si="59"/>
        <v>Medium Impact</v>
      </c>
    </row>
    <row r="952" spans="1:21" x14ac:dyDescent="0.3">
      <c r="A952" t="s">
        <v>1122</v>
      </c>
      <c r="B952">
        <v>52</v>
      </c>
      <c r="C952" t="s">
        <v>54</v>
      </c>
      <c r="D952" t="s">
        <v>40</v>
      </c>
      <c r="E952" t="s">
        <v>35</v>
      </c>
      <c r="F952" t="s">
        <v>98</v>
      </c>
      <c r="G952">
        <v>28</v>
      </c>
      <c r="H952" t="s">
        <v>37</v>
      </c>
      <c r="I952" t="s">
        <v>37</v>
      </c>
      <c r="J952" t="s">
        <v>25</v>
      </c>
      <c r="K952" s="2">
        <v>114585</v>
      </c>
      <c r="L952" s="2">
        <v>112322</v>
      </c>
      <c r="M952" t="s">
        <v>38</v>
      </c>
      <c r="N952">
        <v>38</v>
      </c>
      <c r="O952" t="s">
        <v>25</v>
      </c>
      <c r="P952">
        <v>4</v>
      </c>
      <c r="Q952" s="1">
        <v>11.15</v>
      </c>
      <c r="R952" s="2">
        <f t="shared" si="56"/>
        <v>-2263</v>
      </c>
      <c r="S952" s="1">
        <f t="shared" si="57"/>
        <v>-1.9749530915913951</v>
      </c>
      <c r="T952" t="str">
        <f t="shared" si="58"/>
        <v>Expert</v>
      </c>
      <c r="U952" t="str">
        <f t="shared" si="59"/>
        <v>Medium Impact</v>
      </c>
    </row>
    <row r="953" spans="1:21" x14ac:dyDescent="0.3">
      <c r="A953" t="s">
        <v>1016</v>
      </c>
      <c r="B953">
        <v>32</v>
      </c>
      <c r="C953" t="s">
        <v>54</v>
      </c>
      <c r="D953" t="s">
        <v>28</v>
      </c>
      <c r="E953" t="s">
        <v>20</v>
      </c>
      <c r="F953" t="s">
        <v>21</v>
      </c>
      <c r="G953">
        <v>6</v>
      </c>
      <c r="H953" t="s">
        <v>31</v>
      </c>
      <c r="I953" t="s">
        <v>31</v>
      </c>
      <c r="J953" t="s">
        <v>23</v>
      </c>
      <c r="K953" s="2">
        <v>56505</v>
      </c>
      <c r="L953" s="2">
        <v>59034</v>
      </c>
      <c r="M953" t="s">
        <v>32</v>
      </c>
      <c r="N953">
        <v>42</v>
      </c>
      <c r="O953" t="s">
        <v>23</v>
      </c>
      <c r="P953">
        <v>9</v>
      </c>
      <c r="Q953" s="1">
        <v>11.12</v>
      </c>
      <c r="R953" s="2">
        <f t="shared" si="56"/>
        <v>2529</v>
      </c>
      <c r="S953" s="1">
        <f t="shared" si="57"/>
        <v>4.47571011414919</v>
      </c>
      <c r="T953" t="str">
        <f t="shared" si="58"/>
        <v>Intermediate</v>
      </c>
      <c r="U953" t="str">
        <f t="shared" si="59"/>
        <v>Low Impact</v>
      </c>
    </row>
    <row r="954" spans="1:21" x14ac:dyDescent="0.3">
      <c r="A954" t="s">
        <v>826</v>
      </c>
      <c r="B954">
        <v>46</v>
      </c>
      <c r="C954" t="s">
        <v>54</v>
      </c>
      <c r="D954" t="s">
        <v>28</v>
      </c>
      <c r="E954" t="s">
        <v>35</v>
      </c>
      <c r="F954" t="s">
        <v>132</v>
      </c>
      <c r="G954">
        <v>24</v>
      </c>
      <c r="H954" t="s">
        <v>37</v>
      </c>
      <c r="I954" t="s">
        <v>31</v>
      </c>
      <c r="J954" t="s">
        <v>25</v>
      </c>
      <c r="K954" s="2">
        <v>56299</v>
      </c>
      <c r="L954" s="2">
        <v>52751</v>
      </c>
      <c r="M954" t="s">
        <v>32</v>
      </c>
      <c r="N954">
        <v>43</v>
      </c>
      <c r="O954" t="s">
        <v>23</v>
      </c>
      <c r="P954">
        <v>6</v>
      </c>
      <c r="Q954" s="1">
        <v>11.11</v>
      </c>
      <c r="R954" s="2">
        <f t="shared" si="56"/>
        <v>-3548</v>
      </c>
      <c r="S954" s="1">
        <f t="shared" si="57"/>
        <v>-6.3020657560525049</v>
      </c>
      <c r="T954" t="str">
        <f t="shared" si="58"/>
        <v>Expert</v>
      </c>
      <c r="U954" t="str">
        <f t="shared" si="59"/>
        <v>Low Impact</v>
      </c>
    </row>
    <row r="955" spans="1:21" x14ac:dyDescent="0.3">
      <c r="A955" t="s">
        <v>1311</v>
      </c>
      <c r="B955">
        <v>36</v>
      </c>
      <c r="C955" t="s">
        <v>54</v>
      </c>
      <c r="D955" t="s">
        <v>28</v>
      </c>
      <c r="E955" t="s">
        <v>51</v>
      </c>
      <c r="F955" t="s">
        <v>75</v>
      </c>
      <c r="G955">
        <v>13</v>
      </c>
      <c r="H955" t="s">
        <v>22</v>
      </c>
      <c r="I955" t="s">
        <v>37</v>
      </c>
      <c r="J955" t="s">
        <v>23</v>
      </c>
      <c r="K955" s="2">
        <v>91358</v>
      </c>
      <c r="L955" s="2">
        <v>80514</v>
      </c>
      <c r="M955" t="s">
        <v>38</v>
      </c>
      <c r="N955">
        <v>48</v>
      </c>
      <c r="O955" t="s">
        <v>25</v>
      </c>
      <c r="P955">
        <v>3</v>
      </c>
      <c r="Q955" s="1">
        <v>11.1</v>
      </c>
      <c r="R955" s="2">
        <f t="shared" si="56"/>
        <v>-10844</v>
      </c>
      <c r="S955" s="1">
        <f t="shared" si="57"/>
        <v>-11.869786991834323</v>
      </c>
      <c r="T955" t="str">
        <f t="shared" si="58"/>
        <v>Intermediate</v>
      </c>
      <c r="U955" t="str">
        <f t="shared" si="59"/>
        <v>Medium Impact</v>
      </c>
    </row>
    <row r="956" spans="1:21" x14ac:dyDescent="0.3">
      <c r="A956" t="s">
        <v>639</v>
      </c>
      <c r="B956">
        <v>58</v>
      </c>
      <c r="C956" t="s">
        <v>18</v>
      </c>
      <c r="D956" t="s">
        <v>40</v>
      </c>
      <c r="E956" t="s">
        <v>51</v>
      </c>
      <c r="F956" t="s">
        <v>130</v>
      </c>
      <c r="G956">
        <v>32</v>
      </c>
      <c r="H956" t="s">
        <v>37</v>
      </c>
      <c r="I956" t="s">
        <v>22</v>
      </c>
      <c r="J956" t="s">
        <v>25</v>
      </c>
      <c r="K956" s="2">
        <v>89197</v>
      </c>
      <c r="L956" s="2">
        <v>101764</v>
      </c>
      <c r="M956" t="s">
        <v>32</v>
      </c>
      <c r="N956">
        <v>51</v>
      </c>
      <c r="O956" t="s">
        <v>25</v>
      </c>
      <c r="P956">
        <v>5</v>
      </c>
      <c r="Q956" s="1">
        <v>11.08</v>
      </c>
      <c r="R956" s="2">
        <f t="shared" si="56"/>
        <v>12567</v>
      </c>
      <c r="S956" s="1">
        <f t="shared" si="57"/>
        <v>14.089038869020259</v>
      </c>
      <c r="T956" t="str">
        <f t="shared" si="58"/>
        <v>Expert</v>
      </c>
      <c r="U956" t="str">
        <f t="shared" si="59"/>
        <v>Low Impact</v>
      </c>
    </row>
    <row r="957" spans="1:21" x14ac:dyDescent="0.3">
      <c r="A957" t="s">
        <v>932</v>
      </c>
      <c r="B957">
        <v>36</v>
      </c>
      <c r="C957" t="s">
        <v>27</v>
      </c>
      <c r="D957" t="s">
        <v>34</v>
      </c>
      <c r="E957" t="s">
        <v>41</v>
      </c>
      <c r="F957" t="s">
        <v>42</v>
      </c>
      <c r="G957">
        <v>12</v>
      </c>
      <c r="H957" t="s">
        <v>37</v>
      </c>
      <c r="I957" t="s">
        <v>37</v>
      </c>
      <c r="J957" t="s">
        <v>25</v>
      </c>
      <c r="K957" s="2">
        <v>93580</v>
      </c>
      <c r="L957" s="2">
        <v>92264</v>
      </c>
      <c r="M957" t="s">
        <v>38</v>
      </c>
      <c r="N957">
        <v>42</v>
      </c>
      <c r="O957" t="s">
        <v>23</v>
      </c>
      <c r="P957">
        <v>7</v>
      </c>
      <c r="Q957" s="1">
        <v>11.08</v>
      </c>
      <c r="R957" s="2">
        <f t="shared" si="56"/>
        <v>-1316</v>
      </c>
      <c r="S957" s="1">
        <f t="shared" si="57"/>
        <v>-1.4062833938875827</v>
      </c>
      <c r="T957" t="str">
        <f t="shared" si="58"/>
        <v>Intermediate</v>
      </c>
      <c r="U957" t="str">
        <f t="shared" si="59"/>
        <v>Medium Impact</v>
      </c>
    </row>
    <row r="958" spans="1:21" x14ac:dyDescent="0.3">
      <c r="A958" t="s">
        <v>532</v>
      </c>
      <c r="B958">
        <v>58</v>
      </c>
      <c r="C958" t="s">
        <v>27</v>
      </c>
      <c r="D958" t="s">
        <v>34</v>
      </c>
      <c r="E958" t="s">
        <v>51</v>
      </c>
      <c r="F958" t="s">
        <v>52</v>
      </c>
      <c r="G958">
        <v>32</v>
      </c>
      <c r="H958" t="s">
        <v>31</v>
      </c>
      <c r="I958" t="s">
        <v>37</v>
      </c>
      <c r="J958" t="s">
        <v>23</v>
      </c>
      <c r="K958" s="2">
        <v>59336</v>
      </c>
      <c r="L958" s="2">
        <v>63250</v>
      </c>
      <c r="M958" t="s">
        <v>38</v>
      </c>
      <c r="N958">
        <v>54</v>
      </c>
      <c r="O958" t="s">
        <v>25</v>
      </c>
      <c r="P958">
        <v>3</v>
      </c>
      <c r="Q958" s="1">
        <v>11.08</v>
      </c>
      <c r="R958" s="2">
        <f t="shared" si="56"/>
        <v>3914</v>
      </c>
      <c r="S958" s="1">
        <f t="shared" si="57"/>
        <v>6.5963327490899282</v>
      </c>
      <c r="T958" t="str">
        <f t="shared" si="58"/>
        <v>Expert</v>
      </c>
      <c r="U958" t="str">
        <f t="shared" si="59"/>
        <v>Medium Impact</v>
      </c>
    </row>
    <row r="959" spans="1:21" x14ac:dyDescent="0.3">
      <c r="A959" t="s">
        <v>948</v>
      </c>
      <c r="B959">
        <v>32</v>
      </c>
      <c r="C959" t="s">
        <v>18</v>
      </c>
      <c r="D959" t="s">
        <v>34</v>
      </c>
      <c r="E959" t="s">
        <v>20</v>
      </c>
      <c r="F959" t="s">
        <v>88</v>
      </c>
      <c r="G959">
        <v>9</v>
      </c>
      <c r="H959" t="s">
        <v>31</v>
      </c>
      <c r="I959" t="s">
        <v>37</v>
      </c>
      <c r="J959" t="s">
        <v>23</v>
      </c>
      <c r="K959" s="2">
        <v>82409</v>
      </c>
      <c r="L959" s="2">
        <v>85268</v>
      </c>
      <c r="M959" t="s">
        <v>38</v>
      </c>
      <c r="N959">
        <v>47</v>
      </c>
      <c r="O959" t="s">
        <v>25</v>
      </c>
      <c r="P959">
        <v>3</v>
      </c>
      <c r="Q959" s="1">
        <v>11</v>
      </c>
      <c r="R959" s="2">
        <f t="shared" si="56"/>
        <v>2859</v>
      </c>
      <c r="S959" s="1">
        <f t="shared" si="57"/>
        <v>3.4692812678226894</v>
      </c>
      <c r="T959" t="str">
        <f t="shared" si="58"/>
        <v>Intermediate</v>
      </c>
      <c r="U959" t="str">
        <f t="shared" si="59"/>
        <v>Medium Impact</v>
      </c>
    </row>
    <row r="960" spans="1:21" x14ac:dyDescent="0.3">
      <c r="A960" t="s">
        <v>378</v>
      </c>
      <c r="B960">
        <v>53</v>
      </c>
      <c r="C960" t="s">
        <v>27</v>
      </c>
      <c r="D960" t="s">
        <v>40</v>
      </c>
      <c r="E960" t="s">
        <v>41</v>
      </c>
      <c r="F960" t="s">
        <v>42</v>
      </c>
      <c r="G960">
        <v>30</v>
      </c>
      <c r="H960" t="s">
        <v>37</v>
      </c>
      <c r="I960" t="s">
        <v>22</v>
      </c>
      <c r="J960" t="s">
        <v>25</v>
      </c>
      <c r="K960" s="2">
        <v>72533</v>
      </c>
      <c r="L960" s="2">
        <v>67077</v>
      </c>
      <c r="M960" t="s">
        <v>32</v>
      </c>
      <c r="N960">
        <v>51</v>
      </c>
      <c r="O960" t="s">
        <v>25</v>
      </c>
      <c r="P960">
        <v>9</v>
      </c>
      <c r="Q960" s="1">
        <v>10.88</v>
      </c>
      <c r="R960" s="2">
        <f t="shared" si="56"/>
        <v>-5456</v>
      </c>
      <c r="S960" s="1">
        <f t="shared" si="57"/>
        <v>-7.5220933919733088</v>
      </c>
      <c r="T960" t="str">
        <f t="shared" si="58"/>
        <v>Expert</v>
      </c>
      <c r="U960" t="str">
        <f t="shared" si="59"/>
        <v>Low Impact</v>
      </c>
    </row>
    <row r="961" spans="1:21" x14ac:dyDescent="0.3">
      <c r="A961" t="s">
        <v>651</v>
      </c>
      <c r="B961">
        <v>27</v>
      </c>
      <c r="C961" t="s">
        <v>27</v>
      </c>
      <c r="D961" t="s">
        <v>19</v>
      </c>
      <c r="E961" t="s">
        <v>35</v>
      </c>
      <c r="F961" t="s">
        <v>132</v>
      </c>
      <c r="G961">
        <v>5</v>
      </c>
      <c r="H961" t="s">
        <v>31</v>
      </c>
      <c r="I961" t="s">
        <v>37</v>
      </c>
      <c r="J961" t="s">
        <v>23</v>
      </c>
      <c r="K961" s="2">
        <v>32103</v>
      </c>
      <c r="L961" s="2">
        <v>31466</v>
      </c>
      <c r="M961" t="s">
        <v>38</v>
      </c>
      <c r="N961">
        <v>41</v>
      </c>
      <c r="O961" t="s">
        <v>25</v>
      </c>
      <c r="P961">
        <v>7</v>
      </c>
      <c r="Q961" s="1">
        <v>10.85</v>
      </c>
      <c r="R961" s="2">
        <f t="shared" si="56"/>
        <v>-637</v>
      </c>
      <c r="S961" s="1">
        <f t="shared" si="57"/>
        <v>-1.9842382331869295</v>
      </c>
      <c r="T961" t="str">
        <f t="shared" si="58"/>
        <v>Intermediate</v>
      </c>
      <c r="U961" t="str">
        <f t="shared" si="59"/>
        <v>Medium Impact</v>
      </c>
    </row>
    <row r="962" spans="1:21" x14ac:dyDescent="0.3">
      <c r="A962" t="s">
        <v>1000</v>
      </c>
      <c r="B962">
        <v>29</v>
      </c>
      <c r="C962" t="s">
        <v>27</v>
      </c>
      <c r="D962" t="s">
        <v>40</v>
      </c>
      <c r="E962" t="s">
        <v>51</v>
      </c>
      <c r="F962" t="s">
        <v>75</v>
      </c>
      <c r="G962">
        <v>5</v>
      </c>
      <c r="H962" t="s">
        <v>37</v>
      </c>
      <c r="I962" t="s">
        <v>22</v>
      </c>
      <c r="J962" t="s">
        <v>23</v>
      </c>
      <c r="K962" s="2">
        <v>65362</v>
      </c>
      <c r="L962" s="2">
        <v>69617</v>
      </c>
      <c r="M962" t="s">
        <v>32</v>
      </c>
      <c r="N962">
        <v>38</v>
      </c>
      <c r="O962" t="s">
        <v>25</v>
      </c>
      <c r="P962">
        <v>9</v>
      </c>
      <c r="Q962" s="1">
        <v>10.84</v>
      </c>
      <c r="R962" s="2">
        <f t="shared" ref="R962:R1025" si="60">L962-K962</f>
        <v>4255</v>
      </c>
      <c r="S962" s="1">
        <f t="shared" ref="S962:S1025" si="61">(L962-K962)/K962*100</f>
        <v>6.5098987179094889</v>
      </c>
      <c r="T962" t="str">
        <f t="shared" ref="T962:T1025" si="62">IF(G962&lt;5,"Beginner",IF(G962&lt;15,"Intermediate","Expert"))</f>
        <v>Intermediate</v>
      </c>
      <c r="U962" t="str">
        <f t="shared" ref="U962:U1025" si="63">IF(M962="Replaced","High Impact",IF(M962="Modified","Medium Impact","Low Impact"))</f>
        <v>Low Impact</v>
      </c>
    </row>
    <row r="963" spans="1:21" x14ac:dyDescent="0.3">
      <c r="A963" t="s">
        <v>1761</v>
      </c>
      <c r="B963">
        <v>53</v>
      </c>
      <c r="C963" t="s">
        <v>27</v>
      </c>
      <c r="D963" t="s">
        <v>19</v>
      </c>
      <c r="E963" t="s">
        <v>44</v>
      </c>
      <c r="F963" t="s">
        <v>57</v>
      </c>
      <c r="G963">
        <v>30</v>
      </c>
      <c r="H963" t="s">
        <v>22</v>
      </c>
      <c r="I963" t="s">
        <v>31</v>
      </c>
      <c r="J963" t="s">
        <v>23</v>
      </c>
      <c r="K963" s="2">
        <v>37711</v>
      </c>
      <c r="L963" s="2">
        <v>36154</v>
      </c>
      <c r="M963" t="s">
        <v>32</v>
      </c>
      <c r="N963">
        <v>40</v>
      </c>
      <c r="O963" t="s">
        <v>25</v>
      </c>
      <c r="P963">
        <v>6</v>
      </c>
      <c r="Q963" s="1">
        <v>10.84</v>
      </c>
      <c r="R963" s="2">
        <f t="shared" si="60"/>
        <v>-1557</v>
      </c>
      <c r="S963" s="1">
        <f t="shared" si="61"/>
        <v>-4.1287687942510143</v>
      </c>
      <c r="T963" t="str">
        <f t="shared" si="62"/>
        <v>Expert</v>
      </c>
      <c r="U963" t="str">
        <f t="shared" si="63"/>
        <v>Low Impact</v>
      </c>
    </row>
    <row r="964" spans="1:21" x14ac:dyDescent="0.3">
      <c r="A964" t="s">
        <v>1532</v>
      </c>
      <c r="B964">
        <v>48</v>
      </c>
      <c r="C964" t="s">
        <v>27</v>
      </c>
      <c r="D964" t="s">
        <v>40</v>
      </c>
      <c r="E964" t="s">
        <v>59</v>
      </c>
      <c r="F964" t="s">
        <v>77</v>
      </c>
      <c r="G964">
        <v>23</v>
      </c>
      <c r="H964" t="s">
        <v>22</v>
      </c>
      <c r="I964" t="s">
        <v>37</v>
      </c>
      <c r="J964" t="s">
        <v>25</v>
      </c>
      <c r="K964" s="2">
        <v>101524</v>
      </c>
      <c r="L964" s="2">
        <v>86791</v>
      </c>
      <c r="M964" t="s">
        <v>38</v>
      </c>
      <c r="N964">
        <v>48</v>
      </c>
      <c r="O964" t="s">
        <v>25</v>
      </c>
      <c r="P964">
        <v>4</v>
      </c>
      <c r="Q964" s="1">
        <v>10.83</v>
      </c>
      <c r="R964" s="2">
        <f t="shared" si="60"/>
        <v>-14733</v>
      </c>
      <c r="S964" s="1">
        <f t="shared" si="61"/>
        <v>-14.511839565028959</v>
      </c>
      <c r="T964" t="str">
        <f t="shared" si="62"/>
        <v>Expert</v>
      </c>
      <c r="U964" t="str">
        <f t="shared" si="63"/>
        <v>Medium Impact</v>
      </c>
    </row>
    <row r="965" spans="1:21" x14ac:dyDescent="0.3">
      <c r="A965" t="s">
        <v>1542</v>
      </c>
      <c r="B965">
        <v>26</v>
      </c>
      <c r="C965" t="s">
        <v>27</v>
      </c>
      <c r="D965" t="s">
        <v>34</v>
      </c>
      <c r="E965" t="s">
        <v>51</v>
      </c>
      <c r="F965" t="s">
        <v>75</v>
      </c>
      <c r="G965">
        <v>2</v>
      </c>
      <c r="H965" t="s">
        <v>31</v>
      </c>
      <c r="I965" t="s">
        <v>22</v>
      </c>
      <c r="J965" t="s">
        <v>23</v>
      </c>
      <c r="K965" s="2">
        <v>92695</v>
      </c>
      <c r="L965" s="2">
        <v>93594</v>
      </c>
      <c r="M965" t="s">
        <v>32</v>
      </c>
      <c r="N965">
        <v>54</v>
      </c>
      <c r="O965" t="s">
        <v>25</v>
      </c>
      <c r="P965">
        <v>9</v>
      </c>
      <c r="Q965" s="1">
        <v>10.82</v>
      </c>
      <c r="R965" s="2">
        <f t="shared" si="60"/>
        <v>899</v>
      </c>
      <c r="S965" s="1">
        <f t="shared" si="61"/>
        <v>0.9698473488321917</v>
      </c>
      <c r="T965" t="str">
        <f t="shared" si="62"/>
        <v>Beginner</v>
      </c>
      <c r="U965" t="str">
        <f t="shared" si="63"/>
        <v>Low Impact</v>
      </c>
    </row>
    <row r="966" spans="1:21" x14ac:dyDescent="0.3">
      <c r="A966" t="s">
        <v>1055</v>
      </c>
      <c r="B966">
        <v>57</v>
      </c>
      <c r="C966" t="s">
        <v>18</v>
      </c>
      <c r="D966" t="s">
        <v>28</v>
      </c>
      <c r="E966" t="s">
        <v>41</v>
      </c>
      <c r="F966" t="s">
        <v>42</v>
      </c>
      <c r="G966">
        <v>35</v>
      </c>
      <c r="H966" t="s">
        <v>37</v>
      </c>
      <c r="I966" t="s">
        <v>22</v>
      </c>
      <c r="J966" t="s">
        <v>23</v>
      </c>
      <c r="K966" s="2">
        <v>97288</v>
      </c>
      <c r="L966" s="2">
        <v>102583</v>
      </c>
      <c r="M966" t="s">
        <v>32</v>
      </c>
      <c r="N966">
        <v>39</v>
      </c>
      <c r="O966" t="s">
        <v>25</v>
      </c>
      <c r="P966">
        <v>5</v>
      </c>
      <c r="Q966" s="1">
        <v>10.8</v>
      </c>
      <c r="R966" s="2">
        <f t="shared" si="60"/>
        <v>5295</v>
      </c>
      <c r="S966" s="1">
        <f t="shared" si="61"/>
        <v>5.4426034043253022</v>
      </c>
      <c r="T966" t="str">
        <f t="shared" si="62"/>
        <v>Expert</v>
      </c>
      <c r="U966" t="str">
        <f t="shared" si="63"/>
        <v>Low Impact</v>
      </c>
    </row>
    <row r="967" spans="1:21" x14ac:dyDescent="0.3">
      <c r="A967" t="s">
        <v>880</v>
      </c>
      <c r="B967">
        <v>38</v>
      </c>
      <c r="C967" t="s">
        <v>54</v>
      </c>
      <c r="D967" t="s">
        <v>40</v>
      </c>
      <c r="E967" t="s">
        <v>20</v>
      </c>
      <c r="F967" t="s">
        <v>21</v>
      </c>
      <c r="G967">
        <v>15</v>
      </c>
      <c r="H967" t="s">
        <v>22</v>
      </c>
      <c r="I967" t="s">
        <v>22</v>
      </c>
      <c r="J967" t="s">
        <v>25</v>
      </c>
      <c r="K967" s="2">
        <v>81702</v>
      </c>
      <c r="L967" s="2">
        <v>102231</v>
      </c>
      <c r="M967" t="s">
        <v>38</v>
      </c>
      <c r="N967">
        <v>36</v>
      </c>
      <c r="O967" t="s">
        <v>23</v>
      </c>
      <c r="P967">
        <v>8</v>
      </c>
      <c r="Q967" s="1">
        <v>10.77</v>
      </c>
      <c r="R967" s="2">
        <f t="shared" si="60"/>
        <v>20529</v>
      </c>
      <c r="S967" s="1">
        <f t="shared" si="61"/>
        <v>25.126679885437319</v>
      </c>
      <c r="T967" t="str">
        <f t="shared" si="62"/>
        <v>Expert</v>
      </c>
      <c r="U967" t="str">
        <f t="shared" si="63"/>
        <v>Medium Impact</v>
      </c>
    </row>
    <row r="968" spans="1:21" x14ac:dyDescent="0.3">
      <c r="A968" t="s">
        <v>602</v>
      </c>
      <c r="B968">
        <v>42</v>
      </c>
      <c r="C968" t="s">
        <v>54</v>
      </c>
      <c r="D968" t="s">
        <v>19</v>
      </c>
      <c r="E968" t="s">
        <v>51</v>
      </c>
      <c r="F968" t="s">
        <v>130</v>
      </c>
      <c r="G968">
        <v>20</v>
      </c>
      <c r="H968" t="s">
        <v>22</v>
      </c>
      <c r="I968" t="s">
        <v>37</v>
      </c>
      <c r="J968" t="s">
        <v>23</v>
      </c>
      <c r="K968" s="2">
        <v>90686</v>
      </c>
      <c r="L968" s="2">
        <v>117016</v>
      </c>
      <c r="M968" t="s">
        <v>38</v>
      </c>
      <c r="N968">
        <v>53</v>
      </c>
      <c r="O968" t="s">
        <v>23</v>
      </c>
      <c r="P968">
        <v>6</v>
      </c>
      <c r="Q968" s="1">
        <v>10.76</v>
      </c>
      <c r="R968" s="2">
        <f t="shared" si="60"/>
        <v>26330</v>
      </c>
      <c r="S968" s="1">
        <f t="shared" si="61"/>
        <v>29.034250049621775</v>
      </c>
      <c r="T968" t="str">
        <f t="shared" si="62"/>
        <v>Expert</v>
      </c>
      <c r="U968" t="str">
        <f t="shared" si="63"/>
        <v>Medium Impact</v>
      </c>
    </row>
    <row r="969" spans="1:21" x14ac:dyDescent="0.3">
      <c r="A969" t="s">
        <v>374</v>
      </c>
      <c r="B969">
        <v>44</v>
      </c>
      <c r="C969" t="s">
        <v>27</v>
      </c>
      <c r="D969" t="s">
        <v>40</v>
      </c>
      <c r="E969" t="s">
        <v>44</v>
      </c>
      <c r="F969" t="s">
        <v>45</v>
      </c>
      <c r="G969">
        <v>18</v>
      </c>
      <c r="H969" t="s">
        <v>31</v>
      </c>
      <c r="I969" t="s">
        <v>22</v>
      </c>
      <c r="J969" t="s">
        <v>25</v>
      </c>
      <c r="K969" s="2">
        <v>77684</v>
      </c>
      <c r="L969" s="2">
        <v>82392</v>
      </c>
      <c r="M969" t="s">
        <v>32</v>
      </c>
      <c r="N969">
        <v>39</v>
      </c>
      <c r="O969" t="s">
        <v>23</v>
      </c>
      <c r="P969">
        <v>7</v>
      </c>
      <c r="Q969" s="1">
        <v>10.73</v>
      </c>
      <c r="R969" s="2">
        <f t="shared" si="60"/>
        <v>4708</v>
      </c>
      <c r="S969" s="1">
        <f t="shared" si="61"/>
        <v>6.0604500283198606</v>
      </c>
      <c r="T969" t="str">
        <f t="shared" si="62"/>
        <v>Expert</v>
      </c>
      <c r="U969" t="str">
        <f t="shared" si="63"/>
        <v>Low Impact</v>
      </c>
    </row>
    <row r="970" spans="1:21" x14ac:dyDescent="0.3">
      <c r="A970" t="s">
        <v>1648</v>
      </c>
      <c r="B970">
        <v>31</v>
      </c>
      <c r="C970" t="s">
        <v>54</v>
      </c>
      <c r="D970" t="s">
        <v>28</v>
      </c>
      <c r="E970" t="s">
        <v>44</v>
      </c>
      <c r="F970" t="s">
        <v>57</v>
      </c>
      <c r="G970">
        <v>8</v>
      </c>
      <c r="H970" t="s">
        <v>22</v>
      </c>
      <c r="I970" t="s">
        <v>22</v>
      </c>
      <c r="J970" t="s">
        <v>23</v>
      </c>
      <c r="K970" s="2">
        <v>32921</v>
      </c>
      <c r="L970" s="2">
        <v>45331</v>
      </c>
      <c r="M970" t="s">
        <v>38</v>
      </c>
      <c r="N970">
        <v>40</v>
      </c>
      <c r="O970" t="s">
        <v>23</v>
      </c>
      <c r="P970">
        <v>5</v>
      </c>
      <c r="Q970" s="1">
        <v>10.69</v>
      </c>
      <c r="R970" s="2">
        <f t="shared" si="60"/>
        <v>12410</v>
      </c>
      <c r="S970" s="1">
        <f t="shared" si="61"/>
        <v>37.696303271468061</v>
      </c>
      <c r="T970" t="str">
        <f t="shared" si="62"/>
        <v>Intermediate</v>
      </c>
      <c r="U970" t="str">
        <f t="shared" si="63"/>
        <v>Medium Impact</v>
      </c>
    </row>
    <row r="971" spans="1:21" x14ac:dyDescent="0.3">
      <c r="A971" t="s">
        <v>1787</v>
      </c>
      <c r="B971">
        <v>41</v>
      </c>
      <c r="C971" t="s">
        <v>54</v>
      </c>
      <c r="D971" t="s">
        <v>28</v>
      </c>
      <c r="E971" t="s">
        <v>29</v>
      </c>
      <c r="F971" t="s">
        <v>102</v>
      </c>
      <c r="G971">
        <v>15</v>
      </c>
      <c r="H971" t="s">
        <v>37</v>
      </c>
      <c r="I971" t="s">
        <v>37</v>
      </c>
      <c r="J971" t="s">
        <v>23</v>
      </c>
      <c r="K971" s="2">
        <v>37235</v>
      </c>
      <c r="L971" s="2">
        <v>36525</v>
      </c>
      <c r="M971" t="s">
        <v>38</v>
      </c>
      <c r="N971">
        <v>36</v>
      </c>
      <c r="O971" t="s">
        <v>25</v>
      </c>
      <c r="P971">
        <v>3</v>
      </c>
      <c r="Q971" s="1">
        <v>10.69</v>
      </c>
      <c r="R971" s="2">
        <f t="shared" si="60"/>
        <v>-710</v>
      </c>
      <c r="S971" s="1">
        <f t="shared" si="61"/>
        <v>-1.9068081106485835</v>
      </c>
      <c r="T971" t="str">
        <f t="shared" si="62"/>
        <v>Expert</v>
      </c>
      <c r="U971" t="str">
        <f t="shared" si="63"/>
        <v>Medium Impact</v>
      </c>
    </row>
    <row r="972" spans="1:21" x14ac:dyDescent="0.3">
      <c r="A972" t="s">
        <v>1946</v>
      </c>
      <c r="B972">
        <v>50</v>
      </c>
      <c r="C972" t="s">
        <v>18</v>
      </c>
      <c r="D972" t="s">
        <v>34</v>
      </c>
      <c r="E972" t="s">
        <v>20</v>
      </c>
      <c r="F972" t="s">
        <v>118</v>
      </c>
      <c r="G972">
        <v>26</v>
      </c>
      <c r="H972" t="s">
        <v>22</v>
      </c>
      <c r="I972" t="s">
        <v>31</v>
      </c>
      <c r="J972" t="s">
        <v>23</v>
      </c>
      <c r="K972" s="2">
        <v>111008</v>
      </c>
      <c r="L972" s="2">
        <v>139659</v>
      </c>
      <c r="M972" t="s">
        <v>32</v>
      </c>
      <c r="N972">
        <v>53</v>
      </c>
      <c r="O972" t="s">
        <v>25</v>
      </c>
      <c r="P972">
        <v>8</v>
      </c>
      <c r="Q972" s="1">
        <v>10.65</v>
      </c>
      <c r="R972" s="2">
        <f t="shared" si="60"/>
        <v>28651</v>
      </c>
      <c r="S972" s="1">
        <f t="shared" si="61"/>
        <v>25.809851542231186</v>
      </c>
      <c r="T972" t="str">
        <f t="shared" si="62"/>
        <v>Expert</v>
      </c>
      <c r="U972" t="str">
        <f t="shared" si="63"/>
        <v>Low Impact</v>
      </c>
    </row>
    <row r="973" spans="1:21" x14ac:dyDescent="0.3">
      <c r="A973" t="s">
        <v>2012</v>
      </c>
      <c r="B973">
        <v>50</v>
      </c>
      <c r="C973" t="s">
        <v>18</v>
      </c>
      <c r="D973" t="s">
        <v>40</v>
      </c>
      <c r="E973" t="s">
        <v>51</v>
      </c>
      <c r="F973" t="s">
        <v>130</v>
      </c>
      <c r="G973">
        <v>26</v>
      </c>
      <c r="H973" t="s">
        <v>37</v>
      </c>
      <c r="I973" t="s">
        <v>22</v>
      </c>
      <c r="J973" t="s">
        <v>23</v>
      </c>
      <c r="K973" s="2">
        <v>81500</v>
      </c>
      <c r="L973" s="2">
        <v>77915</v>
      </c>
      <c r="M973" t="s">
        <v>32</v>
      </c>
      <c r="N973">
        <v>45</v>
      </c>
      <c r="O973" t="s">
        <v>25</v>
      </c>
      <c r="P973">
        <v>8</v>
      </c>
      <c r="Q973" s="1">
        <v>10.61</v>
      </c>
      <c r="R973" s="2">
        <f t="shared" si="60"/>
        <v>-3585</v>
      </c>
      <c r="S973" s="1">
        <f t="shared" si="61"/>
        <v>-4.3987730061349692</v>
      </c>
      <c r="T973" t="str">
        <f t="shared" si="62"/>
        <v>Expert</v>
      </c>
      <c r="U973" t="str">
        <f t="shared" si="63"/>
        <v>Low Impact</v>
      </c>
    </row>
    <row r="974" spans="1:21" x14ac:dyDescent="0.3">
      <c r="A974" t="s">
        <v>1884</v>
      </c>
      <c r="B974">
        <v>41</v>
      </c>
      <c r="C974" t="s">
        <v>54</v>
      </c>
      <c r="D974" t="s">
        <v>28</v>
      </c>
      <c r="E974" t="s">
        <v>51</v>
      </c>
      <c r="F974" t="s">
        <v>130</v>
      </c>
      <c r="G974">
        <v>15</v>
      </c>
      <c r="H974" t="s">
        <v>31</v>
      </c>
      <c r="I974" t="s">
        <v>31</v>
      </c>
      <c r="J974" t="s">
        <v>23</v>
      </c>
      <c r="K974" s="2">
        <v>90669</v>
      </c>
      <c r="L974" s="2">
        <v>90267</v>
      </c>
      <c r="M974" t="s">
        <v>32</v>
      </c>
      <c r="N974">
        <v>36</v>
      </c>
      <c r="O974" t="s">
        <v>23</v>
      </c>
      <c r="P974">
        <v>7</v>
      </c>
      <c r="Q974" s="1">
        <v>10.57</v>
      </c>
      <c r="R974" s="2">
        <f t="shared" si="60"/>
        <v>-402</v>
      </c>
      <c r="S974" s="1">
        <f t="shared" si="61"/>
        <v>-0.44337094265956389</v>
      </c>
      <c r="T974" t="str">
        <f t="shared" si="62"/>
        <v>Expert</v>
      </c>
      <c r="U974" t="str">
        <f t="shared" si="63"/>
        <v>Low Impact</v>
      </c>
    </row>
    <row r="975" spans="1:21" x14ac:dyDescent="0.3">
      <c r="A975" t="s">
        <v>1192</v>
      </c>
      <c r="B975">
        <v>45</v>
      </c>
      <c r="C975" t="s">
        <v>27</v>
      </c>
      <c r="D975" t="s">
        <v>19</v>
      </c>
      <c r="E975" t="s">
        <v>20</v>
      </c>
      <c r="F975" t="s">
        <v>118</v>
      </c>
      <c r="G975">
        <v>23</v>
      </c>
      <c r="H975" t="s">
        <v>31</v>
      </c>
      <c r="I975" t="s">
        <v>22</v>
      </c>
      <c r="J975" t="s">
        <v>25</v>
      </c>
      <c r="K975" s="2">
        <v>35409</v>
      </c>
      <c r="L975" s="2">
        <v>37882</v>
      </c>
      <c r="M975" t="s">
        <v>32</v>
      </c>
      <c r="N975">
        <v>47</v>
      </c>
      <c r="O975" t="s">
        <v>25</v>
      </c>
      <c r="P975">
        <v>9</v>
      </c>
      <c r="Q975" s="1">
        <v>10.51</v>
      </c>
      <c r="R975" s="2">
        <f t="shared" si="60"/>
        <v>2473</v>
      </c>
      <c r="S975" s="1">
        <f t="shared" si="61"/>
        <v>6.984100087548363</v>
      </c>
      <c r="T975" t="str">
        <f t="shared" si="62"/>
        <v>Expert</v>
      </c>
      <c r="U975" t="str">
        <f t="shared" si="63"/>
        <v>Low Impact</v>
      </c>
    </row>
    <row r="976" spans="1:21" x14ac:dyDescent="0.3">
      <c r="A976" t="s">
        <v>1994</v>
      </c>
      <c r="B976">
        <v>27</v>
      </c>
      <c r="C976" t="s">
        <v>18</v>
      </c>
      <c r="D976" t="s">
        <v>19</v>
      </c>
      <c r="E976" t="s">
        <v>29</v>
      </c>
      <c r="F976" t="s">
        <v>104</v>
      </c>
      <c r="G976">
        <v>5</v>
      </c>
      <c r="H976" t="s">
        <v>31</v>
      </c>
      <c r="I976" t="s">
        <v>31</v>
      </c>
      <c r="J976" t="s">
        <v>23</v>
      </c>
      <c r="K976" s="2">
        <v>39664</v>
      </c>
      <c r="L976" s="2">
        <v>43048</v>
      </c>
      <c r="M976" t="s">
        <v>32</v>
      </c>
      <c r="N976">
        <v>35</v>
      </c>
      <c r="O976" t="s">
        <v>23</v>
      </c>
      <c r="P976">
        <v>8</v>
      </c>
      <c r="Q976" s="1">
        <v>10.5</v>
      </c>
      <c r="R976" s="2">
        <f t="shared" si="60"/>
        <v>3384</v>
      </c>
      <c r="S976" s="1">
        <f t="shared" si="61"/>
        <v>8.5316659943525615</v>
      </c>
      <c r="T976" t="str">
        <f t="shared" si="62"/>
        <v>Intermediate</v>
      </c>
      <c r="U976" t="str">
        <f t="shared" si="63"/>
        <v>Low Impact</v>
      </c>
    </row>
    <row r="977" spans="1:21" x14ac:dyDescent="0.3">
      <c r="A977" t="s">
        <v>1720</v>
      </c>
      <c r="B977">
        <v>50</v>
      </c>
      <c r="C977" t="s">
        <v>54</v>
      </c>
      <c r="D977" t="s">
        <v>34</v>
      </c>
      <c r="E977" t="s">
        <v>20</v>
      </c>
      <c r="F977" t="s">
        <v>118</v>
      </c>
      <c r="G977">
        <v>28</v>
      </c>
      <c r="H977" t="s">
        <v>37</v>
      </c>
      <c r="I977" t="s">
        <v>22</v>
      </c>
      <c r="J977" t="s">
        <v>25</v>
      </c>
      <c r="K977" s="2">
        <v>102105</v>
      </c>
      <c r="L977" s="2">
        <v>100322</v>
      </c>
      <c r="M977" t="s">
        <v>32</v>
      </c>
      <c r="N977">
        <v>52</v>
      </c>
      <c r="O977" t="s">
        <v>25</v>
      </c>
      <c r="P977">
        <v>7</v>
      </c>
      <c r="Q977" s="1">
        <v>10.43</v>
      </c>
      <c r="R977" s="2">
        <f t="shared" si="60"/>
        <v>-1783</v>
      </c>
      <c r="S977" s="1">
        <f t="shared" si="61"/>
        <v>-1.7462416140247783</v>
      </c>
      <c r="T977" t="str">
        <f t="shared" si="62"/>
        <v>Expert</v>
      </c>
      <c r="U977" t="str">
        <f t="shared" si="63"/>
        <v>Low Impact</v>
      </c>
    </row>
    <row r="978" spans="1:21" x14ac:dyDescent="0.3">
      <c r="A978" t="s">
        <v>429</v>
      </c>
      <c r="B978">
        <v>24</v>
      </c>
      <c r="C978" t="s">
        <v>27</v>
      </c>
      <c r="D978" t="s">
        <v>40</v>
      </c>
      <c r="E978" t="s">
        <v>41</v>
      </c>
      <c r="F978" t="s">
        <v>55</v>
      </c>
      <c r="G978">
        <v>0</v>
      </c>
      <c r="H978" t="s">
        <v>31</v>
      </c>
      <c r="I978" t="s">
        <v>31</v>
      </c>
      <c r="J978" t="s">
        <v>25</v>
      </c>
      <c r="K978" s="2">
        <v>109473</v>
      </c>
      <c r="L978" s="2">
        <v>106772</v>
      </c>
      <c r="M978" t="s">
        <v>32</v>
      </c>
      <c r="N978">
        <v>35</v>
      </c>
      <c r="O978" t="s">
        <v>25</v>
      </c>
      <c r="P978">
        <v>9</v>
      </c>
      <c r="Q978" s="1">
        <v>10.42</v>
      </c>
      <c r="R978" s="2">
        <f t="shared" si="60"/>
        <v>-2701</v>
      </c>
      <c r="S978" s="1">
        <f t="shared" si="61"/>
        <v>-2.4672750358535898</v>
      </c>
      <c r="T978" t="str">
        <f t="shared" si="62"/>
        <v>Beginner</v>
      </c>
      <c r="U978" t="str">
        <f t="shared" si="63"/>
        <v>Low Impact</v>
      </c>
    </row>
    <row r="979" spans="1:21" x14ac:dyDescent="0.3">
      <c r="A979" t="s">
        <v>1947</v>
      </c>
      <c r="B979">
        <v>55</v>
      </c>
      <c r="C979" t="s">
        <v>18</v>
      </c>
      <c r="D979" t="s">
        <v>19</v>
      </c>
      <c r="E979" t="s">
        <v>35</v>
      </c>
      <c r="F979" t="s">
        <v>98</v>
      </c>
      <c r="G979">
        <v>33</v>
      </c>
      <c r="H979" t="s">
        <v>31</v>
      </c>
      <c r="I979" t="s">
        <v>37</v>
      </c>
      <c r="J979" t="s">
        <v>23</v>
      </c>
      <c r="K979" s="2">
        <v>116219</v>
      </c>
      <c r="L979" s="2">
        <v>112293</v>
      </c>
      <c r="M979" t="s">
        <v>38</v>
      </c>
      <c r="N979">
        <v>52</v>
      </c>
      <c r="O979" t="s">
        <v>25</v>
      </c>
      <c r="P979">
        <v>5</v>
      </c>
      <c r="Q979" s="1">
        <v>10.39</v>
      </c>
      <c r="R979" s="2">
        <f t="shared" si="60"/>
        <v>-3926</v>
      </c>
      <c r="S979" s="1">
        <f t="shared" si="61"/>
        <v>-3.3781051291096977</v>
      </c>
      <c r="T979" t="str">
        <f t="shared" si="62"/>
        <v>Expert</v>
      </c>
      <c r="U979" t="str">
        <f t="shared" si="63"/>
        <v>Medium Impact</v>
      </c>
    </row>
    <row r="980" spans="1:21" x14ac:dyDescent="0.3">
      <c r="A980" t="s">
        <v>1487</v>
      </c>
      <c r="B980">
        <v>50</v>
      </c>
      <c r="C980" t="s">
        <v>54</v>
      </c>
      <c r="D980" t="s">
        <v>19</v>
      </c>
      <c r="E980" t="s">
        <v>41</v>
      </c>
      <c r="F980" t="s">
        <v>49</v>
      </c>
      <c r="G980">
        <v>25</v>
      </c>
      <c r="H980" t="s">
        <v>37</v>
      </c>
      <c r="I980" t="s">
        <v>22</v>
      </c>
      <c r="J980" t="s">
        <v>23</v>
      </c>
      <c r="K980" s="2">
        <v>57659</v>
      </c>
      <c r="L980" s="2">
        <v>58456</v>
      </c>
      <c r="M980" t="s">
        <v>32</v>
      </c>
      <c r="N980">
        <v>50</v>
      </c>
      <c r="O980" t="s">
        <v>25</v>
      </c>
      <c r="P980">
        <v>5</v>
      </c>
      <c r="Q980" s="1">
        <v>10.39</v>
      </c>
      <c r="R980" s="2">
        <f t="shared" si="60"/>
        <v>797</v>
      </c>
      <c r="S980" s="1">
        <f t="shared" si="61"/>
        <v>1.3822646941500893</v>
      </c>
      <c r="T980" t="str">
        <f t="shared" si="62"/>
        <v>Expert</v>
      </c>
      <c r="U980" t="str">
        <f t="shared" si="63"/>
        <v>Low Impact</v>
      </c>
    </row>
    <row r="981" spans="1:21" x14ac:dyDescent="0.3">
      <c r="A981" t="s">
        <v>1284</v>
      </c>
      <c r="B981">
        <v>58</v>
      </c>
      <c r="C981" t="s">
        <v>18</v>
      </c>
      <c r="D981" t="s">
        <v>34</v>
      </c>
      <c r="E981" t="s">
        <v>44</v>
      </c>
      <c r="F981" t="s">
        <v>57</v>
      </c>
      <c r="G981">
        <v>33</v>
      </c>
      <c r="H981" t="s">
        <v>22</v>
      </c>
      <c r="I981" t="s">
        <v>22</v>
      </c>
      <c r="J981" t="s">
        <v>23</v>
      </c>
      <c r="K981" s="2">
        <v>54843</v>
      </c>
      <c r="L981" s="2">
        <v>63315</v>
      </c>
      <c r="M981" t="s">
        <v>24</v>
      </c>
      <c r="N981">
        <v>43</v>
      </c>
      <c r="O981" t="s">
        <v>25</v>
      </c>
      <c r="P981">
        <v>8</v>
      </c>
      <c r="Q981" s="1">
        <v>10.35</v>
      </c>
      <c r="R981" s="2">
        <f t="shared" si="60"/>
        <v>8472</v>
      </c>
      <c r="S981" s="1">
        <f t="shared" si="61"/>
        <v>15.447732618565723</v>
      </c>
      <c r="T981" t="str">
        <f t="shared" si="62"/>
        <v>Expert</v>
      </c>
      <c r="U981" t="str">
        <f t="shared" si="63"/>
        <v>High Impact</v>
      </c>
    </row>
    <row r="982" spans="1:21" x14ac:dyDescent="0.3">
      <c r="A982" t="s">
        <v>618</v>
      </c>
      <c r="B982">
        <v>53</v>
      </c>
      <c r="C982" t="s">
        <v>54</v>
      </c>
      <c r="D982" t="s">
        <v>19</v>
      </c>
      <c r="E982" t="s">
        <v>41</v>
      </c>
      <c r="F982" t="s">
        <v>55</v>
      </c>
      <c r="G982">
        <v>27</v>
      </c>
      <c r="H982" t="s">
        <v>37</v>
      </c>
      <c r="I982" t="s">
        <v>22</v>
      </c>
      <c r="J982" t="s">
        <v>23</v>
      </c>
      <c r="K982" s="2">
        <v>92061</v>
      </c>
      <c r="L982" s="2">
        <v>92643</v>
      </c>
      <c r="M982" t="s">
        <v>32</v>
      </c>
      <c r="N982">
        <v>41</v>
      </c>
      <c r="O982" t="s">
        <v>25</v>
      </c>
      <c r="P982">
        <v>3</v>
      </c>
      <c r="Q982" s="1">
        <v>10.34</v>
      </c>
      <c r="R982" s="2">
        <f t="shared" si="60"/>
        <v>582</v>
      </c>
      <c r="S982" s="1">
        <f t="shared" si="61"/>
        <v>0.63218952650959692</v>
      </c>
      <c r="T982" t="str">
        <f t="shared" si="62"/>
        <v>Expert</v>
      </c>
      <c r="U982" t="str">
        <f t="shared" si="63"/>
        <v>Low Impact</v>
      </c>
    </row>
    <row r="983" spans="1:21" x14ac:dyDescent="0.3">
      <c r="A983" t="s">
        <v>297</v>
      </c>
      <c r="B983">
        <v>25</v>
      </c>
      <c r="C983" t="s">
        <v>54</v>
      </c>
      <c r="D983" t="s">
        <v>34</v>
      </c>
      <c r="E983" t="s">
        <v>44</v>
      </c>
      <c r="F983" t="s">
        <v>57</v>
      </c>
      <c r="G983">
        <v>0</v>
      </c>
      <c r="H983" t="s">
        <v>37</v>
      </c>
      <c r="I983" t="s">
        <v>31</v>
      </c>
      <c r="J983" t="s">
        <v>23</v>
      </c>
      <c r="K983" s="2">
        <v>55963</v>
      </c>
      <c r="L983" s="2">
        <v>63255</v>
      </c>
      <c r="M983" t="s">
        <v>32</v>
      </c>
      <c r="N983">
        <v>52</v>
      </c>
      <c r="O983" t="s">
        <v>25</v>
      </c>
      <c r="P983">
        <v>3</v>
      </c>
      <c r="Q983" s="1">
        <v>10.29</v>
      </c>
      <c r="R983" s="2">
        <f t="shared" si="60"/>
        <v>7292</v>
      </c>
      <c r="S983" s="1">
        <f t="shared" si="61"/>
        <v>13.030037703482659</v>
      </c>
      <c r="T983" t="str">
        <f t="shared" si="62"/>
        <v>Beginner</v>
      </c>
      <c r="U983" t="str">
        <f t="shared" si="63"/>
        <v>Low Impact</v>
      </c>
    </row>
    <row r="984" spans="1:21" x14ac:dyDescent="0.3">
      <c r="A984" t="s">
        <v>1579</v>
      </c>
      <c r="B984">
        <v>36</v>
      </c>
      <c r="C984" t="s">
        <v>54</v>
      </c>
      <c r="D984" t="s">
        <v>40</v>
      </c>
      <c r="E984" t="s">
        <v>29</v>
      </c>
      <c r="F984" t="s">
        <v>102</v>
      </c>
      <c r="G984">
        <v>13</v>
      </c>
      <c r="H984" t="s">
        <v>37</v>
      </c>
      <c r="I984" t="s">
        <v>37</v>
      </c>
      <c r="J984" t="s">
        <v>25</v>
      </c>
      <c r="K984" s="2">
        <v>45932</v>
      </c>
      <c r="L984" s="2">
        <v>48456</v>
      </c>
      <c r="M984" t="s">
        <v>38</v>
      </c>
      <c r="N984">
        <v>54</v>
      </c>
      <c r="O984" t="s">
        <v>23</v>
      </c>
      <c r="P984">
        <v>6</v>
      </c>
      <c r="Q984" s="1">
        <v>10.28</v>
      </c>
      <c r="R984" s="2">
        <f t="shared" si="60"/>
        <v>2524</v>
      </c>
      <c r="S984" s="1">
        <f t="shared" si="61"/>
        <v>5.4950796830096662</v>
      </c>
      <c r="T984" t="str">
        <f t="shared" si="62"/>
        <v>Intermediate</v>
      </c>
      <c r="U984" t="str">
        <f t="shared" si="63"/>
        <v>Medium Impact</v>
      </c>
    </row>
    <row r="985" spans="1:21" x14ac:dyDescent="0.3">
      <c r="A985" t="s">
        <v>996</v>
      </c>
      <c r="B985">
        <v>41</v>
      </c>
      <c r="C985" t="s">
        <v>27</v>
      </c>
      <c r="D985" t="s">
        <v>34</v>
      </c>
      <c r="E985" t="s">
        <v>35</v>
      </c>
      <c r="F985" t="s">
        <v>132</v>
      </c>
      <c r="G985">
        <v>19</v>
      </c>
      <c r="H985" t="s">
        <v>31</v>
      </c>
      <c r="I985" t="s">
        <v>22</v>
      </c>
      <c r="J985" t="s">
        <v>25</v>
      </c>
      <c r="K985" s="2">
        <v>49156</v>
      </c>
      <c r="L985" s="2">
        <v>48352</v>
      </c>
      <c r="M985" t="s">
        <v>32</v>
      </c>
      <c r="N985">
        <v>49</v>
      </c>
      <c r="O985" t="s">
        <v>23</v>
      </c>
      <c r="P985">
        <v>5</v>
      </c>
      <c r="Q985" s="1">
        <v>10.27</v>
      </c>
      <c r="R985" s="2">
        <f t="shared" si="60"/>
        <v>-804</v>
      </c>
      <c r="S985" s="1">
        <f t="shared" si="61"/>
        <v>-1.6356090812922126</v>
      </c>
      <c r="T985" t="str">
        <f t="shared" si="62"/>
        <v>Expert</v>
      </c>
      <c r="U985" t="str">
        <f t="shared" si="63"/>
        <v>Low Impact</v>
      </c>
    </row>
    <row r="986" spans="1:21" x14ac:dyDescent="0.3">
      <c r="A986" t="s">
        <v>1068</v>
      </c>
      <c r="B986">
        <v>25</v>
      </c>
      <c r="C986" t="s">
        <v>27</v>
      </c>
      <c r="D986" t="s">
        <v>34</v>
      </c>
      <c r="E986" t="s">
        <v>44</v>
      </c>
      <c r="F986" t="s">
        <v>47</v>
      </c>
      <c r="G986">
        <v>3</v>
      </c>
      <c r="H986" t="s">
        <v>37</v>
      </c>
      <c r="I986" t="s">
        <v>37</v>
      </c>
      <c r="J986" t="s">
        <v>23</v>
      </c>
      <c r="K986" s="2">
        <v>80227</v>
      </c>
      <c r="L986" s="2">
        <v>94246</v>
      </c>
      <c r="M986" t="s">
        <v>38</v>
      </c>
      <c r="N986">
        <v>46</v>
      </c>
      <c r="O986" t="s">
        <v>25</v>
      </c>
      <c r="P986">
        <v>7</v>
      </c>
      <c r="Q986" s="1">
        <v>10.17</v>
      </c>
      <c r="R986" s="2">
        <f t="shared" si="60"/>
        <v>14019</v>
      </c>
      <c r="S986" s="1">
        <f t="shared" si="61"/>
        <v>17.474167050992808</v>
      </c>
      <c r="T986" t="str">
        <f t="shared" si="62"/>
        <v>Beginner</v>
      </c>
      <c r="U986" t="str">
        <f t="shared" si="63"/>
        <v>Medium Impact</v>
      </c>
    </row>
    <row r="987" spans="1:21" x14ac:dyDescent="0.3">
      <c r="A987" t="s">
        <v>897</v>
      </c>
      <c r="B987">
        <v>37</v>
      </c>
      <c r="C987" t="s">
        <v>27</v>
      </c>
      <c r="D987" t="s">
        <v>34</v>
      </c>
      <c r="E987" t="s">
        <v>41</v>
      </c>
      <c r="F987" t="s">
        <v>55</v>
      </c>
      <c r="G987">
        <v>12</v>
      </c>
      <c r="H987" t="s">
        <v>22</v>
      </c>
      <c r="I987" t="s">
        <v>31</v>
      </c>
      <c r="J987" t="s">
        <v>25</v>
      </c>
      <c r="K987" s="2">
        <v>42352</v>
      </c>
      <c r="L987" s="2">
        <v>55136</v>
      </c>
      <c r="M987" t="s">
        <v>32</v>
      </c>
      <c r="N987">
        <v>51</v>
      </c>
      <c r="O987" t="s">
        <v>25</v>
      </c>
      <c r="P987">
        <v>3</v>
      </c>
      <c r="Q987" s="1">
        <v>10.15</v>
      </c>
      <c r="R987" s="2">
        <f t="shared" si="60"/>
        <v>12784</v>
      </c>
      <c r="S987" s="1">
        <f t="shared" si="61"/>
        <v>30.18511522478277</v>
      </c>
      <c r="T987" t="str">
        <f t="shared" si="62"/>
        <v>Intermediate</v>
      </c>
      <c r="U987" t="str">
        <f t="shared" si="63"/>
        <v>Low Impact</v>
      </c>
    </row>
    <row r="988" spans="1:21" x14ac:dyDescent="0.3">
      <c r="A988" t="s">
        <v>1609</v>
      </c>
      <c r="B988">
        <v>46</v>
      </c>
      <c r="C988" t="s">
        <v>27</v>
      </c>
      <c r="D988" t="s">
        <v>28</v>
      </c>
      <c r="E988" t="s">
        <v>51</v>
      </c>
      <c r="F988" t="s">
        <v>75</v>
      </c>
      <c r="G988">
        <v>22</v>
      </c>
      <c r="H988" t="s">
        <v>37</v>
      </c>
      <c r="I988" t="s">
        <v>22</v>
      </c>
      <c r="J988" t="s">
        <v>23</v>
      </c>
      <c r="K988" s="2">
        <v>77396</v>
      </c>
      <c r="L988" s="2">
        <v>84818</v>
      </c>
      <c r="M988" t="s">
        <v>32</v>
      </c>
      <c r="N988">
        <v>45</v>
      </c>
      <c r="O988" t="s">
        <v>23</v>
      </c>
      <c r="P988">
        <v>3</v>
      </c>
      <c r="Q988" s="1">
        <v>10.14</v>
      </c>
      <c r="R988" s="2">
        <f t="shared" si="60"/>
        <v>7422</v>
      </c>
      <c r="S988" s="1">
        <f t="shared" si="61"/>
        <v>9.5896428756008074</v>
      </c>
      <c r="T988" t="str">
        <f t="shared" si="62"/>
        <v>Expert</v>
      </c>
      <c r="U988" t="str">
        <f t="shared" si="63"/>
        <v>Low Impact</v>
      </c>
    </row>
    <row r="989" spans="1:21" x14ac:dyDescent="0.3">
      <c r="A989" t="s">
        <v>209</v>
      </c>
      <c r="B989">
        <v>41</v>
      </c>
      <c r="C989" t="s">
        <v>27</v>
      </c>
      <c r="D989" t="s">
        <v>28</v>
      </c>
      <c r="E989" t="s">
        <v>44</v>
      </c>
      <c r="F989" t="s">
        <v>45</v>
      </c>
      <c r="G989">
        <v>16</v>
      </c>
      <c r="H989" t="s">
        <v>31</v>
      </c>
      <c r="I989" t="s">
        <v>31</v>
      </c>
      <c r="J989" t="s">
        <v>23</v>
      </c>
      <c r="K989" s="2">
        <v>51566</v>
      </c>
      <c r="L989" s="2">
        <v>56698</v>
      </c>
      <c r="M989" t="s">
        <v>32</v>
      </c>
      <c r="N989">
        <v>35</v>
      </c>
      <c r="O989" t="s">
        <v>23</v>
      </c>
      <c r="P989">
        <v>7</v>
      </c>
      <c r="Q989" s="1">
        <v>10.130000000000001</v>
      </c>
      <c r="R989" s="2">
        <f t="shared" si="60"/>
        <v>5132</v>
      </c>
      <c r="S989" s="1">
        <f t="shared" si="61"/>
        <v>9.9522941473063646</v>
      </c>
      <c r="T989" t="str">
        <f t="shared" si="62"/>
        <v>Expert</v>
      </c>
      <c r="U989" t="str">
        <f t="shared" si="63"/>
        <v>Low Impact</v>
      </c>
    </row>
    <row r="990" spans="1:21" x14ac:dyDescent="0.3">
      <c r="A990" t="s">
        <v>697</v>
      </c>
      <c r="B990">
        <v>36</v>
      </c>
      <c r="C990" t="s">
        <v>18</v>
      </c>
      <c r="D990" t="s">
        <v>19</v>
      </c>
      <c r="E990" t="s">
        <v>41</v>
      </c>
      <c r="F990" t="s">
        <v>55</v>
      </c>
      <c r="G990">
        <v>14</v>
      </c>
      <c r="H990" t="s">
        <v>22</v>
      </c>
      <c r="I990" t="s">
        <v>22</v>
      </c>
      <c r="J990" t="s">
        <v>23</v>
      </c>
      <c r="K990" s="2">
        <v>61923</v>
      </c>
      <c r="L990" s="2">
        <v>68481</v>
      </c>
      <c r="M990" t="s">
        <v>38</v>
      </c>
      <c r="N990">
        <v>54</v>
      </c>
      <c r="O990" t="s">
        <v>23</v>
      </c>
      <c r="P990">
        <v>8</v>
      </c>
      <c r="Q990" s="1">
        <v>10.08</v>
      </c>
      <c r="R990" s="2">
        <f t="shared" si="60"/>
        <v>6558</v>
      </c>
      <c r="S990" s="1">
        <f t="shared" si="61"/>
        <v>10.590572162201443</v>
      </c>
      <c r="T990" t="str">
        <f t="shared" si="62"/>
        <v>Intermediate</v>
      </c>
      <c r="U990" t="str">
        <f t="shared" si="63"/>
        <v>Medium Impact</v>
      </c>
    </row>
    <row r="991" spans="1:21" x14ac:dyDescent="0.3">
      <c r="A991" t="s">
        <v>1874</v>
      </c>
      <c r="B991">
        <v>50</v>
      </c>
      <c r="C991" t="s">
        <v>54</v>
      </c>
      <c r="D991" t="s">
        <v>40</v>
      </c>
      <c r="E991" t="s">
        <v>20</v>
      </c>
      <c r="F991" t="s">
        <v>118</v>
      </c>
      <c r="G991">
        <v>27</v>
      </c>
      <c r="H991" t="s">
        <v>37</v>
      </c>
      <c r="I991" t="s">
        <v>37</v>
      </c>
      <c r="J991" t="s">
        <v>23</v>
      </c>
      <c r="K991" s="2">
        <v>33447</v>
      </c>
      <c r="L991" s="2">
        <v>32983</v>
      </c>
      <c r="M991" t="s">
        <v>38</v>
      </c>
      <c r="N991">
        <v>45</v>
      </c>
      <c r="O991" t="s">
        <v>25</v>
      </c>
      <c r="P991">
        <v>6</v>
      </c>
      <c r="Q991" s="1">
        <v>10.039999999999999</v>
      </c>
      <c r="R991" s="2">
        <f t="shared" si="60"/>
        <v>-464</v>
      </c>
      <c r="S991" s="1">
        <f t="shared" si="61"/>
        <v>-1.3872694113074415</v>
      </c>
      <c r="T991" t="str">
        <f t="shared" si="62"/>
        <v>Expert</v>
      </c>
      <c r="U991" t="str">
        <f t="shared" si="63"/>
        <v>Medium Impact</v>
      </c>
    </row>
    <row r="992" spans="1:21" x14ac:dyDescent="0.3">
      <c r="A992" t="s">
        <v>865</v>
      </c>
      <c r="B992">
        <v>27</v>
      </c>
      <c r="C992" t="s">
        <v>18</v>
      </c>
      <c r="D992" t="s">
        <v>40</v>
      </c>
      <c r="E992" t="s">
        <v>29</v>
      </c>
      <c r="F992" t="s">
        <v>30</v>
      </c>
      <c r="G992">
        <v>1</v>
      </c>
      <c r="H992" t="s">
        <v>22</v>
      </c>
      <c r="I992" t="s">
        <v>22</v>
      </c>
      <c r="J992" t="s">
        <v>23</v>
      </c>
      <c r="K992" s="2">
        <v>49581</v>
      </c>
      <c r="L992" s="2">
        <v>49529</v>
      </c>
      <c r="M992" t="s">
        <v>38</v>
      </c>
      <c r="N992">
        <v>45</v>
      </c>
      <c r="O992" t="s">
        <v>23</v>
      </c>
      <c r="P992">
        <v>4</v>
      </c>
      <c r="Q992" s="1">
        <v>10.029999999999999</v>
      </c>
      <c r="R992" s="2">
        <f t="shared" si="60"/>
        <v>-52</v>
      </c>
      <c r="S992" s="1">
        <f t="shared" si="61"/>
        <v>-0.10487888505677578</v>
      </c>
      <c r="T992" t="str">
        <f t="shared" si="62"/>
        <v>Beginner</v>
      </c>
      <c r="U992" t="str">
        <f t="shared" si="63"/>
        <v>Medium Impact</v>
      </c>
    </row>
    <row r="993" spans="1:21" x14ac:dyDescent="0.3">
      <c r="A993" t="s">
        <v>775</v>
      </c>
      <c r="B993">
        <v>58</v>
      </c>
      <c r="C993" t="s">
        <v>27</v>
      </c>
      <c r="D993" t="s">
        <v>34</v>
      </c>
      <c r="E993" t="s">
        <v>41</v>
      </c>
      <c r="F993" t="s">
        <v>55</v>
      </c>
      <c r="G993">
        <v>33</v>
      </c>
      <c r="H993" t="s">
        <v>22</v>
      </c>
      <c r="I993" t="s">
        <v>22</v>
      </c>
      <c r="J993" t="s">
        <v>25</v>
      </c>
      <c r="K993" s="2">
        <v>62083</v>
      </c>
      <c r="L993" s="2">
        <v>70672</v>
      </c>
      <c r="M993" t="s">
        <v>24</v>
      </c>
      <c r="N993">
        <v>44</v>
      </c>
      <c r="O993" t="s">
        <v>25</v>
      </c>
      <c r="P993">
        <v>8</v>
      </c>
      <c r="Q993" s="1">
        <v>10.02</v>
      </c>
      <c r="R993" s="2">
        <f t="shared" si="60"/>
        <v>8589</v>
      </c>
      <c r="S993" s="1">
        <f t="shared" si="61"/>
        <v>13.834705152779344</v>
      </c>
      <c r="T993" t="str">
        <f t="shared" si="62"/>
        <v>Expert</v>
      </c>
      <c r="U993" t="str">
        <f t="shared" si="63"/>
        <v>High Impact</v>
      </c>
    </row>
    <row r="994" spans="1:21" x14ac:dyDescent="0.3">
      <c r="A994" t="s">
        <v>1073</v>
      </c>
      <c r="B994">
        <v>31</v>
      </c>
      <c r="C994" t="s">
        <v>54</v>
      </c>
      <c r="D994" t="s">
        <v>28</v>
      </c>
      <c r="E994" t="s">
        <v>44</v>
      </c>
      <c r="F994" t="s">
        <v>57</v>
      </c>
      <c r="G994">
        <v>7</v>
      </c>
      <c r="H994" t="s">
        <v>22</v>
      </c>
      <c r="I994" t="s">
        <v>31</v>
      </c>
      <c r="J994" t="s">
        <v>23</v>
      </c>
      <c r="K994" s="2">
        <v>72968</v>
      </c>
      <c r="L994" s="2">
        <v>91334</v>
      </c>
      <c r="M994" t="s">
        <v>32</v>
      </c>
      <c r="N994">
        <v>40</v>
      </c>
      <c r="O994" t="s">
        <v>23</v>
      </c>
      <c r="P994">
        <v>8</v>
      </c>
      <c r="Q994" s="1">
        <v>10</v>
      </c>
      <c r="R994" s="2">
        <f t="shared" si="60"/>
        <v>18366</v>
      </c>
      <c r="S994" s="1">
        <f t="shared" si="61"/>
        <v>25.169937506852317</v>
      </c>
      <c r="T994" t="str">
        <f t="shared" si="62"/>
        <v>Intermediate</v>
      </c>
      <c r="U994" t="str">
        <f t="shared" si="63"/>
        <v>Low Impact</v>
      </c>
    </row>
    <row r="995" spans="1:21" x14ac:dyDescent="0.3">
      <c r="A995" t="s">
        <v>1470</v>
      </c>
      <c r="B995">
        <v>57</v>
      </c>
      <c r="C995" t="s">
        <v>27</v>
      </c>
      <c r="D995" t="s">
        <v>19</v>
      </c>
      <c r="E995" t="s">
        <v>59</v>
      </c>
      <c r="F995" t="s">
        <v>77</v>
      </c>
      <c r="G995">
        <v>34</v>
      </c>
      <c r="H995" t="s">
        <v>22</v>
      </c>
      <c r="I995" t="s">
        <v>37</v>
      </c>
      <c r="J995" t="s">
        <v>25</v>
      </c>
      <c r="K995" s="2">
        <v>75913</v>
      </c>
      <c r="L995" s="2">
        <v>95820</v>
      </c>
      <c r="M995" t="s">
        <v>38</v>
      </c>
      <c r="N995">
        <v>50</v>
      </c>
      <c r="O995" t="s">
        <v>25</v>
      </c>
      <c r="P995">
        <v>8</v>
      </c>
      <c r="Q995" s="1">
        <v>9.98</v>
      </c>
      <c r="R995" s="2">
        <f t="shared" si="60"/>
        <v>19907</v>
      </c>
      <c r="S995" s="1">
        <f t="shared" si="61"/>
        <v>26.223439990515455</v>
      </c>
      <c r="T995" t="str">
        <f t="shared" si="62"/>
        <v>Expert</v>
      </c>
      <c r="U995" t="str">
        <f t="shared" si="63"/>
        <v>Medium Impact</v>
      </c>
    </row>
    <row r="996" spans="1:21" x14ac:dyDescent="0.3">
      <c r="A996" t="s">
        <v>1562</v>
      </c>
      <c r="B996">
        <v>32</v>
      </c>
      <c r="C996" t="s">
        <v>54</v>
      </c>
      <c r="D996" t="s">
        <v>19</v>
      </c>
      <c r="E996" t="s">
        <v>35</v>
      </c>
      <c r="F996" t="s">
        <v>98</v>
      </c>
      <c r="G996">
        <v>7</v>
      </c>
      <c r="H996" t="s">
        <v>37</v>
      </c>
      <c r="I996" t="s">
        <v>37</v>
      </c>
      <c r="J996" t="s">
        <v>25</v>
      </c>
      <c r="K996" s="2">
        <v>64674</v>
      </c>
      <c r="L996" s="2">
        <v>76846</v>
      </c>
      <c r="M996" t="s">
        <v>38</v>
      </c>
      <c r="N996">
        <v>36</v>
      </c>
      <c r="O996" t="s">
        <v>25</v>
      </c>
      <c r="P996">
        <v>4</v>
      </c>
      <c r="Q996" s="1">
        <v>9.9700000000000006</v>
      </c>
      <c r="R996" s="2">
        <f t="shared" si="60"/>
        <v>12172</v>
      </c>
      <c r="S996" s="1">
        <f t="shared" si="61"/>
        <v>18.820546123635467</v>
      </c>
      <c r="T996" t="str">
        <f t="shared" si="62"/>
        <v>Intermediate</v>
      </c>
      <c r="U996" t="str">
        <f t="shared" si="63"/>
        <v>Medium Impact</v>
      </c>
    </row>
    <row r="997" spans="1:21" x14ac:dyDescent="0.3">
      <c r="A997" t="s">
        <v>781</v>
      </c>
      <c r="B997">
        <v>53</v>
      </c>
      <c r="C997" t="s">
        <v>18</v>
      </c>
      <c r="D997" t="s">
        <v>19</v>
      </c>
      <c r="E997" t="s">
        <v>51</v>
      </c>
      <c r="F997" t="s">
        <v>75</v>
      </c>
      <c r="G997">
        <v>28</v>
      </c>
      <c r="H997" t="s">
        <v>22</v>
      </c>
      <c r="I997" t="s">
        <v>22</v>
      </c>
      <c r="J997" t="s">
        <v>25</v>
      </c>
      <c r="K997" s="2">
        <v>55256</v>
      </c>
      <c r="L997" s="2">
        <v>59477</v>
      </c>
      <c r="M997" t="s">
        <v>24</v>
      </c>
      <c r="N997">
        <v>39</v>
      </c>
      <c r="O997" t="s">
        <v>25</v>
      </c>
      <c r="P997">
        <v>7</v>
      </c>
      <c r="Q997" s="1">
        <v>9.94</v>
      </c>
      <c r="R997" s="2">
        <f t="shared" si="60"/>
        <v>4221</v>
      </c>
      <c r="S997" s="1">
        <f t="shared" si="61"/>
        <v>7.6389894310120168</v>
      </c>
      <c r="T997" t="str">
        <f t="shared" si="62"/>
        <v>Expert</v>
      </c>
      <c r="U997" t="str">
        <f t="shared" si="63"/>
        <v>High Impact</v>
      </c>
    </row>
    <row r="998" spans="1:21" x14ac:dyDescent="0.3">
      <c r="A998" t="s">
        <v>285</v>
      </c>
      <c r="B998">
        <v>38</v>
      </c>
      <c r="C998" t="s">
        <v>18</v>
      </c>
      <c r="D998" t="s">
        <v>28</v>
      </c>
      <c r="E998" t="s">
        <v>51</v>
      </c>
      <c r="F998" t="s">
        <v>130</v>
      </c>
      <c r="G998">
        <v>13</v>
      </c>
      <c r="H998" t="s">
        <v>37</v>
      </c>
      <c r="I998" t="s">
        <v>31</v>
      </c>
      <c r="J998" t="s">
        <v>23</v>
      </c>
      <c r="K998" s="2">
        <v>82269</v>
      </c>
      <c r="L998" s="2">
        <v>77558</v>
      </c>
      <c r="M998" t="s">
        <v>32</v>
      </c>
      <c r="N998">
        <v>54</v>
      </c>
      <c r="O998" t="s">
        <v>25</v>
      </c>
      <c r="P998">
        <v>3</v>
      </c>
      <c r="Q998" s="1">
        <v>9.93</v>
      </c>
      <c r="R998" s="2">
        <f t="shared" si="60"/>
        <v>-4711</v>
      </c>
      <c r="S998" s="1">
        <f t="shared" si="61"/>
        <v>-5.7263367732681818</v>
      </c>
      <c r="T998" t="str">
        <f t="shared" si="62"/>
        <v>Intermediate</v>
      </c>
      <c r="U998" t="str">
        <f t="shared" si="63"/>
        <v>Low Impact</v>
      </c>
    </row>
    <row r="999" spans="1:21" x14ac:dyDescent="0.3">
      <c r="A999" t="s">
        <v>1680</v>
      </c>
      <c r="B999">
        <v>48</v>
      </c>
      <c r="C999" t="s">
        <v>18</v>
      </c>
      <c r="D999" t="s">
        <v>34</v>
      </c>
      <c r="E999" t="s">
        <v>35</v>
      </c>
      <c r="F999" t="s">
        <v>36</v>
      </c>
      <c r="G999">
        <v>23</v>
      </c>
      <c r="H999" t="s">
        <v>31</v>
      </c>
      <c r="I999" t="s">
        <v>22</v>
      </c>
      <c r="J999" t="s">
        <v>23</v>
      </c>
      <c r="K999" s="2">
        <v>52161</v>
      </c>
      <c r="L999" s="2">
        <v>54374</v>
      </c>
      <c r="M999" t="s">
        <v>32</v>
      </c>
      <c r="N999">
        <v>39</v>
      </c>
      <c r="O999" t="s">
        <v>25</v>
      </c>
      <c r="P999">
        <v>4</v>
      </c>
      <c r="Q999" s="1">
        <v>9.93</v>
      </c>
      <c r="R999" s="2">
        <f t="shared" si="60"/>
        <v>2213</v>
      </c>
      <c r="S999" s="1">
        <f t="shared" si="61"/>
        <v>4.242633385096144</v>
      </c>
      <c r="T999" t="str">
        <f t="shared" si="62"/>
        <v>Expert</v>
      </c>
      <c r="U999" t="str">
        <f t="shared" si="63"/>
        <v>Low Impact</v>
      </c>
    </row>
    <row r="1000" spans="1:21" x14ac:dyDescent="0.3">
      <c r="A1000" t="s">
        <v>1227</v>
      </c>
      <c r="B1000">
        <v>40</v>
      </c>
      <c r="C1000" t="s">
        <v>54</v>
      </c>
      <c r="D1000" t="s">
        <v>40</v>
      </c>
      <c r="E1000" t="s">
        <v>59</v>
      </c>
      <c r="F1000" t="s">
        <v>60</v>
      </c>
      <c r="G1000">
        <v>15</v>
      </c>
      <c r="H1000" t="s">
        <v>22</v>
      </c>
      <c r="I1000" t="s">
        <v>22</v>
      </c>
      <c r="J1000" t="s">
        <v>23</v>
      </c>
      <c r="K1000" s="2">
        <v>91607</v>
      </c>
      <c r="L1000" s="2">
        <v>91931</v>
      </c>
      <c r="M1000" t="s">
        <v>38</v>
      </c>
      <c r="N1000">
        <v>52</v>
      </c>
      <c r="O1000" t="s">
        <v>23</v>
      </c>
      <c r="P1000">
        <v>6</v>
      </c>
      <c r="Q1000" s="1">
        <v>9.89</v>
      </c>
      <c r="R1000" s="2">
        <f t="shared" si="60"/>
        <v>324</v>
      </c>
      <c r="S1000" s="1">
        <f t="shared" si="61"/>
        <v>0.35368476208150035</v>
      </c>
      <c r="T1000" t="str">
        <f t="shared" si="62"/>
        <v>Expert</v>
      </c>
      <c r="U1000" t="str">
        <f t="shared" si="63"/>
        <v>Medium Impact</v>
      </c>
    </row>
    <row r="1001" spans="1:21" x14ac:dyDescent="0.3">
      <c r="A1001" t="s">
        <v>1727</v>
      </c>
      <c r="B1001">
        <v>59</v>
      </c>
      <c r="C1001" t="s">
        <v>27</v>
      </c>
      <c r="D1001" t="s">
        <v>28</v>
      </c>
      <c r="E1001" t="s">
        <v>29</v>
      </c>
      <c r="F1001" t="s">
        <v>30</v>
      </c>
      <c r="G1001">
        <v>33</v>
      </c>
      <c r="H1001" t="s">
        <v>37</v>
      </c>
      <c r="I1001" t="s">
        <v>37</v>
      </c>
      <c r="J1001" t="s">
        <v>25</v>
      </c>
      <c r="K1001" s="2">
        <v>57350</v>
      </c>
      <c r="L1001" s="2">
        <v>58075</v>
      </c>
      <c r="M1001" t="s">
        <v>38</v>
      </c>
      <c r="N1001">
        <v>44</v>
      </c>
      <c r="O1001" t="s">
        <v>23</v>
      </c>
      <c r="P1001">
        <v>5</v>
      </c>
      <c r="Q1001" s="1">
        <v>9.8699999999999992</v>
      </c>
      <c r="R1001" s="2">
        <f t="shared" si="60"/>
        <v>725</v>
      </c>
      <c r="S1001" s="1">
        <f t="shared" si="61"/>
        <v>1.2641673931996511</v>
      </c>
      <c r="T1001" t="str">
        <f t="shared" si="62"/>
        <v>Expert</v>
      </c>
      <c r="U1001" t="str">
        <f t="shared" si="63"/>
        <v>Medium Impact</v>
      </c>
    </row>
    <row r="1002" spans="1:21" x14ac:dyDescent="0.3">
      <c r="A1002" t="s">
        <v>1046</v>
      </c>
      <c r="B1002">
        <v>39</v>
      </c>
      <c r="C1002" t="s">
        <v>18</v>
      </c>
      <c r="D1002" t="s">
        <v>28</v>
      </c>
      <c r="E1002" t="s">
        <v>35</v>
      </c>
      <c r="F1002" t="s">
        <v>98</v>
      </c>
      <c r="G1002">
        <v>16</v>
      </c>
      <c r="H1002" t="s">
        <v>31</v>
      </c>
      <c r="I1002" t="s">
        <v>22</v>
      </c>
      <c r="J1002" t="s">
        <v>23</v>
      </c>
      <c r="K1002" s="2">
        <v>32251</v>
      </c>
      <c r="L1002" s="2">
        <v>33893</v>
      </c>
      <c r="M1002" t="s">
        <v>32</v>
      </c>
      <c r="N1002">
        <v>50</v>
      </c>
      <c r="O1002" t="s">
        <v>23</v>
      </c>
      <c r="P1002">
        <v>6</v>
      </c>
      <c r="Q1002" s="1">
        <v>9.83</v>
      </c>
      <c r="R1002" s="2">
        <f t="shared" si="60"/>
        <v>1642</v>
      </c>
      <c r="S1002" s="1">
        <f t="shared" si="61"/>
        <v>5.0913149979845587</v>
      </c>
      <c r="T1002" t="str">
        <f t="shared" si="62"/>
        <v>Expert</v>
      </c>
      <c r="U1002" t="str">
        <f t="shared" si="63"/>
        <v>Low Impact</v>
      </c>
    </row>
    <row r="1003" spans="1:21" x14ac:dyDescent="0.3">
      <c r="A1003" t="s">
        <v>1072</v>
      </c>
      <c r="B1003">
        <v>52</v>
      </c>
      <c r="C1003" t="s">
        <v>54</v>
      </c>
      <c r="D1003" t="s">
        <v>19</v>
      </c>
      <c r="E1003" t="s">
        <v>35</v>
      </c>
      <c r="F1003" t="s">
        <v>36</v>
      </c>
      <c r="G1003">
        <v>27</v>
      </c>
      <c r="H1003" t="s">
        <v>37</v>
      </c>
      <c r="I1003" t="s">
        <v>37</v>
      </c>
      <c r="J1003" t="s">
        <v>23</v>
      </c>
      <c r="K1003" s="2">
        <v>58718</v>
      </c>
      <c r="L1003" s="2">
        <v>69206</v>
      </c>
      <c r="M1003" t="s">
        <v>38</v>
      </c>
      <c r="N1003">
        <v>48</v>
      </c>
      <c r="O1003" t="s">
        <v>23</v>
      </c>
      <c r="P1003">
        <v>7</v>
      </c>
      <c r="Q1003" s="1">
        <v>9.8000000000000007</v>
      </c>
      <c r="R1003" s="2">
        <f t="shared" si="60"/>
        <v>10488</v>
      </c>
      <c r="S1003" s="1">
        <f t="shared" si="61"/>
        <v>17.861643788957391</v>
      </c>
      <c r="T1003" t="str">
        <f t="shared" si="62"/>
        <v>Expert</v>
      </c>
      <c r="U1003" t="str">
        <f t="shared" si="63"/>
        <v>Medium Impact</v>
      </c>
    </row>
    <row r="1004" spans="1:21" x14ac:dyDescent="0.3">
      <c r="A1004" t="s">
        <v>1338</v>
      </c>
      <c r="B1004">
        <v>48</v>
      </c>
      <c r="C1004" t="s">
        <v>18</v>
      </c>
      <c r="D1004" t="s">
        <v>19</v>
      </c>
      <c r="E1004" t="s">
        <v>51</v>
      </c>
      <c r="F1004" t="s">
        <v>75</v>
      </c>
      <c r="G1004">
        <v>22</v>
      </c>
      <c r="H1004" t="s">
        <v>37</v>
      </c>
      <c r="I1004" t="s">
        <v>37</v>
      </c>
      <c r="J1004" t="s">
        <v>25</v>
      </c>
      <c r="K1004" s="2">
        <v>61533</v>
      </c>
      <c r="L1004" s="2">
        <v>56158</v>
      </c>
      <c r="M1004" t="s">
        <v>38</v>
      </c>
      <c r="N1004">
        <v>50</v>
      </c>
      <c r="O1004" t="s">
        <v>23</v>
      </c>
      <c r="P1004">
        <v>7</v>
      </c>
      <c r="Q1004" s="1">
        <v>9.7799999999999994</v>
      </c>
      <c r="R1004" s="2">
        <f t="shared" si="60"/>
        <v>-5375</v>
      </c>
      <c r="S1004" s="1">
        <f t="shared" si="61"/>
        <v>-8.7351502445842062</v>
      </c>
      <c r="T1004" t="str">
        <f t="shared" si="62"/>
        <v>Expert</v>
      </c>
      <c r="U1004" t="str">
        <f t="shared" si="63"/>
        <v>Medium Impact</v>
      </c>
    </row>
    <row r="1005" spans="1:21" x14ac:dyDescent="0.3">
      <c r="A1005" t="s">
        <v>843</v>
      </c>
      <c r="B1005">
        <v>23</v>
      </c>
      <c r="C1005" t="s">
        <v>54</v>
      </c>
      <c r="D1005" t="s">
        <v>40</v>
      </c>
      <c r="E1005" t="s">
        <v>20</v>
      </c>
      <c r="F1005" t="s">
        <v>118</v>
      </c>
      <c r="G1005">
        <v>1</v>
      </c>
      <c r="H1005" t="s">
        <v>37</v>
      </c>
      <c r="I1005" t="s">
        <v>22</v>
      </c>
      <c r="J1005" t="s">
        <v>25</v>
      </c>
      <c r="K1005" s="2">
        <v>91497</v>
      </c>
      <c r="L1005" s="2">
        <v>82524</v>
      </c>
      <c r="M1005" t="s">
        <v>32</v>
      </c>
      <c r="N1005">
        <v>40</v>
      </c>
      <c r="O1005" t="s">
        <v>25</v>
      </c>
      <c r="P1005">
        <v>8</v>
      </c>
      <c r="Q1005" s="1">
        <v>9.77</v>
      </c>
      <c r="R1005" s="2">
        <f t="shared" si="60"/>
        <v>-8973</v>
      </c>
      <c r="S1005" s="1">
        <f t="shared" si="61"/>
        <v>-9.8068789140627555</v>
      </c>
      <c r="T1005" t="str">
        <f t="shared" si="62"/>
        <v>Beginner</v>
      </c>
      <c r="U1005" t="str">
        <f t="shared" si="63"/>
        <v>Low Impact</v>
      </c>
    </row>
    <row r="1006" spans="1:21" x14ac:dyDescent="0.3">
      <c r="A1006" t="s">
        <v>384</v>
      </c>
      <c r="B1006">
        <v>51</v>
      </c>
      <c r="C1006" t="s">
        <v>18</v>
      </c>
      <c r="D1006" t="s">
        <v>40</v>
      </c>
      <c r="E1006" t="s">
        <v>20</v>
      </c>
      <c r="F1006" t="s">
        <v>88</v>
      </c>
      <c r="G1006">
        <v>26</v>
      </c>
      <c r="H1006" t="s">
        <v>31</v>
      </c>
      <c r="I1006" t="s">
        <v>37</v>
      </c>
      <c r="J1006" t="s">
        <v>23</v>
      </c>
      <c r="K1006" s="2">
        <v>76804</v>
      </c>
      <c r="L1006" s="2">
        <v>80751</v>
      </c>
      <c r="M1006" t="s">
        <v>38</v>
      </c>
      <c r="N1006">
        <v>51</v>
      </c>
      <c r="O1006" t="s">
        <v>25</v>
      </c>
      <c r="P1006">
        <v>7</v>
      </c>
      <c r="Q1006" s="1">
        <v>9.76</v>
      </c>
      <c r="R1006" s="2">
        <f t="shared" si="60"/>
        <v>3947</v>
      </c>
      <c r="S1006" s="1">
        <f t="shared" si="61"/>
        <v>5.1390552575386694</v>
      </c>
      <c r="T1006" t="str">
        <f t="shared" si="62"/>
        <v>Expert</v>
      </c>
      <c r="U1006" t="str">
        <f t="shared" si="63"/>
        <v>Medium Impact</v>
      </c>
    </row>
    <row r="1007" spans="1:21" x14ac:dyDescent="0.3">
      <c r="A1007" t="s">
        <v>1048</v>
      </c>
      <c r="B1007">
        <v>24</v>
      </c>
      <c r="C1007" t="s">
        <v>18</v>
      </c>
      <c r="D1007" t="s">
        <v>34</v>
      </c>
      <c r="E1007" t="s">
        <v>20</v>
      </c>
      <c r="F1007" t="s">
        <v>21</v>
      </c>
      <c r="G1007">
        <v>0</v>
      </c>
      <c r="H1007" t="s">
        <v>22</v>
      </c>
      <c r="I1007" t="s">
        <v>31</v>
      </c>
      <c r="J1007" t="s">
        <v>23</v>
      </c>
      <c r="K1007" s="2">
        <v>100871</v>
      </c>
      <c r="L1007" s="2">
        <v>94942</v>
      </c>
      <c r="M1007" t="s">
        <v>32</v>
      </c>
      <c r="N1007">
        <v>47</v>
      </c>
      <c r="O1007" t="s">
        <v>23</v>
      </c>
      <c r="P1007">
        <v>3</v>
      </c>
      <c r="Q1007" s="1">
        <v>9.66</v>
      </c>
      <c r="R1007" s="2">
        <f t="shared" si="60"/>
        <v>-5929</v>
      </c>
      <c r="S1007" s="1">
        <f t="shared" si="61"/>
        <v>-5.8778043243350417</v>
      </c>
      <c r="T1007" t="str">
        <f t="shared" si="62"/>
        <v>Beginner</v>
      </c>
      <c r="U1007" t="str">
        <f t="shared" si="63"/>
        <v>Low Impact</v>
      </c>
    </row>
    <row r="1008" spans="1:21" x14ac:dyDescent="0.3">
      <c r="A1008" t="s">
        <v>1642</v>
      </c>
      <c r="B1008">
        <v>45</v>
      </c>
      <c r="C1008" t="s">
        <v>54</v>
      </c>
      <c r="D1008" t="s">
        <v>19</v>
      </c>
      <c r="E1008" t="s">
        <v>41</v>
      </c>
      <c r="F1008" t="s">
        <v>55</v>
      </c>
      <c r="G1008">
        <v>23</v>
      </c>
      <c r="H1008" t="s">
        <v>31</v>
      </c>
      <c r="I1008" t="s">
        <v>37</v>
      </c>
      <c r="J1008" t="s">
        <v>25</v>
      </c>
      <c r="K1008" s="2">
        <v>82800</v>
      </c>
      <c r="L1008" s="2">
        <v>84035</v>
      </c>
      <c r="M1008" t="s">
        <v>38</v>
      </c>
      <c r="N1008">
        <v>52</v>
      </c>
      <c r="O1008" t="s">
        <v>25</v>
      </c>
      <c r="P1008">
        <v>7</v>
      </c>
      <c r="Q1008" s="1">
        <v>9.58</v>
      </c>
      <c r="R1008" s="2">
        <f t="shared" si="60"/>
        <v>1235</v>
      </c>
      <c r="S1008" s="1">
        <f t="shared" si="61"/>
        <v>1.4915458937198067</v>
      </c>
      <c r="T1008" t="str">
        <f t="shared" si="62"/>
        <v>Expert</v>
      </c>
      <c r="U1008" t="str">
        <f t="shared" si="63"/>
        <v>Medium Impact</v>
      </c>
    </row>
    <row r="1009" spans="1:21" x14ac:dyDescent="0.3">
      <c r="A1009" t="s">
        <v>753</v>
      </c>
      <c r="B1009">
        <v>58</v>
      </c>
      <c r="C1009" t="s">
        <v>18</v>
      </c>
      <c r="D1009" t="s">
        <v>28</v>
      </c>
      <c r="E1009" t="s">
        <v>35</v>
      </c>
      <c r="F1009" t="s">
        <v>132</v>
      </c>
      <c r="G1009">
        <v>35</v>
      </c>
      <c r="H1009" t="s">
        <v>31</v>
      </c>
      <c r="I1009" t="s">
        <v>22</v>
      </c>
      <c r="J1009" t="s">
        <v>25</v>
      </c>
      <c r="K1009" s="2">
        <v>96630</v>
      </c>
      <c r="L1009" s="2">
        <v>92541</v>
      </c>
      <c r="M1009" t="s">
        <v>32</v>
      </c>
      <c r="N1009">
        <v>39</v>
      </c>
      <c r="O1009" t="s">
        <v>25</v>
      </c>
      <c r="P1009">
        <v>7</v>
      </c>
      <c r="Q1009" s="1">
        <v>9.5500000000000007</v>
      </c>
      <c r="R1009" s="2">
        <f t="shared" si="60"/>
        <v>-4089</v>
      </c>
      <c r="S1009" s="1">
        <f t="shared" si="61"/>
        <v>-4.2316050915864638</v>
      </c>
      <c r="T1009" t="str">
        <f t="shared" si="62"/>
        <v>Expert</v>
      </c>
      <c r="U1009" t="str">
        <f t="shared" si="63"/>
        <v>Low Impact</v>
      </c>
    </row>
    <row r="1010" spans="1:21" x14ac:dyDescent="0.3">
      <c r="A1010" t="s">
        <v>1666</v>
      </c>
      <c r="B1010">
        <v>34</v>
      </c>
      <c r="C1010" t="s">
        <v>27</v>
      </c>
      <c r="D1010" t="s">
        <v>34</v>
      </c>
      <c r="E1010" t="s">
        <v>41</v>
      </c>
      <c r="F1010" t="s">
        <v>42</v>
      </c>
      <c r="G1010">
        <v>10</v>
      </c>
      <c r="H1010" t="s">
        <v>22</v>
      </c>
      <c r="I1010" t="s">
        <v>37</v>
      </c>
      <c r="J1010" t="s">
        <v>25</v>
      </c>
      <c r="K1010" s="2">
        <v>69470</v>
      </c>
      <c r="L1010" s="2">
        <v>84917</v>
      </c>
      <c r="M1010" t="s">
        <v>38</v>
      </c>
      <c r="N1010">
        <v>52</v>
      </c>
      <c r="O1010" t="s">
        <v>23</v>
      </c>
      <c r="P1010">
        <v>9</v>
      </c>
      <c r="Q1010" s="1">
        <v>9.5500000000000007</v>
      </c>
      <c r="R1010" s="2">
        <f t="shared" si="60"/>
        <v>15447</v>
      </c>
      <c r="S1010" s="1">
        <f t="shared" si="61"/>
        <v>22.235497336979993</v>
      </c>
      <c r="T1010" t="str">
        <f t="shared" si="62"/>
        <v>Intermediate</v>
      </c>
      <c r="U1010" t="str">
        <f t="shared" si="63"/>
        <v>Medium Impact</v>
      </c>
    </row>
    <row r="1011" spans="1:21" x14ac:dyDescent="0.3">
      <c r="A1011" t="s">
        <v>1286</v>
      </c>
      <c r="B1011">
        <v>26</v>
      </c>
      <c r="C1011" t="s">
        <v>27</v>
      </c>
      <c r="D1011" t="s">
        <v>40</v>
      </c>
      <c r="E1011" t="s">
        <v>35</v>
      </c>
      <c r="F1011" t="s">
        <v>132</v>
      </c>
      <c r="G1011">
        <v>4</v>
      </c>
      <c r="H1011" t="s">
        <v>37</v>
      </c>
      <c r="I1011" t="s">
        <v>37</v>
      </c>
      <c r="J1011" t="s">
        <v>25</v>
      </c>
      <c r="K1011" s="2">
        <v>54722</v>
      </c>
      <c r="L1011" s="2">
        <v>57192</v>
      </c>
      <c r="M1011" t="s">
        <v>38</v>
      </c>
      <c r="N1011">
        <v>52</v>
      </c>
      <c r="O1011" t="s">
        <v>23</v>
      </c>
      <c r="P1011">
        <v>3</v>
      </c>
      <c r="Q1011" s="1">
        <v>9.43</v>
      </c>
      <c r="R1011" s="2">
        <f t="shared" si="60"/>
        <v>2470</v>
      </c>
      <c r="S1011" s="1">
        <f t="shared" si="61"/>
        <v>4.5137239135996499</v>
      </c>
      <c r="T1011" t="str">
        <f t="shared" si="62"/>
        <v>Beginner</v>
      </c>
      <c r="U1011" t="str">
        <f t="shared" si="63"/>
        <v>Medium Impact</v>
      </c>
    </row>
    <row r="1012" spans="1:21" x14ac:dyDescent="0.3">
      <c r="A1012" t="s">
        <v>1631</v>
      </c>
      <c r="B1012">
        <v>43</v>
      </c>
      <c r="C1012" t="s">
        <v>18</v>
      </c>
      <c r="D1012" t="s">
        <v>19</v>
      </c>
      <c r="E1012" t="s">
        <v>51</v>
      </c>
      <c r="F1012" t="s">
        <v>75</v>
      </c>
      <c r="G1012">
        <v>20</v>
      </c>
      <c r="H1012" t="s">
        <v>22</v>
      </c>
      <c r="I1012" t="s">
        <v>31</v>
      </c>
      <c r="J1012" t="s">
        <v>23</v>
      </c>
      <c r="K1012" s="2">
        <v>79323</v>
      </c>
      <c r="L1012" s="2">
        <v>95051</v>
      </c>
      <c r="M1012" t="s">
        <v>32</v>
      </c>
      <c r="N1012">
        <v>38</v>
      </c>
      <c r="O1012" t="s">
        <v>23</v>
      </c>
      <c r="P1012">
        <v>4</v>
      </c>
      <c r="Q1012" s="1">
        <v>9.39</v>
      </c>
      <c r="R1012" s="2">
        <f t="shared" si="60"/>
        <v>15728</v>
      </c>
      <c r="S1012" s="1">
        <f t="shared" si="61"/>
        <v>19.827792695687254</v>
      </c>
      <c r="T1012" t="str">
        <f t="shared" si="62"/>
        <v>Expert</v>
      </c>
      <c r="U1012" t="str">
        <f t="shared" si="63"/>
        <v>Low Impact</v>
      </c>
    </row>
    <row r="1013" spans="1:21" x14ac:dyDescent="0.3">
      <c r="A1013" t="s">
        <v>1722</v>
      </c>
      <c r="B1013">
        <v>54</v>
      </c>
      <c r="C1013" t="s">
        <v>27</v>
      </c>
      <c r="D1013" t="s">
        <v>28</v>
      </c>
      <c r="E1013" t="s">
        <v>59</v>
      </c>
      <c r="F1013" t="s">
        <v>60</v>
      </c>
      <c r="G1013">
        <v>31</v>
      </c>
      <c r="H1013" t="s">
        <v>22</v>
      </c>
      <c r="I1013" t="s">
        <v>37</v>
      </c>
      <c r="J1013" t="s">
        <v>23</v>
      </c>
      <c r="K1013" s="2">
        <v>47881</v>
      </c>
      <c r="L1013" s="2">
        <v>62530</v>
      </c>
      <c r="M1013" t="s">
        <v>38</v>
      </c>
      <c r="N1013">
        <v>49</v>
      </c>
      <c r="O1013" t="s">
        <v>23</v>
      </c>
      <c r="P1013">
        <v>4</v>
      </c>
      <c r="Q1013" s="1">
        <v>9.3800000000000008</v>
      </c>
      <c r="R1013" s="2">
        <f t="shared" si="60"/>
        <v>14649</v>
      </c>
      <c r="S1013" s="1">
        <f t="shared" si="61"/>
        <v>30.594599110294276</v>
      </c>
      <c r="T1013" t="str">
        <f t="shared" si="62"/>
        <v>Expert</v>
      </c>
      <c r="U1013" t="str">
        <f t="shared" si="63"/>
        <v>Medium Impact</v>
      </c>
    </row>
    <row r="1014" spans="1:21" x14ac:dyDescent="0.3">
      <c r="A1014" t="s">
        <v>2056</v>
      </c>
      <c r="B1014">
        <v>31</v>
      </c>
      <c r="C1014" t="s">
        <v>27</v>
      </c>
      <c r="D1014" t="s">
        <v>40</v>
      </c>
      <c r="E1014" t="s">
        <v>51</v>
      </c>
      <c r="F1014" t="s">
        <v>130</v>
      </c>
      <c r="G1014">
        <v>9</v>
      </c>
      <c r="H1014" t="s">
        <v>22</v>
      </c>
      <c r="I1014" t="s">
        <v>37</v>
      </c>
      <c r="J1014" t="s">
        <v>23</v>
      </c>
      <c r="K1014" s="2">
        <v>32379</v>
      </c>
      <c r="L1014" s="2">
        <v>44653</v>
      </c>
      <c r="M1014" t="s">
        <v>38</v>
      </c>
      <c r="N1014">
        <v>52</v>
      </c>
      <c r="O1014" t="s">
        <v>23</v>
      </c>
      <c r="P1014">
        <v>8</v>
      </c>
      <c r="Q1014" s="1">
        <v>9.3800000000000008</v>
      </c>
      <c r="R1014" s="2">
        <f t="shared" si="60"/>
        <v>12274</v>
      </c>
      <c r="S1014" s="1">
        <f t="shared" si="61"/>
        <v>37.907285586336826</v>
      </c>
      <c r="T1014" t="str">
        <f t="shared" si="62"/>
        <v>Intermediate</v>
      </c>
      <c r="U1014" t="str">
        <f t="shared" si="63"/>
        <v>Medium Impact</v>
      </c>
    </row>
    <row r="1015" spans="1:21" x14ac:dyDescent="0.3">
      <c r="A1015" t="s">
        <v>1386</v>
      </c>
      <c r="B1015">
        <v>39</v>
      </c>
      <c r="C1015" t="s">
        <v>18</v>
      </c>
      <c r="D1015" t="s">
        <v>34</v>
      </c>
      <c r="E1015" t="s">
        <v>59</v>
      </c>
      <c r="F1015" t="s">
        <v>93</v>
      </c>
      <c r="G1015">
        <v>16</v>
      </c>
      <c r="H1015" t="s">
        <v>37</v>
      </c>
      <c r="I1015" t="s">
        <v>37</v>
      </c>
      <c r="J1015" t="s">
        <v>23</v>
      </c>
      <c r="K1015" s="2">
        <v>41292</v>
      </c>
      <c r="L1015" s="2">
        <v>46461</v>
      </c>
      <c r="M1015" t="s">
        <v>38</v>
      </c>
      <c r="N1015">
        <v>51</v>
      </c>
      <c r="O1015" t="s">
        <v>23</v>
      </c>
      <c r="P1015">
        <v>4</v>
      </c>
      <c r="Q1015" s="1">
        <v>9.32</v>
      </c>
      <c r="R1015" s="2">
        <f t="shared" si="60"/>
        <v>5169</v>
      </c>
      <c r="S1015" s="1">
        <f t="shared" si="61"/>
        <v>12.518163324614937</v>
      </c>
      <c r="T1015" t="str">
        <f t="shared" si="62"/>
        <v>Expert</v>
      </c>
      <c r="U1015" t="str">
        <f t="shared" si="63"/>
        <v>Medium Impact</v>
      </c>
    </row>
    <row r="1016" spans="1:21" x14ac:dyDescent="0.3">
      <c r="A1016" t="s">
        <v>2058</v>
      </c>
      <c r="B1016">
        <v>43</v>
      </c>
      <c r="C1016" t="s">
        <v>18</v>
      </c>
      <c r="D1016" t="s">
        <v>19</v>
      </c>
      <c r="E1016" t="s">
        <v>20</v>
      </c>
      <c r="F1016" t="s">
        <v>88</v>
      </c>
      <c r="G1016">
        <v>20</v>
      </c>
      <c r="H1016" t="s">
        <v>37</v>
      </c>
      <c r="I1016" t="s">
        <v>31</v>
      </c>
      <c r="J1016" t="s">
        <v>25</v>
      </c>
      <c r="K1016" s="2">
        <v>57821</v>
      </c>
      <c r="L1016" s="2">
        <v>68499</v>
      </c>
      <c r="M1016" t="s">
        <v>32</v>
      </c>
      <c r="N1016">
        <v>41</v>
      </c>
      <c r="O1016" t="s">
        <v>25</v>
      </c>
      <c r="P1016">
        <v>9</v>
      </c>
      <c r="Q1016" s="1">
        <v>9.31</v>
      </c>
      <c r="R1016" s="2">
        <f t="shared" si="60"/>
        <v>10678</v>
      </c>
      <c r="S1016" s="1">
        <f t="shared" si="61"/>
        <v>18.467338856124936</v>
      </c>
      <c r="T1016" t="str">
        <f t="shared" si="62"/>
        <v>Expert</v>
      </c>
      <c r="U1016" t="str">
        <f t="shared" si="63"/>
        <v>Low Impact</v>
      </c>
    </row>
    <row r="1017" spans="1:21" x14ac:dyDescent="0.3">
      <c r="A1017" t="s">
        <v>1377</v>
      </c>
      <c r="B1017">
        <v>31</v>
      </c>
      <c r="C1017" t="s">
        <v>18</v>
      </c>
      <c r="D1017" t="s">
        <v>28</v>
      </c>
      <c r="E1017" t="s">
        <v>59</v>
      </c>
      <c r="F1017" t="s">
        <v>60</v>
      </c>
      <c r="G1017">
        <v>6</v>
      </c>
      <c r="H1017" t="s">
        <v>31</v>
      </c>
      <c r="I1017" t="s">
        <v>22</v>
      </c>
      <c r="J1017" t="s">
        <v>23</v>
      </c>
      <c r="K1017" s="2">
        <v>102154</v>
      </c>
      <c r="L1017" s="2">
        <v>111335</v>
      </c>
      <c r="M1017" t="s">
        <v>32</v>
      </c>
      <c r="N1017">
        <v>54</v>
      </c>
      <c r="O1017" t="s">
        <v>23</v>
      </c>
      <c r="P1017">
        <v>3</v>
      </c>
      <c r="Q1017" s="1">
        <v>9.2899999999999991</v>
      </c>
      <c r="R1017" s="2">
        <f t="shared" si="60"/>
        <v>9181</v>
      </c>
      <c r="S1017" s="1">
        <f t="shared" si="61"/>
        <v>8.9874111635374039</v>
      </c>
      <c r="T1017" t="str">
        <f t="shared" si="62"/>
        <v>Intermediate</v>
      </c>
      <c r="U1017" t="str">
        <f t="shared" si="63"/>
        <v>Low Impact</v>
      </c>
    </row>
    <row r="1018" spans="1:21" x14ac:dyDescent="0.3">
      <c r="A1018" t="s">
        <v>1859</v>
      </c>
      <c r="B1018">
        <v>37</v>
      </c>
      <c r="C1018" t="s">
        <v>27</v>
      </c>
      <c r="D1018" t="s">
        <v>19</v>
      </c>
      <c r="E1018" t="s">
        <v>29</v>
      </c>
      <c r="F1018" t="s">
        <v>102</v>
      </c>
      <c r="G1018">
        <v>14</v>
      </c>
      <c r="H1018" t="s">
        <v>22</v>
      </c>
      <c r="I1018" t="s">
        <v>22</v>
      </c>
      <c r="J1018" t="s">
        <v>23</v>
      </c>
      <c r="K1018" s="2">
        <v>54647</v>
      </c>
      <c r="L1018" s="2">
        <v>60799</v>
      </c>
      <c r="M1018" t="s">
        <v>38</v>
      </c>
      <c r="N1018">
        <v>38</v>
      </c>
      <c r="O1018" t="s">
        <v>25</v>
      </c>
      <c r="P1018">
        <v>3</v>
      </c>
      <c r="Q1018" s="1">
        <v>9.26</v>
      </c>
      <c r="R1018" s="2">
        <f t="shared" si="60"/>
        <v>6152</v>
      </c>
      <c r="S1018" s="1">
        <f t="shared" si="61"/>
        <v>11.257708565886508</v>
      </c>
      <c r="T1018" t="str">
        <f t="shared" si="62"/>
        <v>Intermediate</v>
      </c>
      <c r="U1018" t="str">
        <f t="shared" si="63"/>
        <v>Medium Impact</v>
      </c>
    </row>
    <row r="1019" spans="1:21" x14ac:dyDescent="0.3">
      <c r="A1019" t="s">
        <v>863</v>
      </c>
      <c r="B1019">
        <v>29</v>
      </c>
      <c r="C1019" t="s">
        <v>54</v>
      </c>
      <c r="D1019" t="s">
        <v>28</v>
      </c>
      <c r="E1019" t="s">
        <v>44</v>
      </c>
      <c r="F1019" t="s">
        <v>45</v>
      </c>
      <c r="G1019">
        <v>6</v>
      </c>
      <c r="H1019" t="s">
        <v>31</v>
      </c>
      <c r="I1019" t="s">
        <v>31</v>
      </c>
      <c r="J1019" t="s">
        <v>25</v>
      </c>
      <c r="K1019" s="2">
        <v>105483</v>
      </c>
      <c r="L1019" s="2">
        <v>109701</v>
      </c>
      <c r="M1019" t="s">
        <v>32</v>
      </c>
      <c r="N1019">
        <v>51</v>
      </c>
      <c r="O1019" t="s">
        <v>23</v>
      </c>
      <c r="P1019">
        <v>9</v>
      </c>
      <c r="Q1019" s="1">
        <v>9.14</v>
      </c>
      <c r="R1019" s="2">
        <f t="shared" si="60"/>
        <v>4218</v>
      </c>
      <c r="S1019" s="1">
        <f t="shared" si="61"/>
        <v>3.9987486135206618</v>
      </c>
      <c r="T1019" t="str">
        <f t="shared" si="62"/>
        <v>Intermediate</v>
      </c>
      <c r="U1019" t="str">
        <f t="shared" si="63"/>
        <v>Low Impact</v>
      </c>
    </row>
    <row r="1020" spans="1:21" x14ac:dyDescent="0.3">
      <c r="A1020" t="s">
        <v>87</v>
      </c>
      <c r="B1020">
        <v>50</v>
      </c>
      <c r="C1020" t="s">
        <v>18</v>
      </c>
      <c r="D1020" t="s">
        <v>28</v>
      </c>
      <c r="E1020" t="s">
        <v>20</v>
      </c>
      <c r="F1020" t="s">
        <v>88</v>
      </c>
      <c r="G1020">
        <v>27</v>
      </c>
      <c r="H1020" t="s">
        <v>31</v>
      </c>
      <c r="I1020" t="s">
        <v>37</v>
      </c>
      <c r="J1020" t="s">
        <v>23</v>
      </c>
      <c r="K1020" s="2">
        <v>76975</v>
      </c>
      <c r="L1020" s="2">
        <v>76652</v>
      </c>
      <c r="M1020" t="s">
        <v>38</v>
      </c>
      <c r="N1020">
        <v>37</v>
      </c>
      <c r="O1020" t="s">
        <v>25</v>
      </c>
      <c r="P1020">
        <v>7</v>
      </c>
      <c r="Q1020" s="1">
        <v>9.14</v>
      </c>
      <c r="R1020" s="2">
        <f t="shared" si="60"/>
        <v>-323</v>
      </c>
      <c r="S1020" s="1">
        <f t="shared" si="61"/>
        <v>-0.41961675868788567</v>
      </c>
      <c r="T1020" t="str">
        <f t="shared" si="62"/>
        <v>Expert</v>
      </c>
      <c r="U1020" t="str">
        <f t="shared" si="63"/>
        <v>Medium Impact</v>
      </c>
    </row>
    <row r="1021" spans="1:21" x14ac:dyDescent="0.3">
      <c r="A1021" t="s">
        <v>1156</v>
      </c>
      <c r="B1021">
        <v>43</v>
      </c>
      <c r="C1021" t="s">
        <v>27</v>
      </c>
      <c r="D1021" t="s">
        <v>34</v>
      </c>
      <c r="E1021" t="s">
        <v>41</v>
      </c>
      <c r="F1021" t="s">
        <v>42</v>
      </c>
      <c r="G1021">
        <v>19</v>
      </c>
      <c r="H1021" t="s">
        <v>31</v>
      </c>
      <c r="I1021" t="s">
        <v>22</v>
      </c>
      <c r="J1021" t="s">
        <v>23</v>
      </c>
      <c r="K1021" s="2">
        <v>89055</v>
      </c>
      <c r="L1021" s="2">
        <v>90515</v>
      </c>
      <c r="M1021" t="s">
        <v>32</v>
      </c>
      <c r="N1021">
        <v>51</v>
      </c>
      <c r="O1021" t="s">
        <v>25</v>
      </c>
      <c r="P1021">
        <v>8</v>
      </c>
      <c r="Q1021" s="1">
        <v>9.1199999999999992</v>
      </c>
      <c r="R1021" s="2">
        <f t="shared" si="60"/>
        <v>1460</v>
      </c>
      <c r="S1021" s="1">
        <f t="shared" si="61"/>
        <v>1.6394363034080064</v>
      </c>
      <c r="T1021" t="str">
        <f t="shared" si="62"/>
        <v>Expert</v>
      </c>
      <c r="U1021" t="str">
        <f t="shared" si="63"/>
        <v>Low Impact</v>
      </c>
    </row>
    <row r="1022" spans="1:21" x14ac:dyDescent="0.3">
      <c r="A1022" t="s">
        <v>1965</v>
      </c>
      <c r="B1022">
        <v>23</v>
      </c>
      <c r="C1022" t="s">
        <v>54</v>
      </c>
      <c r="D1022" t="s">
        <v>28</v>
      </c>
      <c r="E1022" t="s">
        <v>29</v>
      </c>
      <c r="F1022" t="s">
        <v>102</v>
      </c>
      <c r="G1022">
        <v>0</v>
      </c>
      <c r="H1022" t="s">
        <v>37</v>
      </c>
      <c r="I1022" t="s">
        <v>37</v>
      </c>
      <c r="J1022" t="s">
        <v>23</v>
      </c>
      <c r="K1022" s="2">
        <v>82044</v>
      </c>
      <c r="L1022" s="2">
        <v>86728</v>
      </c>
      <c r="M1022" t="s">
        <v>38</v>
      </c>
      <c r="N1022">
        <v>45</v>
      </c>
      <c r="O1022" t="s">
        <v>23</v>
      </c>
      <c r="P1022">
        <v>8</v>
      </c>
      <c r="Q1022" s="1">
        <v>9.1199999999999992</v>
      </c>
      <c r="R1022" s="2">
        <f t="shared" si="60"/>
        <v>4684</v>
      </c>
      <c r="S1022" s="1">
        <f t="shared" si="61"/>
        <v>5.7091316854370824</v>
      </c>
      <c r="T1022" t="str">
        <f t="shared" si="62"/>
        <v>Beginner</v>
      </c>
      <c r="U1022" t="str">
        <f t="shared" si="63"/>
        <v>Medium Impact</v>
      </c>
    </row>
    <row r="1023" spans="1:21" x14ac:dyDescent="0.3">
      <c r="A1023" t="s">
        <v>222</v>
      </c>
      <c r="B1023">
        <v>31</v>
      </c>
      <c r="C1023" t="s">
        <v>18</v>
      </c>
      <c r="D1023" t="s">
        <v>28</v>
      </c>
      <c r="E1023" t="s">
        <v>35</v>
      </c>
      <c r="F1023" t="s">
        <v>36</v>
      </c>
      <c r="G1023">
        <v>7</v>
      </c>
      <c r="H1023" t="s">
        <v>22</v>
      </c>
      <c r="I1023" t="s">
        <v>31</v>
      </c>
      <c r="J1023" t="s">
        <v>23</v>
      </c>
      <c r="K1023" s="2">
        <v>116143</v>
      </c>
      <c r="L1023" s="2">
        <v>105604</v>
      </c>
      <c r="M1023" t="s">
        <v>32</v>
      </c>
      <c r="N1023">
        <v>51</v>
      </c>
      <c r="O1023" t="s">
        <v>25</v>
      </c>
      <c r="P1023">
        <v>8</v>
      </c>
      <c r="Q1023" s="1">
        <v>9.09</v>
      </c>
      <c r="R1023" s="2">
        <f t="shared" si="60"/>
        <v>-10539</v>
      </c>
      <c r="S1023" s="1">
        <f t="shared" si="61"/>
        <v>-9.0741585803707494</v>
      </c>
      <c r="T1023" t="str">
        <f t="shared" si="62"/>
        <v>Intermediate</v>
      </c>
      <c r="U1023" t="str">
        <f t="shared" si="63"/>
        <v>Low Impact</v>
      </c>
    </row>
    <row r="1024" spans="1:21" x14ac:dyDescent="0.3">
      <c r="A1024" t="s">
        <v>1323</v>
      </c>
      <c r="B1024">
        <v>43</v>
      </c>
      <c r="C1024" t="s">
        <v>18</v>
      </c>
      <c r="D1024" t="s">
        <v>40</v>
      </c>
      <c r="E1024" t="s">
        <v>44</v>
      </c>
      <c r="F1024" t="s">
        <v>45</v>
      </c>
      <c r="G1024">
        <v>17</v>
      </c>
      <c r="H1024" t="s">
        <v>22</v>
      </c>
      <c r="I1024" t="s">
        <v>22</v>
      </c>
      <c r="J1024" t="s">
        <v>25</v>
      </c>
      <c r="K1024" s="2">
        <v>69770</v>
      </c>
      <c r="L1024" s="2">
        <v>71984</v>
      </c>
      <c r="M1024" t="s">
        <v>38</v>
      </c>
      <c r="N1024">
        <v>49</v>
      </c>
      <c r="O1024" t="s">
        <v>25</v>
      </c>
      <c r="P1024">
        <v>4</v>
      </c>
      <c r="Q1024" s="1">
        <v>9.09</v>
      </c>
      <c r="R1024" s="2">
        <f t="shared" si="60"/>
        <v>2214</v>
      </c>
      <c r="S1024" s="1">
        <f t="shared" si="61"/>
        <v>3.1732836462663032</v>
      </c>
      <c r="T1024" t="str">
        <f t="shared" si="62"/>
        <v>Expert</v>
      </c>
      <c r="U1024" t="str">
        <f t="shared" si="63"/>
        <v>Medium Impact</v>
      </c>
    </row>
    <row r="1025" spans="1:21" x14ac:dyDescent="0.3">
      <c r="A1025" t="s">
        <v>821</v>
      </c>
      <c r="B1025">
        <v>27</v>
      </c>
      <c r="C1025" t="s">
        <v>54</v>
      </c>
      <c r="D1025" t="s">
        <v>40</v>
      </c>
      <c r="E1025" t="s">
        <v>44</v>
      </c>
      <c r="F1025" t="s">
        <v>57</v>
      </c>
      <c r="G1025">
        <v>2</v>
      </c>
      <c r="H1025" t="s">
        <v>22</v>
      </c>
      <c r="I1025" t="s">
        <v>22</v>
      </c>
      <c r="J1025" t="s">
        <v>25</v>
      </c>
      <c r="K1025" s="2">
        <v>66133</v>
      </c>
      <c r="L1025" s="2">
        <v>73210</v>
      </c>
      <c r="M1025" t="s">
        <v>38</v>
      </c>
      <c r="N1025">
        <v>42</v>
      </c>
      <c r="O1025" t="s">
        <v>23</v>
      </c>
      <c r="P1025">
        <v>9</v>
      </c>
      <c r="Q1025" s="1">
        <v>9</v>
      </c>
      <c r="R1025" s="2">
        <f t="shared" si="60"/>
        <v>7077</v>
      </c>
      <c r="S1025" s="1">
        <f t="shared" si="61"/>
        <v>10.701162808280284</v>
      </c>
      <c r="T1025" t="str">
        <f t="shared" si="62"/>
        <v>Beginner</v>
      </c>
      <c r="U1025" t="str">
        <f t="shared" si="63"/>
        <v>Medium Impact</v>
      </c>
    </row>
    <row r="1026" spans="1:21" x14ac:dyDescent="0.3">
      <c r="A1026" t="s">
        <v>1537</v>
      </c>
      <c r="B1026">
        <v>26</v>
      </c>
      <c r="C1026" t="s">
        <v>27</v>
      </c>
      <c r="D1026" t="s">
        <v>40</v>
      </c>
      <c r="E1026" t="s">
        <v>35</v>
      </c>
      <c r="F1026" t="s">
        <v>98</v>
      </c>
      <c r="G1026">
        <v>1</v>
      </c>
      <c r="H1026" t="s">
        <v>37</v>
      </c>
      <c r="I1026" t="s">
        <v>31</v>
      </c>
      <c r="J1026" t="s">
        <v>23</v>
      </c>
      <c r="K1026" s="2">
        <v>52063</v>
      </c>
      <c r="L1026" s="2">
        <v>53322</v>
      </c>
      <c r="M1026" t="s">
        <v>32</v>
      </c>
      <c r="N1026">
        <v>37</v>
      </c>
      <c r="O1026" t="s">
        <v>25</v>
      </c>
      <c r="P1026">
        <v>6</v>
      </c>
      <c r="Q1026" s="1">
        <v>9</v>
      </c>
      <c r="R1026" s="2">
        <f t="shared" ref="R1026:R1089" si="64">L1026-K1026</f>
        <v>1259</v>
      </c>
      <c r="S1026" s="1">
        <f t="shared" ref="S1026:S1089" si="65">(L1026-K1026)/K1026*100</f>
        <v>2.4182240746787547</v>
      </c>
      <c r="T1026" t="str">
        <f t="shared" ref="T1026:T1089" si="66">IF(G1026&lt;5,"Beginner",IF(G1026&lt;15,"Intermediate","Expert"))</f>
        <v>Beginner</v>
      </c>
      <c r="U1026" t="str">
        <f t="shared" ref="U1026:U1089" si="67">IF(M1026="Replaced","High Impact",IF(M1026="Modified","Medium Impact","Low Impact"))</f>
        <v>Low Impact</v>
      </c>
    </row>
    <row r="1027" spans="1:21" x14ac:dyDescent="0.3">
      <c r="A1027" t="s">
        <v>129</v>
      </c>
      <c r="B1027">
        <v>28</v>
      </c>
      <c r="C1027" t="s">
        <v>27</v>
      </c>
      <c r="D1027" t="s">
        <v>19</v>
      </c>
      <c r="E1027" t="s">
        <v>51</v>
      </c>
      <c r="F1027" t="s">
        <v>130</v>
      </c>
      <c r="G1027">
        <v>3</v>
      </c>
      <c r="H1027" t="s">
        <v>37</v>
      </c>
      <c r="I1027" t="s">
        <v>31</v>
      </c>
      <c r="J1027" t="s">
        <v>25</v>
      </c>
      <c r="K1027" s="2">
        <v>112637</v>
      </c>
      <c r="L1027" s="2">
        <v>124242</v>
      </c>
      <c r="M1027" t="s">
        <v>32</v>
      </c>
      <c r="N1027">
        <v>49</v>
      </c>
      <c r="O1027" t="s">
        <v>23</v>
      </c>
      <c r="P1027">
        <v>7</v>
      </c>
      <c r="Q1027" s="1">
        <v>8.9499999999999993</v>
      </c>
      <c r="R1027" s="2">
        <f t="shared" si="64"/>
        <v>11605</v>
      </c>
      <c r="S1027" s="1">
        <f t="shared" si="65"/>
        <v>10.303008780418512</v>
      </c>
      <c r="T1027" t="str">
        <f t="shared" si="66"/>
        <v>Beginner</v>
      </c>
      <c r="U1027" t="str">
        <f t="shared" si="67"/>
        <v>Low Impact</v>
      </c>
    </row>
    <row r="1028" spans="1:21" x14ac:dyDescent="0.3">
      <c r="A1028" t="s">
        <v>1292</v>
      </c>
      <c r="B1028">
        <v>43</v>
      </c>
      <c r="C1028" t="s">
        <v>27</v>
      </c>
      <c r="D1028" t="s">
        <v>19</v>
      </c>
      <c r="E1028" t="s">
        <v>35</v>
      </c>
      <c r="F1028" t="s">
        <v>98</v>
      </c>
      <c r="G1028">
        <v>20</v>
      </c>
      <c r="H1028" t="s">
        <v>37</v>
      </c>
      <c r="I1028" t="s">
        <v>22</v>
      </c>
      <c r="J1028" t="s">
        <v>25</v>
      </c>
      <c r="K1028" s="2">
        <v>70232</v>
      </c>
      <c r="L1028" s="2">
        <v>84164</v>
      </c>
      <c r="M1028" t="s">
        <v>32</v>
      </c>
      <c r="N1028">
        <v>35</v>
      </c>
      <c r="O1028" t="s">
        <v>23</v>
      </c>
      <c r="P1028">
        <v>3</v>
      </c>
      <c r="Q1028" s="1">
        <v>8.92</v>
      </c>
      <c r="R1028" s="2">
        <f t="shared" si="64"/>
        <v>13932</v>
      </c>
      <c r="S1028" s="1">
        <f t="shared" si="65"/>
        <v>19.837111288301628</v>
      </c>
      <c r="T1028" t="str">
        <f t="shared" si="66"/>
        <v>Expert</v>
      </c>
      <c r="U1028" t="str">
        <f t="shared" si="67"/>
        <v>Low Impact</v>
      </c>
    </row>
    <row r="1029" spans="1:21" x14ac:dyDescent="0.3">
      <c r="A1029" t="s">
        <v>181</v>
      </c>
      <c r="B1029">
        <v>47</v>
      </c>
      <c r="C1029" t="s">
        <v>18</v>
      </c>
      <c r="D1029" t="s">
        <v>34</v>
      </c>
      <c r="E1029" t="s">
        <v>44</v>
      </c>
      <c r="F1029" t="s">
        <v>57</v>
      </c>
      <c r="G1029">
        <v>21</v>
      </c>
      <c r="H1029" t="s">
        <v>22</v>
      </c>
      <c r="I1029" t="s">
        <v>31</v>
      </c>
      <c r="J1029" t="s">
        <v>23</v>
      </c>
      <c r="K1029" s="2">
        <v>31917</v>
      </c>
      <c r="L1029" s="2">
        <v>28489</v>
      </c>
      <c r="M1029" t="s">
        <v>32</v>
      </c>
      <c r="N1029">
        <v>45</v>
      </c>
      <c r="O1029" t="s">
        <v>25</v>
      </c>
      <c r="P1029">
        <v>5</v>
      </c>
      <c r="Q1029" s="1">
        <v>8.8699999999999992</v>
      </c>
      <c r="R1029" s="2">
        <f t="shared" si="64"/>
        <v>-3428</v>
      </c>
      <c r="S1029" s="1">
        <f t="shared" si="65"/>
        <v>-10.740357803051666</v>
      </c>
      <c r="T1029" t="str">
        <f t="shared" si="66"/>
        <v>Expert</v>
      </c>
      <c r="U1029" t="str">
        <f t="shared" si="67"/>
        <v>Low Impact</v>
      </c>
    </row>
    <row r="1030" spans="1:21" x14ac:dyDescent="0.3">
      <c r="A1030" t="s">
        <v>406</v>
      </c>
      <c r="B1030">
        <v>47</v>
      </c>
      <c r="C1030" t="s">
        <v>54</v>
      </c>
      <c r="D1030" t="s">
        <v>34</v>
      </c>
      <c r="E1030" t="s">
        <v>44</v>
      </c>
      <c r="F1030" t="s">
        <v>45</v>
      </c>
      <c r="G1030">
        <v>23</v>
      </c>
      <c r="H1030" t="s">
        <v>31</v>
      </c>
      <c r="I1030" t="s">
        <v>37</v>
      </c>
      <c r="J1030" t="s">
        <v>25</v>
      </c>
      <c r="K1030" s="2">
        <v>92812</v>
      </c>
      <c r="L1030" s="2">
        <v>94599</v>
      </c>
      <c r="M1030" t="s">
        <v>38</v>
      </c>
      <c r="N1030">
        <v>44</v>
      </c>
      <c r="O1030" t="s">
        <v>23</v>
      </c>
      <c r="P1030">
        <v>7</v>
      </c>
      <c r="Q1030" s="1">
        <v>8.85</v>
      </c>
      <c r="R1030" s="2">
        <f t="shared" si="64"/>
        <v>1787</v>
      </c>
      <c r="S1030" s="1">
        <f t="shared" si="65"/>
        <v>1.9253975778994095</v>
      </c>
      <c r="T1030" t="str">
        <f t="shared" si="66"/>
        <v>Expert</v>
      </c>
      <c r="U1030" t="str">
        <f t="shared" si="67"/>
        <v>Medium Impact</v>
      </c>
    </row>
    <row r="1031" spans="1:21" x14ac:dyDescent="0.3">
      <c r="A1031" t="s">
        <v>1495</v>
      </c>
      <c r="B1031">
        <v>40</v>
      </c>
      <c r="C1031" t="s">
        <v>18</v>
      </c>
      <c r="D1031" t="s">
        <v>28</v>
      </c>
      <c r="E1031" t="s">
        <v>20</v>
      </c>
      <c r="F1031" t="s">
        <v>21</v>
      </c>
      <c r="G1031">
        <v>17</v>
      </c>
      <c r="H1031" t="s">
        <v>37</v>
      </c>
      <c r="I1031" t="s">
        <v>22</v>
      </c>
      <c r="J1031" t="s">
        <v>25</v>
      </c>
      <c r="K1031" s="2">
        <v>91606</v>
      </c>
      <c r="L1031" s="2">
        <v>99066</v>
      </c>
      <c r="M1031" t="s">
        <v>32</v>
      </c>
      <c r="N1031">
        <v>43</v>
      </c>
      <c r="O1031" t="s">
        <v>25</v>
      </c>
      <c r="P1031">
        <v>9</v>
      </c>
      <c r="Q1031" s="1">
        <v>8.81</v>
      </c>
      <c r="R1031" s="2">
        <f t="shared" si="64"/>
        <v>7460</v>
      </c>
      <c r="S1031" s="1">
        <f t="shared" si="65"/>
        <v>8.1435713817872202</v>
      </c>
      <c r="T1031" t="str">
        <f t="shared" si="66"/>
        <v>Expert</v>
      </c>
      <c r="U1031" t="str">
        <f t="shared" si="67"/>
        <v>Low Impact</v>
      </c>
    </row>
    <row r="1032" spans="1:21" x14ac:dyDescent="0.3">
      <c r="A1032" t="s">
        <v>283</v>
      </c>
      <c r="B1032">
        <v>34</v>
      </c>
      <c r="C1032" t="s">
        <v>27</v>
      </c>
      <c r="D1032" t="s">
        <v>40</v>
      </c>
      <c r="E1032" t="s">
        <v>51</v>
      </c>
      <c r="F1032" t="s">
        <v>52</v>
      </c>
      <c r="G1032">
        <v>12</v>
      </c>
      <c r="H1032" t="s">
        <v>31</v>
      </c>
      <c r="I1032" t="s">
        <v>37</v>
      </c>
      <c r="J1032" t="s">
        <v>25</v>
      </c>
      <c r="K1032" s="2">
        <v>56589</v>
      </c>
      <c r="L1032" s="2">
        <v>57091</v>
      </c>
      <c r="M1032" t="s">
        <v>38</v>
      </c>
      <c r="N1032">
        <v>40</v>
      </c>
      <c r="O1032" t="s">
        <v>23</v>
      </c>
      <c r="P1032">
        <v>5</v>
      </c>
      <c r="Q1032" s="1">
        <v>8.8000000000000007</v>
      </c>
      <c r="R1032" s="2">
        <f t="shared" si="64"/>
        <v>502</v>
      </c>
      <c r="S1032" s="1">
        <f t="shared" si="65"/>
        <v>0.88709819929668299</v>
      </c>
      <c r="T1032" t="str">
        <f t="shared" si="66"/>
        <v>Intermediate</v>
      </c>
      <c r="U1032" t="str">
        <f t="shared" si="67"/>
        <v>Medium Impact</v>
      </c>
    </row>
    <row r="1033" spans="1:21" x14ac:dyDescent="0.3">
      <c r="A1033" t="s">
        <v>246</v>
      </c>
      <c r="B1033">
        <v>50</v>
      </c>
      <c r="C1033" t="s">
        <v>54</v>
      </c>
      <c r="D1033" t="s">
        <v>40</v>
      </c>
      <c r="E1033" t="s">
        <v>41</v>
      </c>
      <c r="F1033" t="s">
        <v>42</v>
      </c>
      <c r="G1033">
        <v>28</v>
      </c>
      <c r="H1033" t="s">
        <v>31</v>
      </c>
      <c r="I1033" t="s">
        <v>22</v>
      </c>
      <c r="J1033" t="s">
        <v>25</v>
      </c>
      <c r="K1033" s="2">
        <v>91916</v>
      </c>
      <c r="L1033" s="2">
        <v>87838</v>
      </c>
      <c r="M1033" t="s">
        <v>32</v>
      </c>
      <c r="N1033">
        <v>50</v>
      </c>
      <c r="O1033" t="s">
        <v>23</v>
      </c>
      <c r="P1033">
        <v>6</v>
      </c>
      <c r="Q1033" s="1">
        <v>8.7899999999999991</v>
      </c>
      <c r="R1033" s="2">
        <f t="shared" si="64"/>
        <v>-4078</v>
      </c>
      <c r="S1033" s="1">
        <f t="shared" si="65"/>
        <v>-4.4366595587275341</v>
      </c>
      <c r="T1033" t="str">
        <f t="shared" si="66"/>
        <v>Expert</v>
      </c>
      <c r="U1033" t="str">
        <f t="shared" si="67"/>
        <v>Low Impact</v>
      </c>
    </row>
    <row r="1034" spans="1:21" x14ac:dyDescent="0.3">
      <c r="A1034" t="s">
        <v>1501</v>
      </c>
      <c r="B1034">
        <v>23</v>
      </c>
      <c r="C1034" t="s">
        <v>18</v>
      </c>
      <c r="D1034" t="s">
        <v>34</v>
      </c>
      <c r="E1034" t="s">
        <v>51</v>
      </c>
      <c r="F1034" t="s">
        <v>130</v>
      </c>
      <c r="G1034">
        <v>0</v>
      </c>
      <c r="H1034" t="s">
        <v>31</v>
      </c>
      <c r="I1034" t="s">
        <v>31</v>
      </c>
      <c r="J1034" t="s">
        <v>25</v>
      </c>
      <c r="K1034" s="2">
        <v>66648</v>
      </c>
      <c r="L1034" s="2">
        <v>63518</v>
      </c>
      <c r="M1034" t="s">
        <v>32</v>
      </c>
      <c r="N1034">
        <v>49</v>
      </c>
      <c r="O1034" t="s">
        <v>23</v>
      </c>
      <c r="P1034">
        <v>7</v>
      </c>
      <c r="Q1034" s="1">
        <v>8.76</v>
      </c>
      <c r="R1034" s="2">
        <f t="shared" si="64"/>
        <v>-3130</v>
      </c>
      <c r="S1034" s="1">
        <f t="shared" si="65"/>
        <v>-4.6963149681910936</v>
      </c>
      <c r="T1034" t="str">
        <f t="shared" si="66"/>
        <v>Beginner</v>
      </c>
      <c r="U1034" t="str">
        <f t="shared" si="67"/>
        <v>Low Impact</v>
      </c>
    </row>
    <row r="1035" spans="1:21" x14ac:dyDescent="0.3">
      <c r="A1035" t="s">
        <v>380</v>
      </c>
      <c r="B1035">
        <v>25</v>
      </c>
      <c r="C1035" t="s">
        <v>54</v>
      </c>
      <c r="D1035" t="s">
        <v>40</v>
      </c>
      <c r="E1035" t="s">
        <v>51</v>
      </c>
      <c r="F1035" t="s">
        <v>52</v>
      </c>
      <c r="G1035">
        <v>3</v>
      </c>
      <c r="H1035" t="s">
        <v>37</v>
      </c>
      <c r="I1035" t="s">
        <v>22</v>
      </c>
      <c r="J1035" t="s">
        <v>25</v>
      </c>
      <c r="K1035" s="2">
        <v>89560</v>
      </c>
      <c r="L1035" s="2">
        <v>106392</v>
      </c>
      <c r="M1035" t="s">
        <v>32</v>
      </c>
      <c r="N1035">
        <v>52</v>
      </c>
      <c r="O1035" t="s">
        <v>25</v>
      </c>
      <c r="P1035">
        <v>4</v>
      </c>
      <c r="Q1035" s="1">
        <v>8.6999999999999993</v>
      </c>
      <c r="R1035" s="2">
        <f t="shared" si="64"/>
        <v>16832</v>
      </c>
      <c r="S1035" s="1">
        <f t="shared" si="65"/>
        <v>18.794104510942386</v>
      </c>
      <c r="T1035" t="str">
        <f t="shared" si="66"/>
        <v>Beginner</v>
      </c>
      <c r="U1035" t="str">
        <f t="shared" si="67"/>
        <v>Low Impact</v>
      </c>
    </row>
    <row r="1036" spans="1:21" x14ac:dyDescent="0.3">
      <c r="A1036" t="s">
        <v>1232</v>
      </c>
      <c r="B1036">
        <v>40</v>
      </c>
      <c r="C1036" t="s">
        <v>18</v>
      </c>
      <c r="D1036" t="s">
        <v>34</v>
      </c>
      <c r="E1036" t="s">
        <v>51</v>
      </c>
      <c r="F1036" t="s">
        <v>75</v>
      </c>
      <c r="G1036">
        <v>18</v>
      </c>
      <c r="H1036" t="s">
        <v>22</v>
      </c>
      <c r="I1036" t="s">
        <v>31</v>
      </c>
      <c r="J1036" t="s">
        <v>23</v>
      </c>
      <c r="K1036" s="2">
        <v>86866</v>
      </c>
      <c r="L1036" s="2">
        <v>114411</v>
      </c>
      <c r="M1036" t="s">
        <v>32</v>
      </c>
      <c r="N1036">
        <v>35</v>
      </c>
      <c r="O1036" t="s">
        <v>25</v>
      </c>
      <c r="P1036">
        <v>4</v>
      </c>
      <c r="Q1036" s="1">
        <v>8.6300000000000008</v>
      </c>
      <c r="R1036" s="2">
        <f t="shared" si="64"/>
        <v>27545</v>
      </c>
      <c r="S1036" s="1">
        <f t="shared" si="65"/>
        <v>31.709759860014273</v>
      </c>
      <c r="T1036" t="str">
        <f t="shared" si="66"/>
        <v>Expert</v>
      </c>
      <c r="U1036" t="str">
        <f t="shared" si="67"/>
        <v>Low Impact</v>
      </c>
    </row>
    <row r="1037" spans="1:21" x14ac:dyDescent="0.3">
      <c r="A1037" t="s">
        <v>871</v>
      </c>
      <c r="B1037">
        <v>57</v>
      </c>
      <c r="C1037" t="s">
        <v>27</v>
      </c>
      <c r="D1037" t="s">
        <v>40</v>
      </c>
      <c r="E1037" t="s">
        <v>51</v>
      </c>
      <c r="F1037" t="s">
        <v>75</v>
      </c>
      <c r="G1037">
        <v>31</v>
      </c>
      <c r="H1037" t="s">
        <v>22</v>
      </c>
      <c r="I1037" t="s">
        <v>22</v>
      </c>
      <c r="J1037" t="s">
        <v>23</v>
      </c>
      <c r="K1037" s="2">
        <v>52504</v>
      </c>
      <c r="L1037" s="2">
        <v>51701</v>
      </c>
      <c r="M1037" t="s">
        <v>38</v>
      </c>
      <c r="N1037">
        <v>50</v>
      </c>
      <c r="O1037" t="s">
        <v>23</v>
      </c>
      <c r="P1037">
        <v>7</v>
      </c>
      <c r="Q1037" s="1">
        <v>8.6300000000000008</v>
      </c>
      <c r="R1037" s="2">
        <f t="shared" si="64"/>
        <v>-803</v>
      </c>
      <c r="S1037" s="1">
        <f t="shared" si="65"/>
        <v>-1.5294072832546091</v>
      </c>
      <c r="T1037" t="str">
        <f t="shared" si="66"/>
        <v>Expert</v>
      </c>
      <c r="U1037" t="str">
        <f t="shared" si="67"/>
        <v>Medium Impact</v>
      </c>
    </row>
    <row r="1038" spans="1:21" x14ac:dyDescent="0.3">
      <c r="A1038" t="s">
        <v>1258</v>
      </c>
      <c r="B1038">
        <v>23</v>
      </c>
      <c r="C1038" t="s">
        <v>27</v>
      </c>
      <c r="D1038" t="s">
        <v>28</v>
      </c>
      <c r="E1038" t="s">
        <v>59</v>
      </c>
      <c r="F1038" t="s">
        <v>77</v>
      </c>
      <c r="G1038">
        <v>0</v>
      </c>
      <c r="H1038" t="s">
        <v>37</v>
      </c>
      <c r="I1038" t="s">
        <v>22</v>
      </c>
      <c r="J1038" t="s">
        <v>23</v>
      </c>
      <c r="K1038" s="2">
        <v>78380</v>
      </c>
      <c r="L1038" s="2">
        <v>82550</v>
      </c>
      <c r="M1038" t="s">
        <v>32</v>
      </c>
      <c r="N1038">
        <v>54</v>
      </c>
      <c r="O1038" t="s">
        <v>23</v>
      </c>
      <c r="P1038">
        <v>9</v>
      </c>
      <c r="Q1038" s="1">
        <v>8.6199999999999992</v>
      </c>
      <c r="R1038" s="2">
        <f t="shared" si="64"/>
        <v>4170</v>
      </c>
      <c r="S1038" s="1">
        <f t="shared" si="65"/>
        <v>5.3202347537637156</v>
      </c>
      <c r="T1038" t="str">
        <f t="shared" si="66"/>
        <v>Beginner</v>
      </c>
      <c r="U1038" t="str">
        <f t="shared" si="67"/>
        <v>Low Impact</v>
      </c>
    </row>
    <row r="1039" spans="1:21" x14ac:dyDescent="0.3">
      <c r="A1039" t="s">
        <v>1876</v>
      </c>
      <c r="B1039">
        <v>48</v>
      </c>
      <c r="C1039" t="s">
        <v>27</v>
      </c>
      <c r="D1039" t="s">
        <v>28</v>
      </c>
      <c r="E1039" t="s">
        <v>35</v>
      </c>
      <c r="F1039" t="s">
        <v>36</v>
      </c>
      <c r="G1039">
        <v>24</v>
      </c>
      <c r="H1039" t="s">
        <v>37</v>
      </c>
      <c r="I1039" t="s">
        <v>37</v>
      </c>
      <c r="J1039" t="s">
        <v>25</v>
      </c>
      <c r="K1039" s="2">
        <v>40712</v>
      </c>
      <c r="L1039" s="2">
        <v>44910</v>
      </c>
      <c r="M1039" t="s">
        <v>38</v>
      </c>
      <c r="N1039">
        <v>52</v>
      </c>
      <c r="O1039" t="s">
        <v>23</v>
      </c>
      <c r="P1039">
        <v>6</v>
      </c>
      <c r="Q1039" s="1">
        <v>8.56</v>
      </c>
      <c r="R1039" s="2">
        <f t="shared" si="64"/>
        <v>4198</v>
      </c>
      <c r="S1039" s="1">
        <f t="shared" si="65"/>
        <v>10.311456081744939</v>
      </c>
      <c r="T1039" t="str">
        <f t="shared" si="66"/>
        <v>Expert</v>
      </c>
      <c r="U1039" t="str">
        <f t="shared" si="67"/>
        <v>Medium Impact</v>
      </c>
    </row>
    <row r="1040" spans="1:21" x14ac:dyDescent="0.3">
      <c r="A1040" t="s">
        <v>1643</v>
      </c>
      <c r="B1040">
        <v>33</v>
      </c>
      <c r="C1040" t="s">
        <v>18</v>
      </c>
      <c r="D1040" t="s">
        <v>19</v>
      </c>
      <c r="E1040" t="s">
        <v>29</v>
      </c>
      <c r="F1040" t="s">
        <v>30</v>
      </c>
      <c r="G1040">
        <v>9</v>
      </c>
      <c r="H1040" t="s">
        <v>22</v>
      </c>
      <c r="I1040" t="s">
        <v>22</v>
      </c>
      <c r="J1040" t="s">
        <v>23</v>
      </c>
      <c r="K1040" s="2">
        <v>83871</v>
      </c>
      <c r="L1040" s="2">
        <v>83496</v>
      </c>
      <c r="M1040" t="s">
        <v>24</v>
      </c>
      <c r="N1040">
        <v>46</v>
      </c>
      <c r="O1040" t="s">
        <v>25</v>
      </c>
      <c r="P1040">
        <v>5</v>
      </c>
      <c r="Q1040" s="1">
        <v>8.5399999999999991</v>
      </c>
      <c r="R1040" s="2">
        <f t="shared" si="64"/>
        <v>-375</v>
      </c>
      <c r="S1040" s="1">
        <f t="shared" si="65"/>
        <v>-0.44711521264799514</v>
      </c>
      <c r="T1040" t="str">
        <f t="shared" si="66"/>
        <v>Intermediate</v>
      </c>
      <c r="U1040" t="str">
        <f t="shared" si="67"/>
        <v>High Impact</v>
      </c>
    </row>
    <row r="1041" spans="1:21" x14ac:dyDescent="0.3">
      <c r="A1041" t="s">
        <v>163</v>
      </c>
      <c r="B1041">
        <v>37</v>
      </c>
      <c r="C1041" t="s">
        <v>27</v>
      </c>
      <c r="D1041" t="s">
        <v>28</v>
      </c>
      <c r="E1041" t="s">
        <v>29</v>
      </c>
      <c r="F1041" t="s">
        <v>104</v>
      </c>
      <c r="G1041">
        <v>12</v>
      </c>
      <c r="H1041" t="s">
        <v>31</v>
      </c>
      <c r="I1041" t="s">
        <v>37</v>
      </c>
      <c r="J1041" t="s">
        <v>25</v>
      </c>
      <c r="K1041" s="2">
        <v>71240</v>
      </c>
      <c r="L1041" s="2">
        <v>77261</v>
      </c>
      <c r="M1041" t="s">
        <v>38</v>
      </c>
      <c r="N1041">
        <v>52</v>
      </c>
      <c r="O1041" t="s">
        <v>23</v>
      </c>
      <c r="P1041">
        <v>7</v>
      </c>
      <c r="Q1041" s="1">
        <v>8.44</v>
      </c>
      <c r="R1041" s="2">
        <f t="shared" si="64"/>
        <v>6021</v>
      </c>
      <c r="S1041" s="1">
        <f t="shared" si="65"/>
        <v>8.4517125210555868</v>
      </c>
      <c r="T1041" t="str">
        <f t="shared" si="66"/>
        <v>Intermediate</v>
      </c>
      <c r="U1041" t="str">
        <f t="shared" si="67"/>
        <v>Medium Impact</v>
      </c>
    </row>
    <row r="1042" spans="1:21" x14ac:dyDescent="0.3">
      <c r="A1042" t="s">
        <v>1317</v>
      </c>
      <c r="B1042">
        <v>31</v>
      </c>
      <c r="C1042" t="s">
        <v>54</v>
      </c>
      <c r="D1042" t="s">
        <v>28</v>
      </c>
      <c r="E1042" t="s">
        <v>29</v>
      </c>
      <c r="F1042" t="s">
        <v>30</v>
      </c>
      <c r="G1042">
        <v>9</v>
      </c>
      <c r="H1042" t="s">
        <v>37</v>
      </c>
      <c r="I1042" t="s">
        <v>22</v>
      </c>
      <c r="J1042" t="s">
        <v>25</v>
      </c>
      <c r="K1042" s="2">
        <v>49642</v>
      </c>
      <c r="L1042" s="2">
        <v>49719</v>
      </c>
      <c r="M1042" t="s">
        <v>32</v>
      </c>
      <c r="N1042">
        <v>37</v>
      </c>
      <c r="O1042" t="s">
        <v>23</v>
      </c>
      <c r="P1042">
        <v>8</v>
      </c>
      <c r="Q1042" s="1">
        <v>8.41</v>
      </c>
      <c r="R1042" s="2">
        <f t="shared" si="64"/>
        <v>77</v>
      </c>
      <c r="S1042" s="1">
        <f t="shared" si="65"/>
        <v>0.1551105918375569</v>
      </c>
      <c r="T1042" t="str">
        <f t="shared" si="66"/>
        <v>Intermediate</v>
      </c>
      <c r="U1042" t="str">
        <f t="shared" si="67"/>
        <v>Low Impact</v>
      </c>
    </row>
    <row r="1043" spans="1:21" x14ac:dyDescent="0.3">
      <c r="A1043" t="s">
        <v>239</v>
      </c>
      <c r="B1043">
        <v>37</v>
      </c>
      <c r="C1043" t="s">
        <v>27</v>
      </c>
      <c r="D1043" t="s">
        <v>40</v>
      </c>
      <c r="E1043" t="s">
        <v>29</v>
      </c>
      <c r="F1043" t="s">
        <v>104</v>
      </c>
      <c r="G1043">
        <v>15</v>
      </c>
      <c r="H1043" t="s">
        <v>22</v>
      </c>
      <c r="I1043" t="s">
        <v>31</v>
      </c>
      <c r="J1043" t="s">
        <v>23</v>
      </c>
      <c r="K1043" s="2">
        <v>42182</v>
      </c>
      <c r="L1043" s="2">
        <v>47812</v>
      </c>
      <c r="M1043" t="s">
        <v>32</v>
      </c>
      <c r="N1043">
        <v>41</v>
      </c>
      <c r="O1043" t="s">
        <v>25</v>
      </c>
      <c r="P1043">
        <v>8</v>
      </c>
      <c r="Q1043" s="1">
        <v>8.39</v>
      </c>
      <c r="R1043" s="2">
        <f t="shared" si="64"/>
        <v>5630</v>
      </c>
      <c r="S1043" s="1">
        <f t="shared" si="65"/>
        <v>13.346925228770564</v>
      </c>
      <c r="T1043" t="str">
        <f t="shared" si="66"/>
        <v>Expert</v>
      </c>
      <c r="U1043" t="str">
        <f t="shared" si="67"/>
        <v>Low Impact</v>
      </c>
    </row>
    <row r="1044" spans="1:21" x14ac:dyDescent="0.3">
      <c r="A1044" t="s">
        <v>984</v>
      </c>
      <c r="B1044">
        <v>41</v>
      </c>
      <c r="C1044" t="s">
        <v>54</v>
      </c>
      <c r="D1044" t="s">
        <v>19</v>
      </c>
      <c r="E1044" t="s">
        <v>35</v>
      </c>
      <c r="F1044" t="s">
        <v>132</v>
      </c>
      <c r="G1044">
        <v>19</v>
      </c>
      <c r="H1044" t="s">
        <v>22</v>
      </c>
      <c r="I1044" t="s">
        <v>37</v>
      </c>
      <c r="J1044" t="s">
        <v>23</v>
      </c>
      <c r="K1044" s="2">
        <v>71115</v>
      </c>
      <c r="L1044" s="2">
        <v>68102</v>
      </c>
      <c r="M1044" t="s">
        <v>38</v>
      </c>
      <c r="N1044">
        <v>49</v>
      </c>
      <c r="O1044" t="s">
        <v>23</v>
      </c>
      <c r="P1044">
        <v>8</v>
      </c>
      <c r="Q1044" s="1">
        <v>8.33</v>
      </c>
      <c r="R1044" s="2">
        <f t="shared" si="64"/>
        <v>-3013</v>
      </c>
      <c r="S1044" s="1">
        <f t="shared" si="65"/>
        <v>-4.2367995500246076</v>
      </c>
      <c r="T1044" t="str">
        <f t="shared" si="66"/>
        <v>Expert</v>
      </c>
      <c r="U1044" t="str">
        <f t="shared" si="67"/>
        <v>Medium Impact</v>
      </c>
    </row>
    <row r="1045" spans="1:21" x14ac:dyDescent="0.3">
      <c r="A1045" t="s">
        <v>1308</v>
      </c>
      <c r="B1045">
        <v>50</v>
      </c>
      <c r="C1045" t="s">
        <v>18</v>
      </c>
      <c r="D1045" t="s">
        <v>40</v>
      </c>
      <c r="E1045" t="s">
        <v>29</v>
      </c>
      <c r="F1045" t="s">
        <v>30</v>
      </c>
      <c r="G1045">
        <v>25</v>
      </c>
      <c r="H1045" t="s">
        <v>37</v>
      </c>
      <c r="I1045" t="s">
        <v>37</v>
      </c>
      <c r="J1045" t="s">
        <v>23</v>
      </c>
      <c r="K1045" s="2">
        <v>81529</v>
      </c>
      <c r="L1045" s="2">
        <v>85067</v>
      </c>
      <c r="M1045" t="s">
        <v>38</v>
      </c>
      <c r="N1045">
        <v>36</v>
      </c>
      <c r="O1045" t="s">
        <v>23</v>
      </c>
      <c r="P1045">
        <v>3</v>
      </c>
      <c r="Q1045" s="1">
        <v>8.2799999999999994</v>
      </c>
      <c r="R1045" s="2">
        <f t="shared" si="64"/>
        <v>3538</v>
      </c>
      <c r="S1045" s="1">
        <f t="shared" si="65"/>
        <v>4.3395601565087265</v>
      </c>
      <c r="T1045" t="str">
        <f t="shared" si="66"/>
        <v>Expert</v>
      </c>
      <c r="U1045" t="str">
        <f t="shared" si="67"/>
        <v>Medium Impact</v>
      </c>
    </row>
    <row r="1046" spans="1:21" x14ac:dyDescent="0.3">
      <c r="A1046" t="s">
        <v>1943</v>
      </c>
      <c r="B1046">
        <v>35</v>
      </c>
      <c r="C1046" t="s">
        <v>18</v>
      </c>
      <c r="D1046" t="s">
        <v>40</v>
      </c>
      <c r="E1046" t="s">
        <v>41</v>
      </c>
      <c r="F1046" t="s">
        <v>42</v>
      </c>
      <c r="G1046">
        <v>9</v>
      </c>
      <c r="H1046" t="s">
        <v>37</v>
      </c>
      <c r="I1046" t="s">
        <v>37</v>
      </c>
      <c r="J1046" t="s">
        <v>25</v>
      </c>
      <c r="K1046" s="2">
        <v>47223</v>
      </c>
      <c r="L1046" s="2">
        <v>54607</v>
      </c>
      <c r="M1046" t="s">
        <v>38</v>
      </c>
      <c r="N1046">
        <v>51</v>
      </c>
      <c r="O1046" t="s">
        <v>23</v>
      </c>
      <c r="P1046">
        <v>5</v>
      </c>
      <c r="Q1046" s="1">
        <v>8.2799999999999994</v>
      </c>
      <c r="R1046" s="2">
        <f t="shared" si="64"/>
        <v>7384</v>
      </c>
      <c r="S1046" s="1">
        <f t="shared" si="65"/>
        <v>15.636448340850857</v>
      </c>
      <c r="T1046" t="str">
        <f t="shared" si="66"/>
        <v>Intermediate</v>
      </c>
      <c r="U1046" t="str">
        <f t="shared" si="67"/>
        <v>Medium Impact</v>
      </c>
    </row>
    <row r="1047" spans="1:21" x14ac:dyDescent="0.3">
      <c r="A1047" t="s">
        <v>1794</v>
      </c>
      <c r="B1047">
        <v>56</v>
      </c>
      <c r="C1047" t="s">
        <v>27</v>
      </c>
      <c r="D1047" t="s">
        <v>34</v>
      </c>
      <c r="E1047" t="s">
        <v>20</v>
      </c>
      <c r="F1047" t="s">
        <v>118</v>
      </c>
      <c r="G1047">
        <v>34</v>
      </c>
      <c r="H1047" t="s">
        <v>31</v>
      </c>
      <c r="I1047" t="s">
        <v>31</v>
      </c>
      <c r="J1047" t="s">
        <v>25</v>
      </c>
      <c r="K1047" s="2">
        <v>32466</v>
      </c>
      <c r="L1047" s="2">
        <v>32426</v>
      </c>
      <c r="M1047" t="s">
        <v>32</v>
      </c>
      <c r="N1047">
        <v>40</v>
      </c>
      <c r="O1047" t="s">
        <v>23</v>
      </c>
      <c r="P1047">
        <v>6</v>
      </c>
      <c r="Q1047" s="1">
        <v>8.27</v>
      </c>
      <c r="R1047" s="2">
        <f t="shared" si="64"/>
        <v>-40</v>
      </c>
      <c r="S1047" s="1">
        <f t="shared" si="65"/>
        <v>-0.12320581531448285</v>
      </c>
      <c r="T1047" t="str">
        <f t="shared" si="66"/>
        <v>Expert</v>
      </c>
      <c r="U1047" t="str">
        <f t="shared" si="67"/>
        <v>Low Impact</v>
      </c>
    </row>
    <row r="1048" spans="1:21" x14ac:dyDescent="0.3">
      <c r="A1048" t="s">
        <v>709</v>
      </c>
      <c r="B1048">
        <v>52</v>
      </c>
      <c r="C1048" t="s">
        <v>18</v>
      </c>
      <c r="D1048" t="s">
        <v>28</v>
      </c>
      <c r="E1048" t="s">
        <v>41</v>
      </c>
      <c r="F1048" t="s">
        <v>55</v>
      </c>
      <c r="G1048">
        <v>26</v>
      </c>
      <c r="H1048" t="s">
        <v>22</v>
      </c>
      <c r="I1048" t="s">
        <v>37</v>
      </c>
      <c r="J1048" t="s">
        <v>25</v>
      </c>
      <c r="K1048" s="2">
        <v>35698</v>
      </c>
      <c r="L1048" s="2">
        <v>33841</v>
      </c>
      <c r="M1048" t="s">
        <v>38</v>
      </c>
      <c r="N1048">
        <v>44</v>
      </c>
      <c r="O1048" t="s">
        <v>25</v>
      </c>
      <c r="P1048">
        <v>3</v>
      </c>
      <c r="Q1048" s="1">
        <v>8.26</v>
      </c>
      <c r="R1048" s="2">
        <f t="shared" si="64"/>
        <v>-1857</v>
      </c>
      <c r="S1048" s="1">
        <f t="shared" si="65"/>
        <v>-5.2019720992772704</v>
      </c>
      <c r="T1048" t="str">
        <f t="shared" si="66"/>
        <v>Expert</v>
      </c>
      <c r="U1048" t="str">
        <f t="shared" si="67"/>
        <v>Medium Impact</v>
      </c>
    </row>
    <row r="1049" spans="1:21" x14ac:dyDescent="0.3">
      <c r="A1049" t="s">
        <v>1911</v>
      </c>
      <c r="B1049">
        <v>45</v>
      </c>
      <c r="C1049" t="s">
        <v>54</v>
      </c>
      <c r="D1049" t="s">
        <v>19</v>
      </c>
      <c r="E1049" t="s">
        <v>59</v>
      </c>
      <c r="F1049" t="s">
        <v>60</v>
      </c>
      <c r="G1049">
        <v>22</v>
      </c>
      <c r="H1049" t="s">
        <v>37</v>
      </c>
      <c r="I1049" t="s">
        <v>31</v>
      </c>
      <c r="J1049" t="s">
        <v>23</v>
      </c>
      <c r="K1049" s="2">
        <v>96940</v>
      </c>
      <c r="L1049" s="2">
        <v>103672</v>
      </c>
      <c r="M1049" t="s">
        <v>32</v>
      </c>
      <c r="N1049">
        <v>44</v>
      </c>
      <c r="O1049" t="s">
        <v>25</v>
      </c>
      <c r="P1049">
        <v>3</v>
      </c>
      <c r="Q1049" s="1">
        <v>8.23</v>
      </c>
      <c r="R1049" s="2">
        <f t="shared" si="64"/>
        <v>6732</v>
      </c>
      <c r="S1049" s="1">
        <f t="shared" si="65"/>
        <v>6.9445017536620597</v>
      </c>
      <c r="T1049" t="str">
        <f t="shared" si="66"/>
        <v>Expert</v>
      </c>
      <c r="U1049" t="str">
        <f t="shared" si="67"/>
        <v>Low Impact</v>
      </c>
    </row>
    <row r="1050" spans="1:21" x14ac:dyDescent="0.3">
      <c r="A1050" t="s">
        <v>1988</v>
      </c>
      <c r="B1050">
        <v>33</v>
      </c>
      <c r="C1050" t="s">
        <v>18</v>
      </c>
      <c r="D1050" t="s">
        <v>19</v>
      </c>
      <c r="E1050" t="s">
        <v>20</v>
      </c>
      <c r="F1050" t="s">
        <v>21</v>
      </c>
      <c r="G1050">
        <v>7</v>
      </c>
      <c r="H1050" t="s">
        <v>22</v>
      </c>
      <c r="I1050" t="s">
        <v>31</v>
      </c>
      <c r="J1050" t="s">
        <v>23</v>
      </c>
      <c r="K1050" s="2">
        <v>76221</v>
      </c>
      <c r="L1050" s="2">
        <v>76174</v>
      </c>
      <c r="M1050" t="s">
        <v>32</v>
      </c>
      <c r="N1050">
        <v>53</v>
      </c>
      <c r="O1050" t="s">
        <v>23</v>
      </c>
      <c r="P1050">
        <v>6</v>
      </c>
      <c r="Q1050" s="1">
        <v>8.23</v>
      </c>
      <c r="R1050" s="2">
        <f t="shared" si="64"/>
        <v>-47</v>
      </c>
      <c r="S1050" s="1">
        <f t="shared" si="65"/>
        <v>-6.1662796342215401E-2</v>
      </c>
      <c r="T1050" t="str">
        <f t="shared" si="66"/>
        <v>Intermediate</v>
      </c>
      <c r="U1050" t="str">
        <f t="shared" si="67"/>
        <v>Low Impact</v>
      </c>
    </row>
    <row r="1051" spans="1:21" x14ac:dyDescent="0.3">
      <c r="A1051" t="s">
        <v>1510</v>
      </c>
      <c r="B1051">
        <v>33</v>
      </c>
      <c r="C1051" t="s">
        <v>18</v>
      </c>
      <c r="D1051" t="s">
        <v>34</v>
      </c>
      <c r="E1051" t="s">
        <v>51</v>
      </c>
      <c r="F1051" t="s">
        <v>52</v>
      </c>
      <c r="G1051">
        <v>9</v>
      </c>
      <c r="H1051" t="s">
        <v>31</v>
      </c>
      <c r="I1051" t="s">
        <v>22</v>
      </c>
      <c r="J1051" t="s">
        <v>25</v>
      </c>
      <c r="K1051" s="2">
        <v>65050</v>
      </c>
      <c r="L1051" s="2">
        <v>70502</v>
      </c>
      <c r="M1051" t="s">
        <v>32</v>
      </c>
      <c r="N1051">
        <v>50</v>
      </c>
      <c r="O1051" t="s">
        <v>25</v>
      </c>
      <c r="P1051">
        <v>6</v>
      </c>
      <c r="Q1051" s="1">
        <v>8.23</v>
      </c>
      <c r="R1051" s="2">
        <f t="shared" si="64"/>
        <v>5452</v>
      </c>
      <c r="S1051" s="1">
        <f t="shared" si="65"/>
        <v>8.3812451960030749</v>
      </c>
      <c r="T1051" t="str">
        <f t="shared" si="66"/>
        <v>Intermediate</v>
      </c>
      <c r="U1051" t="str">
        <f t="shared" si="67"/>
        <v>Low Impact</v>
      </c>
    </row>
    <row r="1052" spans="1:21" x14ac:dyDescent="0.3">
      <c r="A1052" t="s">
        <v>94</v>
      </c>
      <c r="B1052">
        <v>25</v>
      </c>
      <c r="C1052" t="s">
        <v>18</v>
      </c>
      <c r="D1052" t="s">
        <v>34</v>
      </c>
      <c r="E1052" t="s">
        <v>59</v>
      </c>
      <c r="F1052" t="s">
        <v>77</v>
      </c>
      <c r="G1052">
        <v>1</v>
      </c>
      <c r="H1052" t="s">
        <v>22</v>
      </c>
      <c r="I1052" t="s">
        <v>37</v>
      </c>
      <c r="J1052" t="s">
        <v>23</v>
      </c>
      <c r="K1052" s="2">
        <v>103744</v>
      </c>
      <c r="L1052" s="2">
        <v>144902</v>
      </c>
      <c r="M1052" t="s">
        <v>38</v>
      </c>
      <c r="N1052">
        <v>48</v>
      </c>
      <c r="O1052" t="s">
        <v>23</v>
      </c>
      <c r="P1052">
        <v>7</v>
      </c>
      <c r="Q1052" s="1">
        <v>8.1999999999999993</v>
      </c>
      <c r="R1052" s="2">
        <f t="shared" si="64"/>
        <v>41158</v>
      </c>
      <c r="S1052" s="1">
        <f t="shared" si="65"/>
        <v>39.672655768044422</v>
      </c>
      <c r="T1052" t="str">
        <f t="shared" si="66"/>
        <v>Beginner</v>
      </c>
      <c r="U1052" t="str">
        <f t="shared" si="67"/>
        <v>Medium Impact</v>
      </c>
    </row>
    <row r="1053" spans="1:21" x14ac:dyDescent="0.3">
      <c r="A1053" t="s">
        <v>1750</v>
      </c>
      <c r="B1053">
        <v>57</v>
      </c>
      <c r="C1053" t="s">
        <v>54</v>
      </c>
      <c r="D1053" t="s">
        <v>19</v>
      </c>
      <c r="E1053" t="s">
        <v>35</v>
      </c>
      <c r="F1053" t="s">
        <v>98</v>
      </c>
      <c r="G1053">
        <v>32</v>
      </c>
      <c r="H1053" t="s">
        <v>22</v>
      </c>
      <c r="I1053" t="s">
        <v>37</v>
      </c>
      <c r="J1053" t="s">
        <v>23</v>
      </c>
      <c r="K1053" s="2">
        <v>39290</v>
      </c>
      <c r="L1053" s="2">
        <v>49069</v>
      </c>
      <c r="M1053" t="s">
        <v>38</v>
      </c>
      <c r="N1053">
        <v>39</v>
      </c>
      <c r="O1053" t="s">
        <v>25</v>
      </c>
      <c r="P1053">
        <v>8</v>
      </c>
      <c r="Q1053" s="1">
        <v>8.18</v>
      </c>
      <c r="R1053" s="2">
        <f t="shared" si="64"/>
        <v>9779</v>
      </c>
      <c r="S1053" s="1">
        <f t="shared" si="65"/>
        <v>24.889284805293968</v>
      </c>
      <c r="T1053" t="str">
        <f t="shared" si="66"/>
        <v>Expert</v>
      </c>
      <c r="U1053" t="str">
        <f t="shared" si="67"/>
        <v>Medium Impact</v>
      </c>
    </row>
    <row r="1054" spans="1:21" x14ac:dyDescent="0.3">
      <c r="A1054" t="s">
        <v>1713</v>
      </c>
      <c r="B1054">
        <v>39</v>
      </c>
      <c r="C1054" t="s">
        <v>18</v>
      </c>
      <c r="D1054" t="s">
        <v>28</v>
      </c>
      <c r="E1054" t="s">
        <v>41</v>
      </c>
      <c r="F1054" t="s">
        <v>49</v>
      </c>
      <c r="G1054">
        <v>17</v>
      </c>
      <c r="H1054" t="s">
        <v>22</v>
      </c>
      <c r="I1054" t="s">
        <v>22</v>
      </c>
      <c r="J1054" t="s">
        <v>25</v>
      </c>
      <c r="K1054" s="2">
        <v>119532</v>
      </c>
      <c r="L1054" s="2">
        <v>109181</v>
      </c>
      <c r="M1054" t="s">
        <v>24</v>
      </c>
      <c r="N1054">
        <v>50</v>
      </c>
      <c r="O1054" t="s">
        <v>25</v>
      </c>
      <c r="P1054">
        <v>4</v>
      </c>
      <c r="Q1054" s="1">
        <v>8.17</v>
      </c>
      <c r="R1054" s="2">
        <f t="shared" si="64"/>
        <v>-10351</v>
      </c>
      <c r="S1054" s="1">
        <f t="shared" si="65"/>
        <v>-8.6596057959374892</v>
      </c>
      <c r="T1054" t="str">
        <f t="shared" si="66"/>
        <v>Expert</v>
      </c>
      <c r="U1054" t="str">
        <f t="shared" si="67"/>
        <v>High Impact</v>
      </c>
    </row>
    <row r="1055" spans="1:21" x14ac:dyDescent="0.3">
      <c r="A1055" t="s">
        <v>812</v>
      </c>
      <c r="B1055">
        <v>27</v>
      </c>
      <c r="C1055" t="s">
        <v>27</v>
      </c>
      <c r="D1055" t="s">
        <v>40</v>
      </c>
      <c r="E1055" t="s">
        <v>51</v>
      </c>
      <c r="F1055" t="s">
        <v>75</v>
      </c>
      <c r="G1055">
        <v>2</v>
      </c>
      <c r="H1055" t="s">
        <v>31</v>
      </c>
      <c r="I1055" t="s">
        <v>37</v>
      </c>
      <c r="J1055" t="s">
        <v>25</v>
      </c>
      <c r="K1055" s="2">
        <v>39927</v>
      </c>
      <c r="L1055" s="2">
        <v>42731</v>
      </c>
      <c r="M1055" t="s">
        <v>38</v>
      </c>
      <c r="N1055">
        <v>52</v>
      </c>
      <c r="O1055" t="s">
        <v>23</v>
      </c>
      <c r="P1055">
        <v>9</v>
      </c>
      <c r="Q1055" s="1">
        <v>8.17</v>
      </c>
      <c r="R1055" s="2">
        <f t="shared" si="64"/>
        <v>2804</v>
      </c>
      <c r="S1055" s="1">
        <f t="shared" si="65"/>
        <v>7.0228166403686734</v>
      </c>
      <c r="T1055" t="str">
        <f t="shared" si="66"/>
        <v>Beginner</v>
      </c>
      <c r="U1055" t="str">
        <f t="shared" si="67"/>
        <v>Medium Impact</v>
      </c>
    </row>
    <row r="1056" spans="1:21" x14ac:dyDescent="0.3">
      <c r="A1056" t="s">
        <v>1696</v>
      </c>
      <c r="B1056">
        <v>41</v>
      </c>
      <c r="C1056" t="s">
        <v>54</v>
      </c>
      <c r="D1056" t="s">
        <v>34</v>
      </c>
      <c r="E1056" t="s">
        <v>51</v>
      </c>
      <c r="F1056" t="s">
        <v>52</v>
      </c>
      <c r="G1056">
        <v>19</v>
      </c>
      <c r="H1056" t="s">
        <v>22</v>
      </c>
      <c r="I1056" t="s">
        <v>37</v>
      </c>
      <c r="J1056" t="s">
        <v>25</v>
      </c>
      <c r="K1056" s="2">
        <v>86880</v>
      </c>
      <c r="L1056" s="2">
        <v>75258</v>
      </c>
      <c r="M1056" t="s">
        <v>38</v>
      </c>
      <c r="N1056">
        <v>47</v>
      </c>
      <c r="O1056" t="s">
        <v>25</v>
      </c>
      <c r="P1056">
        <v>5</v>
      </c>
      <c r="Q1056" s="1">
        <v>8.07</v>
      </c>
      <c r="R1056" s="2">
        <f t="shared" si="64"/>
        <v>-11622</v>
      </c>
      <c r="S1056" s="1">
        <f t="shared" si="65"/>
        <v>-13.377071823204419</v>
      </c>
      <c r="T1056" t="str">
        <f t="shared" si="66"/>
        <v>Expert</v>
      </c>
      <c r="U1056" t="str">
        <f t="shared" si="67"/>
        <v>Medium Impact</v>
      </c>
    </row>
    <row r="1057" spans="1:21" x14ac:dyDescent="0.3">
      <c r="A1057" t="s">
        <v>1644</v>
      </c>
      <c r="B1057">
        <v>29</v>
      </c>
      <c r="C1057" t="s">
        <v>18</v>
      </c>
      <c r="D1057" t="s">
        <v>40</v>
      </c>
      <c r="E1057" t="s">
        <v>41</v>
      </c>
      <c r="F1057" t="s">
        <v>42</v>
      </c>
      <c r="G1057">
        <v>4</v>
      </c>
      <c r="H1057" t="s">
        <v>22</v>
      </c>
      <c r="I1057" t="s">
        <v>31</v>
      </c>
      <c r="J1057" t="s">
        <v>23</v>
      </c>
      <c r="K1057" s="2">
        <v>37470</v>
      </c>
      <c r="L1057" s="2">
        <v>49965</v>
      </c>
      <c r="M1057" t="s">
        <v>32</v>
      </c>
      <c r="N1057">
        <v>51</v>
      </c>
      <c r="O1057" t="s">
        <v>25</v>
      </c>
      <c r="P1057">
        <v>9</v>
      </c>
      <c r="Q1057" s="1">
        <v>8.07</v>
      </c>
      <c r="R1057" s="2">
        <f t="shared" si="64"/>
        <v>12495</v>
      </c>
      <c r="S1057" s="1">
        <f t="shared" si="65"/>
        <v>33.346677341873502</v>
      </c>
      <c r="T1057" t="str">
        <f t="shared" si="66"/>
        <v>Beginner</v>
      </c>
      <c r="U1057" t="str">
        <f t="shared" si="67"/>
        <v>Low Impact</v>
      </c>
    </row>
    <row r="1058" spans="1:21" x14ac:dyDescent="0.3">
      <c r="A1058" t="s">
        <v>980</v>
      </c>
      <c r="B1058">
        <v>38</v>
      </c>
      <c r="C1058" t="s">
        <v>54</v>
      </c>
      <c r="D1058" t="s">
        <v>40</v>
      </c>
      <c r="E1058" t="s">
        <v>29</v>
      </c>
      <c r="F1058" t="s">
        <v>30</v>
      </c>
      <c r="G1058">
        <v>12</v>
      </c>
      <c r="H1058" t="s">
        <v>22</v>
      </c>
      <c r="I1058" t="s">
        <v>37</v>
      </c>
      <c r="J1058" t="s">
        <v>23</v>
      </c>
      <c r="K1058" s="2">
        <v>65897</v>
      </c>
      <c r="L1058" s="2">
        <v>58032</v>
      </c>
      <c r="M1058" t="s">
        <v>38</v>
      </c>
      <c r="N1058">
        <v>42</v>
      </c>
      <c r="O1058" t="s">
        <v>25</v>
      </c>
      <c r="P1058">
        <v>8</v>
      </c>
      <c r="Q1058" s="1">
        <v>8.06</v>
      </c>
      <c r="R1058" s="2">
        <f t="shared" si="64"/>
        <v>-7865</v>
      </c>
      <c r="S1058" s="1">
        <f t="shared" si="65"/>
        <v>-11.935292957190766</v>
      </c>
      <c r="T1058" t="str">
        <f t="shared" si="66"/>
        <v>Intermediate</v>
      </c>
      <c r="U1058" t="str">
        <f t="shared" si="67"/>
        <v>Medium Impact</v>
      </c>
    </row>
    <row r="1059" spans="1:21" x14ac:dyDescent="0.3">
      <c r="A1059" t="s">
        <v>1558</v>
      </c>
      <c r="B1059">
        <v>46</v>
      </c>
      <c r="C1059" t="s">
        <v>27</v>
      </c>
      <c r="D1059" t="s">
        <v>19</v>
      </c>
      <c r="E1059" t="s">
        <v>59</v>
      </c>
      <c r="F1059" t="s">
        <v>77</v>
      </c>
      <c r="G1059">
        <v>21</v>
      </c>
      <c r="H1059" t="s">
        <v>22</v>
      </c>
      <c r="I1059" t="s">
        <v>31</v>
      </c>
      <c r="J1059" t="s">
        <v>25</v>
      </c>
      <c r="K1059" s="2">
        <v>89622</v>
      </c>
      <c r="L1059" s="2">
        <v>94846</v>
      </c>
      <c r="M1059" t="s">
        <v>32</v>
      </c>
      <c r="N1059">
        <v>44</v>
      </c>
      <c r="O1059" t="s">
        <v>23</v>
      </c>
      <c r="P1059">
        <v>8</v>
      </c>
      <c r="Q1059" s="1">
        <v>8.0299999999999994</v>
      </c>
      <c r="R1059" s="2">
        <f t="shared" si="64"/>
        <v>5224</v>
      </c>
      <c r="S1059" s="1">
        <f t="shared" si="65"/>
        <v>5.8289259333645758</v>
      </c>
      <c r="T1059" t="str">
        <f t="shared" si="66"/>
        <v>Expert</v>
      </c>
      <c r="U1059" t="str">
        <f t="shared" si="67"/>
        <v>Low Impact</v>
      </c>
    </row>
    <row r="1060" spans="1:21" x14ac:dyDescent="0.3">
      <c r="A1060" t="s">
        <v>694</v>
      </c>
      <c r="B1060">
        <v>47</v>
      </c>
      <c r="C1060" t="s">
        <v>54</v>
      </c>
      <c r="D1060" t="s">
        <v>34</v>
      </c>
      <c r="E1060" t="s">
        <v>59</v>
      </c>
      <c r="F1060" t="s">
        <v>93</v>
      </c>
      <c r="G1060">
        <v>23</v>
      </c>
      <c r="H1060" t="s">
        <v>31</v>
      </c>
      <c r="I1060" t="s">
        <v>37</v>
      </c>
      <c r="J1060" t="s">
        <v>25</v>
      </c>
      <c r="K1060" s="2">
        <v>84028</v>
      </c>
      <c r="L1060" s="2">
        <v>85726</v>
      </c>
      <c r="M1060" t="s">
        <v>38</v>
      </c>
      <c r="N1060">
        <v>50</v>
      </c>
      <c r="O1060" t="s">
        <v>25</v>
      </c>
      <c r="P1060">
        <v>9</v>
      </c>
      <c r="Q1060" s="1">
        <v>7.98</v>
      </c>
      <c r="R1060" s="2">
        <f t="shared" si="64"/>
        <v>1698</v>
      </c>
      <c r="S1060" s="1">
        <f t="shared" si="65"/>
        <v>2.020754986433094</v>
      </c>
      <c r="T1060" t="str">
        <f t="shared" si="66"/>
        <v>Expert</v>
      </c>
      <c r="U1060" t="str">
        <f t="shared" si="67"/>
        <v>Medium Impact</v>
      </c>
    </row>
    <row r="1061" spans="1:21" x14ac:dyDescent="0.3">
      <c r="A1061" t="s">
        <v>1805</v>
      </c>
      <c r="B1061">
        <v>37</v>
      </c>
      <c r="C1061" t="s">
        <v>18</v>
      </c>
      <c r="D1061" t="s">
        <v>19</v>
      </c>
      <c r="E1061" t="s">
        <v>35</v>
      </c>
      <c r="F1061" t="s">
        <v>98</v>
      </c>
      <c r="G1061">
        <v>11</v>
      </c>
      <c r="H1061" t="s">
        <v>37</v>
      </c>
      <c r="I1061" t="s">
        <v>31</v>
      </c>
      <c r="J1061" t="s">
        <v>23</v>
      </c>
      <c r="K1061" s="2">
        <v>36611</v>
      </c>
      <c r="L1061" s="2">
        <v>40633</v>
      </c>
      <c r="M1061" t="s">
        <v>32</v>
      </c>
      <c r="N1061">
        <v>54</v>
      </c>
      <c r="O1061" t="s">
        <v>25</v>
      </c>
      <c r="P1061">
        <v>6</v>
      </c>
      <c r="Q1061" s="1">
        <v>7.95</v>
      </c>
      <c r="R1061" s="2">
        <f t="shared" si="64"/>
        <v>4022</v>
      </c>
      <c r="S1061" s="1">
        <f t="shared" si="65"/>
        <v>10.985769304307448</v>
      </c>
      <c r="T1061" t="str">
        <f t="shared" si="66"/>
        <v>Intermediate</v>
      </c>
      <c r="U1061" t="str">
        <f t="shared" si="67"/>
        <v>Low Impact</v>
      </c>
    </row>
    <row r="1062" spans="1:21" x14ac:dyDescent="0.3">
      <c r="A1062" t="s">
        <v>264</v>
      </c>
      <c r="B1062">
        <v>28</v>
      </c>
      <c r="C1062" t="s">
        <v>54</v>
      </c>
      <c r="D1062" t="s">
        <v>19</v>
      </c>
      <c r="E1062" t="s">
        <v>51</v>
      </c>
      <c r="F1062" t="s">
        <v>130</v>
      </c>
      <c r="G1062">
        <v>2</v>
      </c>
      <c r="H1062" t="s">
        <v>22</v>
      </c>
      <c r="I1062" t="s">
        <v>31</v>
      </c>
      <c r="J1062" t="s">
        <v>25</v>
      </c>
      <c r="K1062" s="2">
        <v>78874</v>
      </c>
      <c r="L1062" s="2">
        <v>108592</v>
      </c>
      <c r="M1062" t="s">
        <v>32</v>
      </c>
      <c r="N1062">
        <v>44</v>
      </c>
      <c r="O1062" t="s">
        <v>23</v>
      </c>
      <c r="P1062">
        <v>4</v>
      </c>
      <c r="Q1062" s="1">
        <v>7.93</v>
      </c>
      <c r="R1062" s="2">
        <f t="shared" si="64"/>
        <v>29718</v>
      </c>
      <c r="S1062" s="1">
        <f t="shared" si="65"/>
        <v>37.677815249638662</v>
      </c>
      <c r="T1062" t="str">
        <f t="shared" si="66"/>
        <v>Beginner</v>
      </c>
      <c r="U1062" t="str">
        <f t="shared" si="67"/>
        <v>Low Impact</v>
      </c>
    </row>
    <row r="1063" spans="1:21" x14ac:dyDescent="0.3">
      <c r="A1063" t="s">
        <v>1407</v>
      </c>
      <c r="B1063">
        <v>58</v>
      </c>
      <c r="C1063" t="s">
        <v>27</v>
      </c>
      <c r="D1063" t="s">
        <v>40</v>
      </c>
      <c r="E1063" t="s">
        <v>41</v>
      </c>
      <c r="F1063" t="s">
        <v>42</v>
      </c>
      <c r="G1063">
        <v>35</v>
      </c>
      <c r="H1063" t="s">
        <v>37</v>
      </c>
      <c r="I1063" t="s">
        <v>22</v>
      </c>
      <c r="J1063" t="s">
        <v>23</v>
      </c>
      <c r="K1063" s="2">
        <v>75278</v>
      </c>
      <c r="L1063" s="2">
        <v>74553</v>
      </c>
      <c r="M1063" t="s">
        <v>32</v>
      </c>
      <c r="N1063">
        <v>43</v>
      </c>
      <c r="O1063" t="s">
        <v>23</v>
      </c>
      <c r="P1063">
        <v>4</v>
      </c>
      <c r="Q1063" s="1">
        <v>7.8</v>
      </c>
      <c r="R1063" s="2">
        <f t="shared" si="64"/>
        <v>-725</v>
      </c>
      <c r="S1063" s="1">
        <f t="shared" si="65"/>
        <v>-0.96309678790616127</v>
      </c>
      <c r="T1063" t="str">
        <f t="shared" si="66"/>
        <v>Expert</v>
      </c>
      <c r="U1063" t="str">
        <f t="shared" si="67"/>
        <v>Low Impact</v>
      </c>
    </row>
    <row r="1064" spans="1:21" x14ac:dyDescent="0.3">
      <c r="A1064" t="s">
        <v>877</v>
      </c>
      <c r="B1064">
        <v>35</v>
      </c>
      <c r="C1064" t="s">
        <v>27</v>
      </c>
      <c r="D1064" t="s">
        <v>28</v>
      </c>
      <c r="E1064" t="s">
        <v>51</v>
      </c>
      <c r="F1064" t="s">
        <v>52</v>
      </c>
      <c r="G1064">
        <v>13</v>
      </c>
      <c r="H1064" t="s">
        <v>22</v>
      </c>
      <c r="I1064" t="s">
        <v>31</v>
      </c>
      <c r="J1064" t="s">
        <v>25</v>
      </c>
      <c r="K1064" s="2">
        <v>53649</v>
      </c>
      <c r="L1064" s="2">
        <v>48309</v>
      </c>
      <c r="M1064" t="s">
        <v>32</v>
      </c>
      <c r="N1064">
        <v>40</v>
      </c>
      <c r="O1064" t="s">
        <v>25</v>
      </c>
      <c r="P1064">
        <v>8</v>
      </c>
      <c r="Q1064" s="1">
        <v>7.76</v>
      </c>
      <c r="R1064" s="2">
        <f t="shared" si="64"/>
        <v>-5340</v>
      </c>
      <c r="S1064" s="1">
        <f t="shared" si="65"/>
        <v>-9.9535872057261088</v>
      </c>
      <c r="T1064" t="str">
        <f t="shared" si="66"/>
        <v>Intermediate</v>
      </c>
      <c r="U1064" t="str">
        <f t="shared" si="67"/>
        <v>Low Impact</v>
      </c>
    </row>
    <row r="1065" spans="1:21" x14ac:dyDescent="0.3">
      <c r="A1065" t="s">
        <v>168</v>
      </c>
      <c r="B1065">
        <v>43</v>
      </c>
      <c r="C1065" t="s">
        <v>18</v>
      </c>
      <c r="D1065" t="s">
        <v>28</v>
      </c>
      <c r="E1065" t="s">
        <v>20</v>
      </c>
      <c r="F1065" t="s">
        <v>88</v>
      </c>
      <c r="G1065">
        <v>20</v>
      </c>
      <c r="H1065" t="s">
        <v>37</v>
      </c>
      <c r="I1065" t="s">
        <v>22</v>
      </c>
      <c r="J1065" t="s">
        <v>23</v>
      </c>
      <c r="K1065" s="2">
        <v>58699</v>
      </c>
      <c r="L1065" s="2">
        <v>59325</v>
      </c>
      <c r="M1065" t="s">
        <v>32</v>
      </c>
      <c r="N1065">
        <v>47</v>
      </c>
      <c r="O1065" t="s">
        <v>25</v>
      </c>
      <c r="P1065">
        <v>4</v>
      </c>
      <c r="Q1065" s="1">
        <v>7.75</v>
      </c>
      <c r="R1065" s="2">
        <f t="shared" si="64"/>
        <v>626</v>
      </c>
      <c r="S1065" s="1">
        <f t="shared" si="65"/>
        <v>1.0664576909317025</v>
      </c>
      <c r="T1065" t="str">
        <f t="shared" si="66"/>
        <v>Expert</v>
      </c>
      <c r="U1065" t="str">
        <f t="shared" si="67"/>
        <v>Low Impact</v>
      </c>
    </row>
    <row r="1066" spans="1:21" x14ac:dyDescent="0.3">
      <c r="A1066" t="s">
        <v>1748</v>
      </c>
      <c r="B1066">
        <v>46</v>
      </c>
      <c r="C1066" t="s">
        <v>18</v>
      </c>
      <c r="D1066" t="s">
        <v>40</v>
      </c>
      <c r="E1066" t="s">
        <v>35</v>
      </c>
      <c r="F1066" t="s">
        <v>132</v>
      </c>
      <c r="G1066">
        <v>22</v>
      </c>
      <c r="H1066" t="s">
        <v>37</v>
      </c>
      <c r="I1066" t="s">
        <v>31</v>
      </c>
      <c r="J1066" t="s">
        <v>23</v>
      </c>
      <c r="K1066" s="2">
        <v>77403</v>
      </c>
      <c r="L1066" s="2">
        <v>87544</v>
      </c>
      <c r="M1066" t="s">
        <v>32</v>
      </c>
      <c r="N1066">
        <v>52</v>
      </c>
      <c r="O1066" t="s">
        <v>25</v>
      </c>
      <c r="P1066">
        <v>7</v>
      </c>
      <c r="Q1066" s="1">
        <v>7.74</v>
      </c>
      <c r="R1066" s="2">
        <f t="shared" si="64"/>
        <v>10141</v>
      </c>
      <c r="S1066" s="1">
        <f t="shared" si="65"/>
        <v>13.101559371083807</v>
      </c>
      <c r="T1066" t="str">
        <f t="shared" si="66"/>
        <v>Expert</v>
      </c>
      <c r="U1066" t="str">
        <f t="shared" si="67"/>
        <v>Low Impact</v>
      </c>
    </row>
    <row r="1067" spans="1:21" x14ac:dyDescent="0.3">
      <c r="A1067" t="s">
        <v>376</v>
      </c>
      <c r="B1067">
        <v>26</v>
      </c>
      <c r="C1067" t="s">
        <v>54</v>
      </c>
      <c r="D1067" t="s">
        <v>34</v>
      </c>
      <c r="E1067" t="s">
        <v>59</v>
      </c>
      <c r="F1067" t="s">
        <v>60</v>
      </c>
      <c r="G1067">
        <v>1</v>
      </c>
      <c r="H1067" t="s">
        <v>31</v>
      </c>
      <c r="I1067" t="s">
        <v>37</v>
      </c>
      <c r="J1067" t="s">
        <v>23</v>
      </c>
      <c r="K1067" s="2">
        <v>118340</v>
      </c>
      <c r="L1067" s="2">
        <v>119303</v>
      </c>
      <c r="M1067" t="s">
        <v>38</v>
      </c>
      <c r="N1067">
        <v>38</v>
      </c>
      <c r="O1067" t="s">
        <v>25</v>
      </c>
      <c r="P1067">
        <v>5</v>
      </c>
      <c r="Q1067" s="1">
        <v>7.72</v>
      </c>
      <c r="R1067" s="2">
        <f t="shared" si="64"/>
        <v>963</v>
      </c>
      <c r="S1067" s="1">
        <f t="shared" si="65"/>
        <v>0.81375697143822889</v>
      </c>
      <c r="T1067" t="str">
        <f t="shared" si="66"/>
        <v>Beginner</v>
      </c>
      <c r="U1067" t="str">
        <f t="shared" si="67"/>
        <v>Medium Impact</v>
      </c>
    </row>
    <row r="1068" spans="1:21" x14ac:dyDescent="0.3">
      <c r="A1068" t="s">
        <v>1398</v>
      </c>
      <c r="B1068">
        <v>57</v>
      </c>
      <c r="C1068" t="s">
        <v>18</v>
      </c>
      <c r="D1068" t="s">
        <v>28</v>
      </c>
      <c r="E1068" t="s">
        <v>51</v>
      </c>
      <c r="F1068" t="s">
        <v>75</v>
      </c>
      <c r="G1068">
        <v>33</v>
      </c>
      <c r="H1068" t="s">
        <v>22</v>
      </c>
      <c r="I1068" t="s">
        <v>22</v>
      </c>
      <c r="J1068" t="s">
        <v>25</v>
      </c>
      <c r="K1068" s="2">
        <v>116158</v>
      </c>
      <c r="L1068" s="2">
        <v>101766</v>
      </c>
      <c r="M1068" t="s">
        <v>24</v>
      </c>
      <c r="N1068">
        <v>47</v>
      </c>
      <c r="O1068" t="s">
        <v>25</v>
      </c>
      <c r="P1068">
        <v>4</v>
      </c>
      <c r="Q1068" s="1">
        <v>7.72</v>
      </c>
      <c r="R1068" s="2">
        <f t="shared" si="64"/>
        <v>-14392</v>
      </c>
      <c r="S1068" s="1">
        <f t="shared" si="65"/>
        <v>-12.390020489333493</v>
      </c>
      <c r="T1068" t="str">
        <f t="shared" si="66"/>
        <v>Expert</v>
      </c>
      <c r="U1068" t="str">
        <f t="shared" si="67"/>
        <v>High Impact</v>
      </c>
    </row>
    <row r="1069" spans="1:21" x14ac:dyDescent="0.3">
      <c r="A1069" t="s">
        <v>888</v>
      </c>
      <c r="B1069">
        <v>39</v>
      </c>
      <c r="C1069" t="s">
        <v>18</v>
      </c>
      <c r="D1069" t="s">
        <v>40</v>
      </c>
      <c r="E1069" t="s">
        <v>41</v>
      </c>
      <c r="F1069" t="s">
        <v>55</v>
      </c>
      <c r="G1069">
        <v>15</v>
      </c>
      <c r="H1069" t="s">
        <v>37</v>
      </c>
      <c r="I1069" t="s">
        <v>37</v>
      </c>
      <c r="J1069" t="s">
        <v>23</v>
      </c>
      <c r="K1069" s="2">
        <v>93261</v>
      </c>
      <c r="L1069" s="2">
        <v>105703</v>
      </c>
      <c r="M1069" t="s">
        <v>38</v>
      </c>
      <c r="N1069">
        <v>37</v>
      </c>
      <c r="O1069" t="s">
        <v>25</v>
      </c>
      <c r="P1069">
        <v>9</v>
      </c>
      <c r="Q1069" s="1">
        <v>7.64</v>
      </c>
      <c r="R1069" s="2">
        <f t="shared" si="64"/>
        <v>12442</v>
      </c>
      <c r="S1069" s="1">
        <f t="shared" si="65"/>
        <v>13.341053602256034</v>
      </c>
      <c r="T1069" t="str">
        <f t="shared" si="66"/>
        <v>Expert</v>
      </c>
      <c r="U1069" t="str">
        <f t="shared" si="67"/>
        <v>Medium Impact</v>
      </c>
    </row>
    <row r="1070" spans="1:21" x14ac:dyDescent="0.3">
      <c r="A1070" t="s">
        <v>420</v>
      </c>
      <c r="B1070">
        <v>23</v>
      </c>
      <c r="C1070" t="s">
        <v>54</v>
      </c>
      <c r="D1070" t="s">
        <v>34</v>
      </c>
      <c r="E1070" t="s">
        <v>59</v>
      </c>
      <c r="F1070" t="s">
        <v>60</v>
      </c>
      <c r="G1070">
        <v>0</v>
      </c>
      <c r="H1070" t="s">
        <v>37</v>
      </c>
      <c r="I1070" t="s">
        <v>31</v>
      </c>
      <c r="J1070" t="s">
        <v>25</v>
      </c>
      <c r="K1070" s="2">
        <v>95633</v>
      </c>
      <c r="L1070" s="2">
        <v>110800</v>
      </c>
      <c r="M1070" t="s">
        <v>32</v>
      </c>
      <c r="N1070">
        <v>41</v>
      </c>
      <c r="O1070" t="s">
        <v>25</v>
      </c>
      <c r="P1070">
        <v>8</v>
      </c>
      <c r="Q1070" s="1">
        <v>7.61</v>
      </c>
      <c r="R1070" s="2">
        <f t="shared" si="64"/>
        <v>15167</v>
      </c>
      <c r="S1070" s="1">
        <f t="shared" si="65"/>
        <v>15.859588217456317</v>
      </c>
      <c r="T1070" t="str">
        <f t="shared" si="66"/>
        <v>Beginner</v>
      </c>
      <c r="U1070" t="str">
        <f t="shared" si="67"/>
        <v>Low Impact</v>
      </c>
    </row>
    <row r="1071" spans="1:21" x14ac:dyDescent="0.3">
      <c r="A1071" t="s">
        <v>743</v>
      </c>
      <c r="B1071">
        <v>24</v>
      </c>
      <c r="C1071" t="s">
        <v>54</v>
      </c>
      <c r="D1071" t="s">
        <v>19</v>
      </c>
      <c r="E1071" t="s">
        <v>29</v>
      </c>
      <c r="F1071" t="s">
        <v>102</v>
      </c>
      <c r="G1071">
        <v>2</v>
      </c>
      <c r="H1071" t="s">
        <v>37</v>
      </c>
      <c r="I1071" t="s">
        <v>37</v>
      </c>
      <c r="J1071" t="s">
        <v>25</v>
      </c>
      <c r="K1071" s="2">
        <v>86635</v>
      </c>
      <c r="L1071" s="2">
        <v>82939</v>
      </c>
      <c r="M1071" t="s">
        <v>38</v>
      </c>
      <c r="N1071">
        <v>52</v>
      </c>
      <c r="O1071" t="s">
        <v>23</v>
      </c>
      <c r="P1071">
        <v>3</v>
      </c>
      <c r="Q1071" s="1">
        <v>7.58</v>
      </c>
      <c r="R1071" s="2">
        <f t="shared" si="64"/>
        <v>-3696</v>
      </c>
      <c r="S1071" s="1">
        <f t="shared" si="65"/>
        <v>-4.2661741790269518</v>
      </c>
      <c r="T1071" t="str">
        <f t="shared" si="66"/>
        <v>Beginner</v>
      </c>
      <c r="U1071" t="str">
        <f t="shared" si="67"/>
        <v>Medium Impact</v>
      </c>
    </row>
    <row r="1072" spans="1:21" x14ac:dyDescent="0.3">
      <c r="A1072" t="s">
        <v>835</v>
      </c>
      <c r="B1072">
        <v>47</v>
      </c>
      <c r="C1072" t="s">
        <v>27</v>
      </c>
      <c r="D1072" t="s">
        <v>28</v>
      </c>
      <c r="E1072" t="s">
        <v>59</v>
      </c>
      <c r="F1072" t="s">
        <v>93</v>
      </c>
      <c r="G1072">
        <v>23</v>
      </c>
      <c r="H1072" t="s">
        <v>31</v>
      </c>
      <c r="I1072" t="s">
        <v>22</v>
      </c>
      <c r="J1072" t="s">
        <v>25</v>
      </c>
      <c r="K1072" s="2">
        <v>43921</v>
      </c>
      <c r="L1072" s="2">
        <v>46022</v>
      </c>
      <c r="M1072" t="s">
        <v>32</v>
      </c>
      <c r="N1072">
        <v>40</v>
      </c>
      <c r="O1072" t="s">
        <v>23</v>
      </c>
      <c r="P1072">
        <v>7</v>
      </c>
      <c r="Q1072" s="1">
        <v>7.58</v>
      </c>
      <c r="R1072" s="2">
        <f t="shared" si="64"/>
        <v>2101</v>
      </c>
      <c r="S1072" s="1">
        <f t="shared" si="65"/>
        <v>4.7835887161039139</v>
      </c>
      <c r="T1072" t="str">
        <f t="shared" si="66"/>
        <v>Expert</v>
      </c>
      <c r="U1072" t="str">
        <f t="shared" si="67"/>
        <v>Low Impact</v>
      </c>
    </row>
    <row r="1073" spans="1:21" x14ac:dyDescent="0.3">
      <c r="A1073" t="s">
        <v>1372</v>
      </c>
      <c r="B1073">
        <v>41</v>
      </c>
      <c r="C1073" t="s">
        <v>54</v>
      </c>
      <c r="D1073" t="s">
        <v>19</v>
      </c>
      <c r="E1073" t="s">
        <v>41</v>
      </c>
      <c r="F1073" t="s">
        <v>42</v>
      </c>
      <c r="G1073">
        <v>18</v>
      </c>
      <c r="H1073" t="s">
        <v>37</v>
      </c>
      <c r="I1073" t="s">
        <v>37</v>
      </c>
      <c r="J1073" t="s">
        <v>23</v>
      </c>
      <c r="K1073" s="2">
        <v>118553</v>
      </c>
      <c r="L1073" s="2">
        <v>140888</v>
      </c>
      <c r="M1073" t="s">
        <v>38</v>
      </c>
      <c r="N1073">
        <v>40</v>
      </c>
      <c r="O1073" t="s">
        <v>23</v>
      </c>
      <c r="P1073">
        <v>6</v>
      </c>
      <c r="Q1073" s="1">
        <v>7.54</v>
      </c>
      <c r="R1073" s="2">
        <f t="shared" si="64"/>
        <v>22335</v>
      </c>
      <c r="S1073" s="1">
        <f t="shared" si="65"/>
        <v>18.839675082030823</v>
      </c>
      <c r="T1073" t="str">
        <f t="shared" si="66"/>
        <v>Expert</v>
      </c>
      <c r="U1073" t="str">
        <f t="shared" si="67"/>
        <v>Medium Impact</v>
      </c>
    </row>
    <row r="1074" spans="1:21" x14ac:dyDescent="0.3">
      <c r="A1074" t="s">
        <v>491</v>
      </c>
      <c r="B1074">
        <v>48</v>
      </c>
      <c r="C1074" t="s">
        <v>18</v>
      </c>
      <c r="D1074" t="s">
        <v>34</v>
      </c>
      <c r="E1074" t="s">
        <v>51</v>
      </c>
      <c r="F1074" t="s">
        <v>52</v>
      </c>
      <c r="G1074">
        <v>22</v>
      </c>
      <c r="H1074" t="s">
        <v>22</v>
      </c>
      <c r="I1074" t="s">
        <v>22</v>
      </c>
      <c r="J1074" t="s">
        <v>25</v>
      </c>
      <c r="K1074" s="2">
        <v>54842</v>
      </c>
      <c r="L1074" s="2">
        <v>55504</v>
      </c>
      <c r="M1074" t="s">
        <v>38</v>
      </c>
      <c r="N1074">
        <v>45</v>
      </c>
      <c r="O1074" t="s">
        <v>25</v>
      </c>
      <c r="P1074">
        <v>9</v>
      </c>
      <c r="Q1074" s="1">
        <v>7.51</v>
      </c>
      <c r="R1074" s="2">
        <f t="shared" si="64"/>
        <v>662</v>
      </c>
      <c r="S1074" s="1">
        <f t="shared" si="65"/>
        <v>1.2071040443455745</v>
      </c>
      <c r="T1074" t="str">
        <f t="shared" si="66"/>
        <v>Expert</v>
      </c>
      <c r="U1074" t="str">
        <f t="shared" si="67"/>
        <v>Medium Impact</v>
      </c>
    </row>
    <row r="1075" spans="1:21" x14ac:dyDescent="0.3">
      <c r="A1075" t="s">
        <v>852</v>
      </c>
      <c r="B1075">
        <v>37</v>
      </c>
      <c r="C1075" t="s">
        <v>18</v>
      </c>
      <c r="D1075" t="s">
        <v>28</v>
      </c>
      <c r="E1075" t="s">
        <v>51</v>
      </c>
      <c r="F1075" t="s">
        <v>130</v>
      </c>
      <c r="G1075">
        <v>13</v>
      </c>
      <c r="H1075" t="s">
        <v>31</v>
      </c>
      <c r="I1075" t="s">
        <v>37</v>
      </c>
      <c r="J1075" t="s">
        <v>23</v>
      </c>
      <c r="K1075" s="2">
        <v>36008</v>
      </c>
      <c r="L1075" s="2">
        <v>38993</v>
      </c>
      <c r="M1075" t="s">
        <v>38</v>
      </c>
      <c r="N1075">
        <v>54</v>
      </c>
      <c r="O1075" t="s">
        <v>25</v>
      </c>
      <c r="P1075">
        <v>9</v>
      </c>
      <c r="Q1075" s="1">
        <v>7.51</v>
      </c>
      <c r="R1075" s="2">
        <f t="shared" si="64"/>
        <v>2985</v>
      </c>
      <c r="S1075" s="1">
        <f t="shared" si="65"/>
        <v>8.2898244834481236</v>
      </c>
      <c r="T1075" t="str">
        <f t="shared" si="66"/>
        <v>Intermediate</v>
      </c>
      <c r="U1075" t="str">
        <f t="shared" si="67"/>
        <v>Medium Impact</v>
      </c>
    </row>
    <row r="1076" spans="1:21" x14ac:dyDescent="0.3">
      <c r="A1076" t="s">
        <v>1305</v>
      </c>
      <c r="B1076">
        <v>53</v>
      </c>
      <c r="C1076" t="s">
        <v>18</v>
      </c>
      <c r="D1076" t="s">
        <v>19</v>
      </c>
      <c r="E1076" t="s">
        <v>41</v>
      </c>
      <c r="F1076" t="s">
        <v>55</v>
      </c>
      <c r="G1076">
        <v>29</v>
      </c>
      <c r="H1076" t="s">
        <v>37</v>
      </c>
      <c r="I1076" t="s">
        <v>22</v>
      </c>
      <c r="J1076" t="s">
        <v>25</v>
      </c>
      <c r="K1076" s="2">
        <v>98916</v>
      </c>
      <c r="L1076" s="2">
        <v>114537</v>
      </c>
      <c r="M1076" t="s">
        <v>32</v>
      </c>
      <c r="N1076">
        <v>47</v>
      </c>
      <c r="O1076" t="s">
        <v>25</v>
      </c>
      <c r="P1076">
        <v>5</v>
      </c>
      <c r="Q1076" s="1">
        <v>7.5</v>
      </c>
      <c r="R1076" s="2">
        <f t="shared" si="64"/>
        <v>15621</v>
      </c>
      <c r="S1076" s="1">
        <f t="shared" si="65"/>
        <v>15.792187310445227</v>
      </c>
      <c r="T1076" t="str">
        <f t="shared" si="66"/>
        <v>Expert</v>
      </c>
      <c r="U1076" t="str">
        <f t="shared" si="67"/>
        <v>Low Impact</v>
      </c>
    </row>
    <row r="1077" spans="1:21" x14ac:dyDescent="0.3">
      <c r="A1077" t="s">
        <v>692</v>
      </c>
      <c r="B1077">
        <v>41</v>
      </c>
      <c r="C1077" t="s">
        <v>27</v>
      </c>
      <c r="D1077" t="s">
        <v>19</v>
      </c>
      <c r="E1077" t="s">
        <v>29</v>
      </c>
      <c r="F1077" t="s">
        <v>104</v>
      </c>
      <c r="G1077">
        <v>16</v>
      </c>
      <c r="H1077" t="s">
        <v>22</v>
      </c>
      <c r="I1077" t="s">
        <v>22</v>
      </c>
      <c r="J1077" t="s">
        <v>23</v>
      </c>
      <c r="K1077" s="2">
        <v>30336</v>
      </c>
      <c r="L1077" s="2">
        <v>27036</v>
      </c>
      <c r="M1077" t="s">
        <v>24</v>
      </c>
      <c r="N1077">
        <v>49</v>
      </c>
      <c r="O1077" t="s">
        <v>23</v>
      </c>
      <c r="P1077">
        <v>7</v>
      </c>
      <c r="Q1077" s="1">
        <v>7.5</v>
      </c>
      <c r="R1077" s="2">
        <f t="shared" si="64"/>
        <v>-3300</v>
      </c>
      <c r="S1077" s="1">
        <f t="shared" si="65"/>
        <v>-10.878164556962025</v>
      </c>
      <c r="T1077" t="str">
        <f t="shared" si="66"/>
        <v>Expert</v>
      </c>
      <c r="U1077" t="str">
        <f t="shared" si="67"/>
        <v>High Impact</v>
      </c>
    </row>
    <row r="1078" spans="1:21" x14ac:dyDescent="0.3">
      <c r="A1078" t="s">
        <v>1827</v>
      </c>
      <c r="B1078">
        <v>36</v>
      </c>
      <c r="C1078" t="s">
        <v>54</v>
      </c>
      <c r="D1078" t="s">
        <v>40</v>
      </c>
      <c r="E1078" t="s">
        <v>51</v>
      </c>
      <c r="F1078" t="s">
        <v>75</v>
      </c>
      <c r="G1078">
        <v>14</v>
      </c>
      <c r="H1078" t="s">
        <v>37</v>
      </c>
      <c r="I1078" t="s">
        <v>31</v>
      </c>
      <c r="J1078" t="s">
        <v>25</v>
      </c>
      <c r="K1078" s="2">
        <v>84081</v>
      </c>
      <c r="L1078" s="2">
        <v>88238</v>
      </c>
      <c r="M1078" t="s">
        <v>32</v>
      </c>
      <c r="N1078">
        <v>36</v>
      </c>
      <c r="O1078" t="s">
        <v>23</v>
      </c>
      <c r="P1078">
        <v>5</v>
      </c>
      <c r="Q1078" s="1">
        <v>7.46</v>
      </c>
      <c r="R1078" s="2">
        <f t="shared" si="64"/>
        <v>4157</v>
      </c>
      <c r="S1078" s="1">
        <f t="shared" si="65"/>
        <v>4.9440420546853634</v>
      </c>
      <c r="T1078" t="str">
        <f t="shared" si="66"/>
        <v>Intermediate</v>
      </c>
      <c r="U1078" t="str">
        <f t="shared" si="67"/>
        <v>Low Impact</v>
      </c>
    </row>
    <row r="1079" spans="1:21" x14ac:dyDescent="0.3">
      <c r="A1079" t="s">
        <v>256</v>
      </c>
      <c r="B1079">
        <v>30</v>
      </c>
      <c r="C1079" t="s">
        <v>54</v>
      </c>
      <c r="D1079" t="s">
        <v>40</v>
      </c>
      <c r="E1079" t="s">
        <v>59</v>
      </c>
      <c r="F1079" t="s">
        <v>77</v>
      </c>
      <c r="G1079">
        <v>5</v>
      </c>
      <c r="H1079" t="s">
        <v>22</v>
      </c>
      <c r="I1079" t="s">
        <v>37</v>
      </c>
      <c r="J1079" t="s">
        <v>23</v>
      </c>
      <c r="K1079" s="2">
        <v>64701</v>
      </c>
      <c r="L1079" s="2">
        <v>85151</v>
      </c>
      <c r="M1079" t="s">
        <v>38</v>
      </c>
      <c r="N1079">
        <v>37</v>
      </c>
      <c r="O1079" t="s">
        <v>25</v>
      </c>
      <c r="P1079">
        <v>5</v>
      </c>
      <c r="Q1079" s="1">
        <v>7.45</v>
      </c>
      <c r="R1079" s="2">
        <f t="shared" si="64"/>
        <v>20450</v>
      </c>
      <c r="S1079" s="1">
        <f t="shared" si="65"/>
        <v>31.60693034110756</v>
      </c>
      <c r="T1079" t="str">
        <f t="shared" si="66"/>
        <v>Intermediate</v>
      </c>
      <c r="U1079" t="str">
        <f t="shared" si="67"/>
        <v>Medium Impact</v>
      </c>
    </row>
    <row r="1080" spans="1:21" x14ac:dyDescent="0.3">
      <c r="A1080" t="s">
        <v>1431</v>
      </c>
      <c r="B1080">
        <v>25</v>
      </c>
      <c r="C1080" t="s">
        <v>54</v>
      </c>
      <c r="D1080" t="s">
        <v>28</v>
      </c>
      <c r="E1080" t="s">
        <v>41</v>
      </c>
      <c r="F1080" t="s">
        <v>42</v>
      </c>
      <c r="G1080">
        <v>3</v>
      </c>
      <c r="H1080" t="s">
        <v>22</v>
      </c>
      <c r="I1080" t="s">
        <v>31</v>
      </c>
      <c r="J1080" t="s">
        <v>23</v>
      </c>
      <c r="K1080" s="2">
        <v>49333</v>
      </c>
      <c r="L1080" s="2">
        <v>41066</v>
      </c>
      <c r="M1080" t="s">
        <v>32</v>
      </c>
      <c r="N1080">
        <v>51</v>
      </c>
      <c r="O1080" t="s">
        <v>25</v>
      </c>
      <c r="P1080">
        <v>6</v>
      </c>
      <c r="Q1080" s="1">
        <v>7.43</v>
      </c>
      <c r="R1080" s="2">
        <f t="shared" si="64"/>
        <v>-8267</v>
      </c>
      <c r="S1080" s="1">
        <f t="shared" si="65"/>
        <v>-16.75754565909229</v>
      </c>
      <c r="T1080" t="str">
        <f t="shared" si="66"/>
        <v>Beginner</v>
      </c>
      <c r="U1080" t="str">
        <f t="shared" si="67"/>
        <v>Low Impact</v>
      </c>
    </row>
    <row r="1081" spans="1:21" x14ac:dyDescent="0.3">
      <c r="A1081" t="s">
        <v>977</v>
      </c>
      <c r="B1081">
        <v>55</v>
      </c>
      <c r="C1081" t="s">
        <v>27</v>
      </c>
      <c r="D1081" t="s">
        <v>28</v>
      </c>
      <c r="E1081" t="s">
        <v>51</v>
      </c>
      <c r="F1081" t="s">
        <v>130</v>
      </c>
      <c r="G1081">
        <v>32</v>
      </c>
      <c r="H1081" t="s">
        <v>37</v>
      </c>
      <c r="I1081" t="s">
        <v>37</v>
      </c>
      <c r="J1081" t="s">
        <v>25</v>
      </c>
      <c r="K1081" s="2">
        <v>69236</v>
      </c>
      <c r="L1081" s="2">
        <v>62460</v>
      </c>
      <c r="M1081" t="s">
        <v>38</v>
      </c>
      <c r="N1081">
        <v>43</v>
      </c>
      <c r="O1081" t="s">
        <v>25</v>
      </c>
      <c r="P1081">
        <v>7</v>
      </c>
      <c r="Q1081" s="1">
        <v>7.4</v>
      </c>
      <c r="R1081" s="2">
        <f t="shared" si="64"/>
        <v>-6776</v>
      </c>
      <c r="S1081" s="1">
        <f t="shared" si="65"/>
        <v>-9.7868161072274535</v>
      </c>
      <c r="T1081" t="str">
        <f t="shared" si="66"/>
        <v>Expert</v>
      </c>
      <c r="U1081" t="str">
        <f t="shared" si="67"/>
        <v>Medium Impact</v>
      </c>
    </row>
    <row r="1082" spans="1:21" x14ac:dyDescent="0.3">
      <c r="A1082" t="s">
        <v>1454</v>
      </c>
      <c r="B1082">
        <v>29</v>
      </c>
      <c r="C1082" t="s">
        <v>18</v>
      </c>
      <c r="D1082" t="s">
        <v>28</v>
      </c>
      <c r="E1082" t="s">
        <v>29</v>
      </c>
      <c r="F1082" t="s">
        <v>30</v>
      </c>
      <c r="G1082">
        <v>6</v>
      </c>
      <c r="H1082" t="s">
        <v>37</v>
      </c>
      <c r="I1082" t="s">
        <v>22</v>
      </c>
      <c r="J1082" t="s">
        <v>23</v>
      </c>
      <c r="K1082" s="2">
        <v>73909</v>
      </c>
      <c r="L1082" s="2">
        <v>80214</v>
      </c>
      <c r="M1082" t="s">
        <v>32</v>
      </c>
      <c r="N1082">
        <v>44</v>
      </c>
      <c r="O1082" t="s">
        <v>25</v>
      </c>
      <c r="P1082">
        <v>4</v>
      </c>
      <c r="Q1082" s="1">
        <v>7.38</v>
      </c>
      <c r="R1082" s="2">
        <f t="shared" si="64"/>
        <v>6305</v>
      </c>
      <c r="S1082" s="1">
        <f t="shared" si="65"/>
        <v>8.5307608004437885</v>
      </c>
      <c r="T1082" t="str">
        <f t="shared" si="66"/>
        <v>Intermediate</v>
      </c>
      <c r="U1082" t="str">
        <f t="shared" si="67"/>
        <v>Low Impact</v>
      </c>
    </row>
    <row r="1083" spans="1:21" x14ac:dyDescent="0.3">
      <c r="A1083" t="s">
        <v>1370</v>
      </c>
      <c r="B1083">
        <v>42</v>
      </c>
      <c r="C1083" t="s">
        <v>54</v>
      </c>
      <c r="D1083" t="s">
        <v>34</v>
      </c>
      <c r="E1083" t="s">
        <v>59</v>
      </c>
      <c r="F1083" t="s">
        <v>93</v>
      </c>
      <c r="G1083">
        <v>18</v>
      </c>
      <c r="H1083" t="s">
        <v>22</v>
      </c>
      <c r="I1083" t="s">
        <v>31</v>
      </c>
      <c r="J1083" t="s">
        <v>25</v>
      </c>
      <c r="K1083" s="2">
        <v>45150</v>
      </c>
      <c r="L1083" s="2">
        <v>40146</v>
      </c>
      <c r="M1083" t="s">
        <v>32</v>
      </c>
      <c r="N1083">
        <v>41</v>
      </c>
      <c r="O1083" t="s">
        <v>23</v>
      </c>
      <c r="P1083">
        <v>6</v>
      </c>
      <c r="Q1083" s="1">
        <v>7.37</v>
      </c>
      <c r="R1083" s="2">
        <f t="shared" si="64"/>
        <v>-5004</v>
      </c>
      <c r="S1083" s="1">
        <f t="shared" si="65"/>
        <v>-11.083056478405316</v>
      </c>
      <c r="T1083" t="str">
        <f t="shared" si="66"/>
        <v>Expert</v>
      </c>
      <c r="U1083" t="str">
        <f t="shared" si="67"/>
        <v>Low Impact</v>
      </c>
    </row>
    <row r="1084" spans="1:21" x14ac:dyDescent="0.3">
      <c r="A1084" t="s">
        <v>1915</v>
      </c>
      <c r="B1084">
        <v>34</v>
      </c>
      <c r="C1084" t="s">
        <v>54</v>
      </c>
      <c r="D1084" t="s">
        <v>34</v>
      </c>
      <c r="E1084" t="s">
        <v>20</v>
      </c>
      <c r="F1084" t="s">
        <v>88</v>
      </c>
      <c r="G1084">
        <v>12</v>
      </c>
      <c r="H1084" t="s">
        <v>31</v>
      </c>
      <c r="I1084" t="s">
        <v>22</v>
      </c>
      <c r="J1084" t="s">
        <v>23</v>
      </c>
      <c r="K1084" s="2">
        <v>66719</v>
      </c>
      <c r="L1084" s="2">
        <v>66363</v>
      </c>
      <c r="M1084" t="s">
        <v>32</v>
      </c>
      <c r="N1084">
        <v>51</v>
      </c>
      <c r="O1084" t="s">
        <v>25</v>
      </c>
      <c r="P1084">
        <v>7</v>
      </c>
      <c r="Q1084" s="1">
        <v>7.35</v>
      </c>
      <c r="R1084" s="2">
        <f t="shared" si="64"/>
        <v>-356</v>
      </c>
      <c r="S1084" s="1">
        <f t="shared" si="65"/>
        <v>-0.53358113880603719</v>
      </c>
      <c r="T1084" t="str">
        <f t="shared" si="66"/>
        <v>Intermediate</v>
      </c>
      <c r="U1084" t="str">
        <f t="shared" si="67"/>
        <v>Low Impact</v>
      </c>
    </row>
    <row r="1085" spans="1:21" x14ac:dyDescent="0.3">
      <c r="A1085" t="s">
        <v>1018</v>
      </c>
      <c r="B1085">
        <v>37</v>
      </c>
      <c r="C1085" t="s">
        <v>54</v>
      </c>
      <c r="D1085" t="s">
        <v>34</v>
      </c>
      <c r="E1085" t="s">
        <v>51</v>
      </c>
      <c r="F1085" t="s">
        <v>52</v>
      </c>
      <c r="G1085">
        <v>15</v>
      </c>
      <c r="H1085" t="s">
        <v>31</v>
      </c>
      <c r="I1085" t="s">
        <v>37</v>
      </c>
      <c r="J1085" t="s">
        <v>23</v>
      </c>
      <c r="K1085" s="2">
        <v>90102</v>
      </c>
      <c r="L1085" s="2">
        <v>89623</v>
      </c>
      <c r="M1085" t="s">
        <v>38</v>
      </c>
      <c r="N1085">
        <v>40</v>
      </c>
      <c r="O1085" t="s">
        <v>23</v>
      </c>
      <c r="P1085">
        <v>7</v>
      </c>
      <c r="Q1085" s="1">
        <v>7.3</v>
      </c>
      <c r="R1085" s="2">
        <f t="shared" si="64"/>
        <v>-479</v>
      </c>
      <c r="S1085" s="1">
        <f t="shared" si="65"/>
        <v>-0.5316197198730328</v>
      </c>
      <c r="T1085" t="str">
        <f t="shared" si="66"/>
        <v>Expert</v>
      </c>
      <c r="U1085" t="str">
        <f t="shared" si="67"/>
        <v>Medium Impact</v>
      </c>
    </row>
    <row r="1086" spans="1:21" x14ac:dyDescent="0.3">
      <c r="A1086" t="s">
        <v>143</v>
      </c>
      <c r="B1086">
        <v>39</v>
      </c>
      <c r="C1086" t="s">
        <v>54</v>
      </c>
      <c r="D1086" t="s">
        <v>19</v>
      </c>
      <c r="E1086" t="s">
        <v>35</v>
      </c>
      <c r="F1086" t="s">
        <v>132</v>
      </c>
      <c r="G1086">
        <v>17</v>
      </c>
      <c r="H1086" t="s">
        <v>31</v>
      </c>
      <c r="I1086" t="s">
        <v>22</v>
      </c>
      <c r="J1086" t="s">
        <v>25</v>
      </c>
      <c r="K1086" s="2">
        <v>82528</v>
      </c>
      <c r="L1086" s="2">
        <v>87014</v>
      </c>
      <c r="M1086" t="s">
        <v>32</v>
      </c>
      <c r="N1086">
        <v>37</v>
      </c>
      <c r="O1086" t="s">
        <v>23</v>
      </c>
      <c r="P1086">
        <v>9</v>
      </c>
      <c r="Q1086" s="1">
        <v>7.27</v>
      </c>
      <c r="R1086" s="2">
        <f t="shared" si="64"/>
        <v>4486</v>
      </c>
      <c r="S1086" s="1">
        <f t="shared" si="65"/>
        <v>5.43573090345095</v>
      </c>
      <c r="T1086" t="str">
        <f t="shared" si="66"/>
        <v>Expert</v>
      </c>
      <c r="U1086" t="str">
        <f t="shared" si="67"/>
        <v>Low Impact</v>
      </c>
    </row>
    <row r="1087" spans="1:21" x14ac:dyDescent="0.3">
      <c r="A1087" t="s">
        <v>1206</v>
      </c>
      <c r="B1087">
        <v>26</v>
      </c>
      <c r="C1087" t="s">
        <v>54</v>
      </c>
      <c r="D1087" t="s">
        <v>34</v>
      </c>
      <c r="E1087" t="s">
        <v>59</v>
      </c>
      <c r="F1087" t="s">
        <v>60</v>
      </c>
      <c r="G1087">
        <v>3</v>
      </c>
      <c r="H1087" t="s">
        <v>37</v>
      </c>
      <c r="I1087" t="s">
        <v>31</v>
      </c>
      <c r="J1087" t="s">
        <v>25</v>
      </c>
      <c r="K1087" s="2">
        <v>71548</v>
      </c>
      <c r="L1087" s="2">
        <v>81361</v>
      </c>
      <c r="M1087" t="s">
        <v>32</v>
      </c>
      <c r="N1087">
        <v>37</v>
      </c>
      <c r="O1087" t="s">
        <v>25</v>
      </c>
      <c r="P1087">
        <v>9</v>
      </c>
      <c r="Q1087" s="1">
        <v>7.24</v>
      </c>
      <c r="R1087" s="2">
        <f t="shared" si="64"/>
        <v>9813</v>
      </c>
      <c r="S1087" s="1">
        <f t="shared" si="65"/>
        <v>13.715268071783976</v>
      </c>
      <c r="T1087" t="str">
        <f t="shared" si="66"/>
        <v>Beginner</v>
      </c>
      <c r="U1087" t="str">
        <f t="shared" si="67"/>
        <v>Low Impact</v>
      </c>
    </row>
    <row r="1088" spans="1:21" x14ac:dyDescent="0.3">
      <c r="A1088" t="s">
        <v>685</v>
      </c>
      <c r="B1088">
        <v>56</v>
      </c>
      <c r="C1088" t="s">
        <v>18</v>
      </c>
      <c r="D1088" t="s">
        <v>40</v>
      </c>
      <c r="E1088" t="s">
        <v>35</v>
      </c>
      <c r="F1088" t="s">
        <v>132</v>
      </c>
      <c r="G1088">
        <v>33</v>
      </c>
      <c r="H1088" t="s">
        <v>31</v>
      </c>
      <c r="I1088" t="s">
        <v>22</v>
      </c>
      <c r="J1088" t="s">
        <v>23</v>
      </c>
      <c r="K1088" s="2">
        <v>41151</v>
      </c>
      <c r="L1088" s="2">
        <v>41119</v>
      </c>
      <c r="M1088" t="s">
        <v>32</v>
      </c>
      <c r="N1088">
        <v>42</v>
      </c>
      <c r="O1088" t="s">
        <v>25</v>
      </c>
      <c r="P1088">
        <v>7</v>
      </c>
      <c r="Q1088" s="1">
        <v>7.24</v>
      </c>
      <c r="R1088" s="2">
        <f t="shared" si="64"/>
        <v>-32</v>
      </c>
      <c r="S1088" s="1">
        <f t="shared" si="65"/>
        <v>-7.7762387305290268E-2</v>
      </c>
      <c r="T1088" t="str">
        <f t="shared" si="66"/>
        <v>Expert</v>
      </c>
      <c r="U1088" t="str">
        <f t="shared" si="67"/>
        <v>Low Impact</v>
      </c>
    </row>
    <row r="1089" spans="1:21" x14ac:dyDescent="0.3">
      <c r="A1089" t="s">
        <v>1417</v>
      </c>
      <c r="B1089">
        <v>44</v>
      </c>
      <c r="C1089" t="s">
        <v>27</v>
      </c>
      <c r="D1089" t="s">
        <v>28</v>
      </c>
      <c r="E1089" t="s">
        <v>29</v>
      </c>
      <c r="F1089" t="s">
        <v>102</v>
      </c>
      <c r="G1089">
        <v>22</v>
      </c>
      <c r="H1089" t="s">
        <v>31</v>
      </c>
      <c r="I1089" t="s">
        <v>31</v>
      </c>
      <c r="J1089" t="s">
        <v>23</v>
      </c>
      <c r="K1089" s="2">
        <v>68031</v>
      </c>
      <c r="L1089" s="2">
        <v>72799</v>
      </c>
      <c r="M1089" t="s">
        <v>32</v>
      </c>
      <c r="N1089">
        <v>44</v>
      </c>
      <c r="O1089" t="s">
        <v>25</v>
      </c>
      <c r="P1089">
        <v>7</v>
      </c>
      <c r="Q1089" s="1">
        <v>7.23</v>
      </c>
      <c r="R1089" s="2">
        <f t="shared" si="64"/>
        <v>4768</v>
      </c>
      <c r="S1089" s="1">
        <f t="shared" si="65"/>
        <v>7.0085696226720176</v>
      </c>
      <c r="T1089" t="str">
        <f t="shared" si="66"/>
        <v>Expert</v>
      </c>
      <c r="U1089" t="str">
        <f t="shared" si="67"/>
        <v>Low Impact</v>
      </c>
    </row>
    <row r="1090" spans="1:21" x14ac:dyDescent="0.3">
      <c r="A1090" t="s">
        <v>1124</v>
      </c>
      <c r="B1090">
        <v>39</v>
      </c>
      <c r="C1090" t="s">
        <v>27</v>
      </c>
      <c r="D1090" t="s">
        <v>19</v>
      </c>
      <c r="E1090" t="s">
        <v>29</v>
      </c>
      <c r="F1090" t="s">
        <v>30</v>
      </c>
      <c r="G1090">
        <v>13</v>
      </c>
      <c r="H1090" t="s">
        <v>37</v>
      </c>
      <c r="I1090" t="s">
        <v>31</v>
      </c>
      <c r="J1090" t="s">
        <v>23</v>
      </c>
      <c r="K1090" s="2">
        <v>56393</v>
      </c>
      <c r="L1090" s="2">
        <v>59103</v>
      </c>
      <c r="M1090" t="s">
        <v>32</v>
      </c>
      <c r="N1090">
        <v>42</v>
      </c>
      <c r="O1090" t="s">
        <v>23</v>
      </c>
      <c r="P1090">
        <v>6</v>
      </c>
      <c r="Q1090" s="1">
        <v>7.21</v>
      </c>
      <c r="R1090" s="2">
        <f t="shared" ref="R1090:R1153" si="68">L1090-K1090</f>
        <v>2710</v>
      </c>
      <c r="S1090" s="1">
        <f t="shared" ref="S1090:S1153" si="69">(L1090-K1090)/K1090*100</f>
        <v>4.8055609738797367</v>
      </c>
      <c r="T1090" t="str">
        <f t="shared" ref="T1090:T1153" si="70">IF(G1090&lt;5,"Beginner",IF(G1090&lt;15,"Intermediate","Expert"))</f>
        <v>Intermediate</v>
      </c>
      <c r="U1090" t="str">
        <f t="shared" ref="U1090:U1153" si="71">IF(M1090="Replaced","High Impact",IF(M1090="Modified","Medium Impact","Low Impact"))</f>
        <v>Low Impact</v>
      </c>
    </row>
    <row r="1091" spans="1:21" x14ac:dyDescent="0.3">
      <c r="A1091" t="s">
        <v>1586</v>
      </c>
      <c r="B1091">
        <v>47</v>
      </c>
      <c r="C1091" t="s">
        <v>18</v>
      </c>
      <c r="D1091" t="s">
        <v>19</v>
      </c>
      <c r="E1091" t="s">
        <v>44</v>
      </c>
      <c r="F1091" t="s">
        <v>57</v>
      </c>
      <c r="G1091">
        <v>21</v>
      </c>
      <c r="H1091" t="s">
        <v>31</v>
      </c>
      <c r="I1091" t="s">
        <v>31</v>
      </c>
      <c r="J1091" t="s">
        <v>23</v>
      </c>
      <c r="K1091" s="2">
        <v>79004</v>
      </c>
      <c r="L1091" s="2">
        <v>80218</v>
      </c>
      <c r="M1091" t="s">
        <v>32</v>
      </c>
      <c r="N1091">
        <v>44</v>
      </c>
      <c r="O1091" t="s">
        <v>25</v>
      </c>
      <c r="P1091">
        <v>5</v>
      </c>
      <c r="Q1091" s="1">
        <v>7.14</v>
      </c>
      <c r="R1091" s="2">
        <f t="shared" si="68"/>
        <v>1214</v>
      </c>
      <c r="S1091" s="1">
        <f t="shared" si="69"/>
        <v>1.5366310566553592</v>
      </c>
      <c r="T1091" t="str">
        <f t="shared" si="70"/>
        <v>Expert</v>
      </c>
      <c r="U1091" t="str">
        <f t="shared" si="71"/>
        <v>Low Impact</v>
      </c>
    </row>
    <row r="1092" spans="1:21" x14ac:dyDescent="0.3">
      <c r="A1092" t="s">
        <v>1519</v>
      </c>
      <c r="B1092">
        <v>22</v>
      </c>
      <c r="C1092" t="s">
        <v>54</v>
      </c>
      <c r="D1092" t="s">
        <v>34</v>
      </c>
      <c r="E1092" t="s">
        <v>51</v>
      </c>
      <c r="F1092" t="s">
        <v>52</v>
      </c>
      <c r="G1092">
        <v>0</v>
      </c>
      <c r="H1092" t="s">
        <v>22</v>
      </c>
      <c r="I1092" t="s">
        <v>31</v>
      </c>
      <c r="J1092" t="s">
        <v>23</v>
      </c>
      <c r="K1092" s="2">
        <v>32347</v>
      </c>
      <c r="L1092" s="2">
        <v>32675</v>
      </c>
      <c r="M1092" t="s">
        <v>32</v>
      </c>
      <c r="N1092">
        <v>54</v>
      </c>
      <c r="O1092" t="s">
        <v>23</v>
      </c>
      <c r="P1092">
        <v>9</v>
      </c>
      <c r="Q1092" s="1">
        <v>7.13</v>
      </c>
      <c r="R1092" s="2">
        <f t="shared" si="68"/>
        <v>328</v>
      </c>
      <c r="S1092" s="1">
        <f t="shared" si="69"/>
        <v>1.0140043898970539</v>
      </c>
      <c r="T1092" t="str">
        <f t="shared" si="70"/>
        <v>Beginner</v>
      </c>
      <c r="U1092" t="str">
        <f t="shared" si="71"/>
        <v>Low Impact</v>
      </c>
    </row>
    <row r="1093" spans="1:21" x14ac:dyDescent="0.3">
      <c r="A1093" t="s">
        <v>802</v>
      </c>
      <c r="B1093">
        <v>57</v>
      </c>
      <c r="C1093" t="s">
        <v>27</v>
      </c>
      <c r="D1093" t="s">
        <v>34</v>
      </c>
      <c r="E1093" t="s">
        <v>29</v>
      </c>
      <c r="F1093" t="s">
        <v>102</v>
      </c>
      <c r="G1093">
        <v>33</v>
      </c>
      <c r="H1093" t="s">
        <v>22</v>
      </c>
      <c r="I1093" t="s">
        <v>31</v>
      </c>
      <c r="J1093" t="s">
        <v>23</v>
      </c>
      <c r="K1093" s="2">
        <v>50827</v>
      </c>
      <c r="L1093" s="2">
        <v>71089</v>
      </c>
      <c r="M1093" t="s">
        <v>32</v>
      </c>
      <c r="N1093">
        <v>54</v>
      </c>
      <c r="O1093" t="s">
        <v>25</v>
      </c>
      <c r="P1093">
        <v>7</v>
      </c>
      <c r="Q1093" s="1">
        <v>7.1</v>
      </c>
      <c r="R1093" s="2">
        <f t="shared" si="68"/>
        <v>20262</v>
      </c>
      <c r="S1093" s="1">
        <f t="shared" si="69"/>
        <v>39.864638873039922</v>
      </c>
      <c r="T1093" t="str">
        <f t="shared" si="70"/>
        <v>Expert</v>
      </c>
      <c r="U1093" t="str">
        <f t="shared" si="71"/>
        <v>Low Impact</v>
      </c>
    </row>
    <row r="1094" spans="1:21" x14ac:dyDescent="0.3">
      <c r="A1094" t="s">
        <v>878</v>
      </c>
      <c r="B1094">
        <v>29</v>
      </c>
      <c r="C1094" t="s">
        <v>18</v>
      </c>
      <c r="D1094" t="s">
        <v>19</v>
      </c>
      <c r="E1094" t="s">
        <v>59</v>
      </c>
      <c r="F1094" t="s">
        <v>60</v>
      </c>
      <c r="G1094">
        <v>5</v>
      </c>
      <c r="H1094" t="s">
        <v>37</v>
      </c>
      <c r="I1094" t="s">
        <v>22</v>
      </c>
      <c r="J1094" t="s">
        <v>25</v>
      </c>
      <c r="K1094" s="2">
        <v>44645</v>
      </c>
      <c r="L1094" s="2">
        <v>46529</v>
      </c>
      <c r="M1094" t="s">
        <v>32</v>
      </c>
      <c r="N1094">
        <v>54</v>
      </c>
      <c r="O1094" t="s">
        <v>25</v>
      </c>
      <c r="P1094">
        <v>7</v>
      </c>
      <c r="Q1094" s="1">
        <v>7.08</v>
      </c>
      <c r="R1094" s="2">
        <f t="shared" si="68"/>
        <v>1884</v>
      </c>
      <c r="S1094" s="1">
        <f t="shared" si="69"/>
        <v>4.2199574420427819</v>
      </c>
      <c r="T1094" t="str">
        <f t="shared" si="70"/>
        <v>Intermediate</v>
      </c>
      <c r="U1094" t="str">
        <f t="shared" si="71"/>
        <v>Low Impact</v>
      </c>
    </row>
    <row r="1095" spans="1:21" x14ac:dyDescent="0.3">
      <c r="A1095" t="s">
        <v>1926</v>
      </c>
      <c r="B1095">
        <v>40</v>
      </c>
      <c r="C1095" t="s">
        <v>18</v>
      </c>
      <c r="D1095" t="s">
        <v>40</v>
      </c>
      <c r="E1095" t="s">
        <v>51</v>
      </c>
      <c r="F1095" t="s">
        <v>52</v>
      </c>
      <c r="G1095">
        <v>15</v>
      </c>
      <c r="H1095" t="s">
        <v>22</v>
      </c>
      <c r="I1095" t="s">
        <v>22</v>
      </c>
      <c r="J1095" t="s">
        <v>23</v>
      </c>
      <c r="K1095" s="2">
        <v>70379</v>
      </c>
      <c r="L1095" s="2">
        <v>92945</v>
      </c>
      <c r="M1095" t="s">
        <v>38</v>
      </c>
      <c r="N1095">
        <v>44</v>
      </c>
      <c r="O1095" t="s">
        <v>25</v>
      </c>
      <c r="P1095">
        <v>4</v>
      </c>
      <c r="Q1095" s="1">
        <v>7.06</v>
      </c>
      <c r="R1095" s="2">
        <f t="shared" si="68"/>
        <v>22566</v>
      </c>
      <c r="S1095" s="1">
        <f t="shared" si="69"/>
        <v>32.063541681467484</v>
      </c>
      <c r="T1095" t="str">
        <f t="shared" si="70"/>
        <v>Expert</v>
      </c>
      <c r="U1095" t="str">
        <f t="shared" si="71"/>
        <v>Medium Impact</v>
      </c>
    </row>
    <row r="1096" spans="1:21" x14ac:dyDescent="0.3">
      <c r="A1096" t="s">
        <v>645</v>
      </c>
      <c r="B1096">
        <v>23</v>
      </c>
      <c r="C1096" t="s">
        <v>27</v>
      </c>
      <c r="D1096" t="s">
        <v>34</v>
      </c>
      <c r="E1096" t="s">
        <v>29</v>
      </c>
      <c r="F1096" t="s">
        <v>104</v>
      </c>
      <c r="G1096">
        <v>0</v>
      </c>
      <c r="H1096" t="s">
        <v>37</v>
      </c>
      <c r="I1096" t="s">
        <v>22</v>
      </c>
      <c r="J1096" t="s">
        <v>25</v>
      </c>
      <c r="K1096" s="2">
        <v>102075</v>
      </c>
      <c r="L1096" s="2">
        <v>105459</v>
      </c>
      <c r="M1096" t="s">
        <v>32</v>
      </c>
      <c r="N1096">
        <v>51</v>
      </c>
      <c r="O1096" t="s">
        <v>23</v>
      </c>
      <c r="P1096">
        <v>8</v>
      </c>
      <c r="Q1096" s="1">
        <v>7.05</v>
      </c>
      <c r="R1096" s="2">
        <f t="shared" si="68"/>
        <v>3384</v>
      </c>
      <c r="S1096" s="1">
        <f t="shared" si="69"/>
        <v>3.3152094048493757</v>
      </c>
      <c r="T1096" t="str">
        <f t="shared" si="70"/>
        <v>Beginner</v>
      </c>
      <c r="U1096" t="str">
        <f t="shared" si="71"/>
        <v>Low Impact</v>
      </c>
    </row>
    <row r="1097" spans="1:21" x14ac:dyDescent="0.3">
      <c r="A1097" t="s">
        <v>43</v>
      </c>
      <c r="B1097">
        <v>24</v>
      </c>
      <c r="C1097" t="s">
        <v>27</v>
      </c>
      <c r="D1097" t="s">
        <v>19</v>
      </c>
      <c r="E1097" t="s">
        <v>44</v>
      </c>
      <c r="F1097" t="s">
        <v>45</v>
      </c>
      <c r="G1097">
        <v>0</v>
      </c>
      <c r="H1097" t="s">
        <v>22</v>
      </c>
      <c r="I1097" t="s">
        <v>37</v>
      </c>
      <c r="J1097" t="s">
        <v>25</v>
      </c>
      <c r="K1097" s="2">
        <v>33890</v>
      </c>
      <c r="L1097" s="2">
        <v>40945</v>
      </c>
      <c r="M1097" t="s">
        <v>38</v>
      </c>
      <c r="N1097">
        <v>52</v>
      </c>
      <c r="O1097" t="s">
        <v>23</v>
      </c>
      <c r="P1097">
        <v>6</v>
      </c>
      <c r="Q1097" s="1">
        <v>7.03</v>
      </c>
      <c r="R1097" s="2">
        <f t="shared" si="68"/>
        <v>7055</v>
      </c>
      <c r="S1097" s="1">
        <f t="shared" si="69"/>
        <v>20.817350250811447</v>
      </c>
      <c r="T1097" t="str">
        <f t="shared" si="70"/>
        <v>Beginner</v>
      </c>
      <c r="U1097" t="str">
        <f t="shared" si="71"/>
        <v>Medium Impact</v>
      </c>
    </row>
    <row r="1098" spans="1:21" x14ac:dyDescent="0.3">
      <c r="A1098" t="s">
        <v>921</v>
      </c>
      <c r="B1098">
        <v>46</v>
      </c>
      <c r="C1098" t="s">
        <v>18</v>
      </c>
      <c r="D1098" t="s">
        <v>28</v>
      </c>
      <c r="E1098" t="s">
        <v>44</v>
      </c>
      <c r="F1098" t="s">
        <v>57</v>
      </c>
      <c r="G1098">
        <v>23</v>
      </c>
      <c r="H1098" t="s">
        <v>22</v>
      </c>
      <c r="I1098" t="s">
        <v>37</v>
      </c>
      <c r="J1098" t="s">
        <v>25</v>
      </c>
      <c r="K1098" s="2">
        <v>59813</v>
      </c>
      <c r="L1098" s="2">
        <v>72030</v>
      </c>
      <c r="M1098" t="s">
        <v>38</v>
      </c>
      <c r="N1098">
        <v>41</v>
      </c>
      <c r="O1098" t="s">
        <v>25</v>
      </c>
      <c r="P1098">
        <v>6</v>
      </c>
      <c r="Q1098" s="1">
        <v>7.02</v>
      </c>
      <c r="R1098" s="2">
        <f t="shared" si="68"/>
        <v>12217</v>
      </c>
      <c r="S1098" s="1">
        <f t="shared" si="69"/>
        <v>20.425325598114121</v>
      </c>
      <c r="T1098" t="str">
        <f t="shared" si="70"/>
        <v>Expert</v>
      </c>
      <c r="U1098" t="str">
        <f t="shared" si="71"/>
        <v>Medium Impact</v>
      </c>
    </row>
    <row r="1099" spans="1:21" x14ac:dyDescent="0.3">
      <c r="A1099" t="s">
        <v>752</v>
      </c>
      <c r="B1099">
        <v>42</v>
      </c>
      <c r="C1099" t="s">
        <v>27</v>
      </c>
      <c r="D1099" t="s">
        <v>28</v>
      </c>
      <c r="E1099" t="s">
        <v>51</v>
      </c>
      <c r="F1099" t="s">
        <v>75</v>
      </c>
      <c r="G1099">
        <v>16</v>
      </c>
      <c r="H1099" t="s">
        <v>31</v>
      </c>
      <c r="I1099" t="s">
        <v>37</v>
      </c>
      <c r="J1099" t="s">
        <v>23</v>
      </c>
      <c r="K1099" s="2">
        <v>79241</v>
      </c>
      <c r="L1099" s="2">
        <v>76412</v>
      </c>
      <c r="M1099" t="s">
        <v>38</v>
      </c>
      <c r="N1099">
        <v>49</v>
      </c>
      <c r="O1099" t="s">
        <v>23</v>
      </c>
      <c r="P1099">
        <v>6</v>
      </c>
      <c r="Q1099" s="1">
        <v>7</v>
      </c>
      <c r="R1099" s="2">
        <f t="shared" si="68"/>
        <v>-2829</v>
      </c>
      <c r="S1099" s="1">
        <f t="shared" si="69"/>
        <v>-3.5701215279968701</v>
      </c>
      <c r="T1099" t="str">
        <f t="shared" si="70"/>
        <v>Expert</v>
      </c>
      <c r="U1099" t="str">
        <f t="shared" si="71"/>
        <v>Medium Impact</v>
      </c>
    </row>
    <row r="1100" spans="1:21" x14ac:dyDescent="0.3">
      <c r="A1100" t="s">
        <v>1035</v>
      </c>
      <c r="B1100">
        <v>24</v>
      </c>
      <c r="C1100" t="s">
        <v>27</v>
      </c>
      <c r="D1100" t="s">
        <v>28</v>
      </c>
      <c r="E1100" t="s">
        <v>44</v>
      </c>
      <c r="F1100" t="s">
        <v>47</v>
      </c>
      <c r="G1100">
        <v>0</v>
      </c>
      <c r="H1100" t="s">
        <v>31</v>
      </c>
      <c r="I1100" t="s">
        <v>22</v>
      </c>
      <c r="J1100" t="s">
        <v>25</v>
      </c>
      <c r="K1100" s="2">
        <v>60766</v>
      </c>
      <c r="L1100" s="2">
        <v>65847</v>
      </c>
      <c r="M1100" t="s">
        <v>32</v>
      </c>
      <c r="N1100">
        <v>45</v>
      </c>
      <c r="O1100" t="s">
        <v>25</v>
      </c>
      <c r="P1100">
        <v>7</v>
      </c>
      <c r="Q1100" s="1">
        <v>6.94</v>
      </c>
      <c r="R1100" s="2">
        <f t="shared" si="68"/>
        <v>5081</v>
      </c>
      <c r="S1100" s="1">
        <f t="shared" si="69"/>
        <v>8.3615837804035156</v>
      </c>
      <c r="T1100" t="str">
        <f t="shared" si="70"/>
        <v>Beginner</v>
      </c>
      <c r="U1100" t="str">
        <f t="shared" si="71"/>
        <v>Low Impact</v>
      </c>
    </row>
    <row r="1101" spans="1:21" x14ac:dyDescent="0.3">
      <c r="A1101" t="s">
        <v>1704</v>
      </c>
      <c r="B1101">
        <v>52</v>
      </c>
      <c r="C1101" t="s">
        <v>27</v>
      </c>
      <c r="D1101" t="s">
        <v>40</v>
      </c>
      <c r="E1101" t="s">
        <v>41</v>
      </c>
      <c r="F1101" t="s">
        <v>55</v>
      </c>
      <c r="G1101">
        <v>29</v>
      </c>
      <c r="H1101" t="s">
        <v>37</v>
      </c>
      <c r="I1101" t="s">
        <v>22</v>
      </c>
      <c r="J1101" t="s">
        <v>23</v>
      </c>
      <c r="K1101" s="2">
        <v>91161</v>
      </c>
      <c r="L1101" s="2">
        <v>100143</v>
      </c>
      <c r="M1101" t="s">
        <v>32</v>
      </c>
      <c r="N1101">
        <v>38</v>
      </c>
      <c r="O1101" t="s">
        <v>23</v>
      </c>
      <c r="P1101">
        <v>6</v>
      </c>
      <c r="Q1101" s="1">
        <v>6.89</v>
      </c>
      <c r="R1101" s="2">
        <f t="shared" si="68"/>
        <v>8982</v>
      </c>
      <c r="S1101" s="1">
        <f t="shared" si="69"/>
        <v>9.8528976206930601</v>
      </c>
      <c r="T1101" t="str">
        <f t="shared" si="70"/>
        <v>Expert</v>
      </c>
      <c r="U1101" t="str">
        <f t="shared" si="71"/>
        <v>Low Impact</v>
      </c>
    </row>
    <row r="1102" spans="1:21" x14ac:dyDescent="0.3">
      <c r="A1102" t="s">
        <v>1967</v>
      </c>
      <c r="B1102">
        <v>40</v>
      </c>
      <c r="C1102" t="s">
        <v>54</v>
      </c>
      <c r="D1102" t="s">
        <v>28</v>
      </c>
      <c r="E1102" t="s">
        <v>35</v>
      </c>
      <c r="F1102" t="s">
        <v>132</v>
      </c>
      <c r="G1102">
        <v>18</v>
      </c>
      <c r="H1102" t="s">
        <v>37</v>
      </c>
      <c r="I1102" t="s">
        <v>37</v>
      </c>
      <c r="J1102" t="s">
        <v>25</v>
      </c>
      <c r="K1102" s="2">
        <v>85715</v>
      </c>
      <c r="L1102" s="2">
        <v>96176</v>
      </c>
      <c r="M1102" t="s">
        <v>38</v>
      </c>
      <c r="N1102">
        <v>48</v>
      </c>
      <c r="O1102" t="s">
        <v>23</v>
      </c>
      <c r="P1102">
        <v>5</v>
      </c>
      <c r="Q1102" s="1">
        <v>6.89</v>
      </c>
      <c r="R1102" s="2">
        <f t="shared" si="68"/>
        <v>10461</v>
      </c>
      <c r="S1102" s="1">
        <f t="shared" si="69"/>
        <v>12.204398296680861</v>
      </c>
      <c r="T1102" t="str">
        <f t="shared" si="70"/>
        <v>Expert</v>
      </c>
      <c r="U1102" t="str">
        <f t="shared" si="71"/>
        <v>Medium Impact</v>
      </c>
    </row>
    <row r="1103" spans="1:21" x14ac:dyDescent="0.3">
      <c r="A1103" t="s">
        <v>1466</v>
      </c>
      <c r="B1103">
        <v>30</v>
      </c>
      <c r="C1103" t="s">
        <v>27</v>
      </c>
      <c r="D1103" t="s">
        <v>40</v>
      </c>
      <c r="E1103" t="s">
        <v>51</v>
      </c>
      <c r="F1103" t="s">
        <v>52</v>
      </c>
      <c r="G1103">
        <v>7</v>
      </c>
      <c r="H1103" t="s">
        <v>22</v>
      </c>
      <c r="I1103" t="s">
        <v>37</v>
      </c>
      <c r="J1103" t="s">
        <v>25</v>
      </c>
      <c r="K1103" s="2">
        <v>91731</v>
      </c>
      <c r="L1103" s="2">
        <v>122532</v>
      </c>
      <c r="M1103" t="s">
        <v>38</v>
      </c>
      <c r="N1103">
        <v>53</v>
      </c>
      <c r="O1103" t="s">
        <v>23</v>
      </c>
      <c r="P1103">
        <v>3</v>
      </c>
      <c r="Q1103" s="1">
        <v>6.88</v>
      </c>
      <c r="R1103" s="2">
        <f t="shared" si="68"/>
        <v>30801</v>
      </c>
      <c r="S1103" s="1">
        <f t="shared" si="69"/>
        <v>33.577525591130588</v>
      </c>
      <c r="T1103" t="str">
        <f t="shared" si="70"/>
        <v>Intermediate</v>
      </c>
      <c r="U1103" t="str">
        <f t="shared" si="71"/>
        <v>Medium Impact</v>
      </c>
    </row>
    <row r="1104" spans="1:21" x14ac:dyDescent="0.3">
      <c r="A1104" t="s">
        <v>1862</v>
      </c>
      <c r="B1104">
        <v>56</v>
      </c>
      <c r="C1104" t="s">
        <v>54</v>
      </c>
      <c r="D1104" t="s">
        <v>34</v>
      </c>
      <c r="E1104" t="s">
        <v>51</v>
      </c>
      <c r="F1104" t="s">
        <v>52</v>
      </c>
      <c r="G1104">
        <v>34</v>
      </c>
      <c r="H1104" t="s">
        <v>31</v>
      </c>
      <c r="I1104" t="s">
        <v>22</v>
      </c>
      <c r="J1104" t="s">
        <v>25</v>
      </c>
      <c r="K1104" s="2">
        <v>50128</v>
      </c>
      <c r="L1104" s="2">
        <v>50105</v>
      </c>
      <c r="M1104" t="s">
        <v>32</v>
      </c>
      <c r="N1104">
        <v>48</v>
      </c>
      <c r="O1104" t="s">
        <v>23</v>
      </c>
      <c r="P1104">
        <v>6</v>
      </c>
      <c r="Q1104" s="1">
        <v>6.88</v>
      </c>
      <c r="R1104" s="2">
        <f t="shared" si="68"/>
        <v>-23</v>
      </c>
      <c r="S1104" s="1">
        <f t="shared" si="69"/>
        <v>-4.5882540695818701E-2</v>
      </c>
      <c r="T1104" t="str">
        <f t="shared" si="70"/>
        <v>Expert</v>
      </c>
      <c r="U1104" t="str">
        <f t="shared" si="71"/>
        <v>Low Impact</v>
      </c>
    </row>
    <row r="1105" spans="1:21" x14ac:dyDescent="0.3">
      <c r="A1105" t="s">
        <v>1448</v>
      </c>
      <c r="B1105">
        <v>34</v>
      </c>
      <c r="C1105" t="s">
        <v>27</v>
      </c>
      <c r="D1105" t="s">
        <v>28</v>
      </c>
      <c r="E1105" t="s">
        <v>41</v>
      </c>
      <c r="F1105" t="s">
        <v>55</v>
      </c>
      <c r="G1105">
        <v>8</v>
      </c>
      <c r="H1105" t="s">
        <v>37</v>
      </c>
      <c r="I1105" t="s">
        <v>22</v>
      </c>
      <c r="J1105" t="s">
        <v>25</v>
      </c>
      <c r="K1105" s="2">
        <v>65036</v>
      </c>
      <c r="L1105" s="2">
        <v>73239</v>
      </c>
      <c r="M1105" t="s">
        <v>32</v>
      </c>
      <c r="N1105">
        <v>54</v>
      </c>
      <c r="O1105" t="s">
        <v>23</v>
      </c>
      <c r="P1105">
        <v>4</v>
      </c>
      <c r="Q1105" s="1">
        <v>6.83</v>
      </c>
      <c r="R1105" s="2">
        <f t="shared" si="68"/>
        <v>8203</v>
      </c>
      <c r="S1105" s="1">
        <f t="shared" si="69"/>
        <v>12.613014330524633</v>
      </c>
      <c r="T1105" t="str">
        <f t="shared" si="70"/>
        <v>Intermediate</v>
      </c>
      <c r="U1105" t="str">
        <f t="shared" si="71"/>
        <v>Low Impact</v>
      </c>
    </row>
    <row r="1106" spans="1:21" x14ac:dyDescent="0.3">
      <c r="A1106" t="s">
        <v>1165</v>
      </c>
      <c r="B1106">
        <v>28</v>
      </c>
      <c r="C1106" t="s">
        <v>54</v>
      </c>
      <c r="D1106" t="s">
        <v>28</v>
      </c>
      <c r="E1106" t="s">
        <v>59</v>
      </c>
      <c r="F1106" t="s">
        <v>93</v>
      </c>
      <c r="G1106">
        <v>4</v>
      </c>
      <c r="H1106" t="s">
        <v>37</v>
      </c>
      <c r="I1106" t="s">
        <v>37</v>
      </c>
      <c r="J1106" t="s">
        <v>23</v>
      </c>
      <c r="K1106" s="2">
        <v>100198</v>
      </c>
      <c r="L1106" s="2">
        <v>113500</v>
      </c>
      <c r="M1106" t="s">
        <v>38</v>
      </c>
      <c r="N1106">
        <v>42</v>
      </c>
      <c r="O1106" t="s">
        <v>25</v>
      </c>
      <c r="P1106">
        <v>3</v>
      </c>
      <c r="Q1106" s="1">
        <v>6.81</v>
      </c>
      <c r="R1106" s="2">
        <f t="shared" si="68"/>
        <v>13302</v>
      </c>
      <c r="S1106" s="1">
        <f t="shared" si="69"/>
        <v>13.275714086109502</v>
      </c>
      <c r="T1106" t="str">
        <f t="shared" si="70"/>
        <v>Beginner</v>
      </c>
      <c r="U1106" t="str">
        <f t="shared" si="71"/>
        <v>Medium Impact</v>
      </c>
    </row>
    <row r="1107" spans="1:21" x14ac:dyDescent="0.3">
      <c r="A1107" t="s">
        <v>1087</v>
      </c>
      <c r="B1107">
        <v>28</v>
      </c>
      <c r="C1107" t="s">
        <v>54</v>
      </c>
      <c r="D1107" t="s">
        <v>28</v>
      </c>
      <c r="E1107" t="s">
        <v>35</v>
      </c>
      <c r="F1107" t="s">
        <v>98</v>
      </c>
      <c r="G1107">
        <v>5</v>
      </c>
      <c r="H1107" t="s">
        <v>37</v>
      </c>
      <c r="I1107" t="s">
        <v>22</v>
      </c>
      <c r="J1107" t="s">
        <v>25</v>
      </c>
      <c r="K1107" s="2">
        <v>46984</v>
      </c>
      <c r="L1107" s="2">
        <v>51066</v>
      </c>
      <c r="M1107" t="s">
        <v>32</v>
      </c>
      <c r="N1107">
        <v>43</v>
      </c>
      <c r="O1107" t="s">
        <v>25</v>
      </c>
      <c r="P1107">
        <v>9</v>
      </c>
      <c r="Q1107" s="1">
        <v>6.81</v>
      </c>
      <c r="R1107" s="2">
        <f t="shared" si="68"/>
        <v>4082</v>
      </c>
      <c r="S1107" s="1">
        <f t="shared" si="69"/>
        <v>8.6880640217946539</v>
      </c>
      <c r="T1107" t="str">
        <f t="shared" si="70"/>
        <v>Intermediate</v>
      </c>
      <c r="U1107" t="str">
        <f t="shared" si="71"/>
        <v>Low Impact</v>
      </c>
    </row>
    <row r="1108" spans="1:21" x14ac:dyDescent="0.3">
      <c r="A1108" t="s">
        <v>273</v>
      </c>
      <c r="B1108">
        <v>36</v>
      </c>
      <c r="C1108" t="s">
        <v>54</v>
      </c>
      <c r="D1108" t="s">
        <v>28</v>
      </c>
      <c r="E1108" t="s">
        <v>35</v>
      </c>
      <c r="F1108" t="s">
        <v>98</v>
      </c>
      <c r="G1108">
        <v>12</v>
      </c>
      <c r="H1108" t="s">
        <v>22</v>
      </c>
      <c r="I1108" t="s">
        <v>22</v>
      </c>
      <c r="J1108" t="s">
        <v>25</v>
      </c>
      <c r="K1108" s="2">
        <v>57082</v>
      </c>
      <c r="L1108" s="2">
        <v>69067</v>
      </c>
      <c r="M1108" t="s">
        <v>38</v>
      </c>
      <c r="N1108">
        <v>48</v>
      </c>
      <c r="O1108" t="s">
        <v>25</v>
      </c>
      <c r="P1108">
        <v>4</v>
      </c>
      <c r="Q1108" s="1">
        <v>6.75</v>
      </c>
      <c r="R1108" s="2">
        <f t="shared" si="68"/>
        <v>11985</v>
      </c>
      <c r="S1108" s="1">
        <f t="shared" si="69"/>
        <v>20.996110858063837</v>
      </c>
      <c r="T1108" t="str">
        <f t="shared" si="70"/>
        <v>Intermediate</v>
      </c>
      <c r="U1108" t="str">
        <f t="shared" si="71"/>
        <v>Medium Impact</v>
      </c>
    </row>
    <row r="1109" spans="1:21" x14ac:dyDescent="0.3">
      <c r="A1109" t="s">
        <v>792</v>
      </c>
      <c r="B1109">
        <v>34</v>
      </c>
      <c r="C1109" t="s">
        <v>54</v>
      </c>
      <c r="D1109" t="s">
        <v>28</v>
      </c>
      <c r="E1109" t="s">
        <v>35</v>
      </c>
      <c r="F1109" t="s">
        <v>36</v>
      </c>
      <c r="G1109">
        <v>9</v>
      </c>
      <c r="H1109" t="s">
        <v>31</v>
      </c>
      <c r="I1109" t="s">
        <v>37</v>
      </c>
      <c r="J1109" t="s">
        <v>23</v>
      </c>
      <c r="K1109" s="2">
        <v>82664</v>
      </c>
      <c r="L1109" s="2">
        <v>82058</v>
      </c>
      <c r="M1109" t="s">
        <v>38</v>
      </c>
      <c r="N1109">
        <v>47</v>
      </c>
      <c r="O1109" t="s">
        <v>25</v>
      </c>
      <c r="P1109">
        <v>8</v>
      </c>
      <c r="Q1109" s="1">
        <v>6.58</v>
      </c>
      <c r="R1109" s="2">
        <f t="shared" si="68"/>
        <v>-606</v>
      </c>
      <c r="S1109" s="1">
        <f t="shared" si="69"/>
        <v>-0.73308816413432698</v>
      </c>
      <c r="T1109" t="str">
        <f t="shared" si="70"/>
        <v>Intermediate</v>
      </c>
      <c r="U1109" t="str">
        <f t="shared" si="71"/>
        <v>Medium Impact</v>
      </c>
    </row>
    <row r="1110" spans="1:21" x14ac:dyDescent="0.3">
      <c r="A1110" t="s">
        <v>658</v>
      </c>
      <c r="B1110">
        <v>25</v>
      </c>
      <c r="C1110" t="s">
        <v>18</v>
      </c>
      <c r="D1110" t="s">
        <v>19</v>
      </c>
      <c r="E1110" t="s">
        <v>44</v>
      </c>
      <c r="F1110" t="s">
        <v>45</v>
      </c>
      <c r="G1110">
        <v>0</v>
      </c>
      <c r="H1110" t="s">
        <v>31</v>
      </c>
      <c r="I1110" t="s">
        <v>37</v>
      </c>
      <c r="J1110" t="s">
        <v>25</v>
      </c>
      <c r="K1110" s="2">
        <v>101196</v>
      </c>
      <c r="L1110" s="2">
        <v>107622</v>
      </c>
      <c r="M1110" t="s">
        <v>38</v>
      </c>
      <c r="N1110">
        <v>44</v>
      </c>
      <c r="O1110" t="s">
        <v>25</v>
      </c>
      <c r="P1110">
        <v>7</v>
      </c>
      <c r="Q1110" s="1">
        <v>6.54</v>
      </c>
      <c r="R1110" s="2">
        <f t="shared" si="68"/>
        <v>6426</v>
      </c>
      <c r="S1110" s="1">
        <f t="shared" si="69"/>
        <v>6.3500533617929564</v>
      </c>
      <c r="T1110" t="str">
        <f t="shared" si="70"/>
        <v>Beginner</v>
      </c>
      <c r="U1110" t="str">
        <f t="shared" si="71"/>
        <v>Medium Impact</v>
      </c>
    </row>
    <row r="1111" spans="1:21" x14ac:dyDescent="0.3">
      <c r="A1111" t="s">
        <v>1731</v>
      </c>
      <c r="B1111">
        <v>59</v>
      </c>
      <c r="C1111" t="s">
        <v>18</v>
      </c>
      <c r="D1111" t="s">
        <v>19</v>
      </c>
      <c r="E1111" t="s">
        <v>20</v>
      </c>
      <c r="F1111" t="s">
        <v>21</v>
      </c>
      <c r="G1111">
        <v>36</v>
      </c>
      <c r="H1111" t="s">
        <v>22</v>
      </c>
      <c r="I1111" t="s">
        <v>22</v>
      </c>
      <c r="J1111" t="s">
        <v>25</v>
      </c>
      <c r="K1111" s="2">
        <v>100423</v>
      </c>
      <c r="L1111" s="2">
        <v>91814</v>
      </c>
      <c r="M1111" t="s">
        <v>38</v>
      </c>
      <c r="N1111">
        <v>49</v>
      </c>
      <c r="O1111" t="s">
        <v>25</v>
      </c>
      <c r="P1111">
        <v>5</v>
      </c>
      <c r="Q1111" s="1">
        <v>6.53</v>
      </c>
      <c r="R1111" s="2">
        <f t="shared" si="68"/>
        <v>-8609</v>
      </c>
      <c r="S1111" s="1">
        <f t="shared" si="69"/>
        <v>-8.572737321131612</v>
      </c>
      <c r="T1111" t="str">
        <f t="shared" si="70"/>
        <v>Expert</v>
      </c>
      <c r="U1111" t="str">
        <f t="shared" si="71"/>
        <v>Medium Impact</v>
      </c>
    </row>
    <row r="1112" spans="1:21" x14ac:dyDescent="0.3">
      <c r="A1112" t="s">
        <v>1716</v>
      </c>
      <c r="B1112">
        <v>50</v>
      </c>
      <c r="C1112" t="s">
        <v>54</v>
      </c>
      <c r="D1112" t="s">
        <v>40</v>
      </c>
      <c r="E1112" t="s">
        <v>59</v>
      </c>
      <c r="F1112" t="s">
        <v>77</v>
      </c>
      <c r="G1112">
        <v>26</v>
      </c>
      <c r="H1112" t="s">
        <v>37</v>
      </c>
      <c r="I1112" t="s">
        <v>37</v>
      </c>
      <c r="J1112" t="s">
        <v>25</v>
      </c>
      <c r="K1112" s="2">
        <v>103802</v>
      </c>
      <c r="L1112" s="2">
        <v>106450</v>
      </c>
      <c r="M1112" t="s">
        <v>38</v>
      </c>
      <c r="N1112">
        <v>43</v>
      </c>
      <c r="O1112" t="s">
        <v>25</v>
      </c>
      <c r="P1112">
        <v>8</v>
      </c>
      <c r="Q1112" s="1">
        <v>6.45</v>
      </c>
      <c r="R1112" s="2">
        <f t="shared" si="68"/>
        <v>2648</v>
      </c>
      <c r="S1112" s="1">
        <f t="shared" si="69"/>
        <v>2.5510105778308705</v>
      </c>
      <c r="T1112" t="str">
        <f t="shared" si="70"/>
        <v>Expert</v>
      </c>
      <c r="U1112" t="str">
        <f t="shared" si="71"/>
        <v>Medium Impact</v>
      </c>
    </row>
    <row r="1113" spans="1:21" x14ac:dyDescent="0.3">
      <c r="A1113" t="s">
        <v>430</v>
      </c>
      <c r="B1113">
        <v>29</v>
      </c>
      <c r="C1113" t="s">
        <v>27</v>
      </c>
      <c r="D1113" t="s">
        <v>19</v>
      </c>
      <c r="E1113" t="s">
        <v>44</v>
      </c>
      <c r="F1113" t="s">
        <v>57</v>
      </c>
      <c r="G1113">
        <v>3</v>
      </c>
      <c r="H1113" t="s">
        <v>31</v>
      </c>
      <c r="I1113" t="s">
        <v>22</v>
      </c>
      <c r="J1113" t="s">
        <v>25</v>
      </c>
      <c r="K1113" s="2">
        <v>47071</v>
      </c>
      <c r="L1113" s="2">
        <v>45791</v>
      </c>
      <c r="M1113" t="s">
        <v>32</v>
      </c>
      <c r="N1113">
        <v>40</v>
      </c>
      <c r="O1113" t="s">
        <v>25</v>
      </c>
      <c r="P1113">
        <v>8</v>
      </c>
      <c r="Q1113" s="1">
        <v>6.42</v>
      </c>
      <c r="R1113" s="2">
        <f t="shared" si="68"/>
        <v>-1280</v>
      </c>
      <c r="S1113" s="1">
        <f t="shared" si="69"/>
        <v>-2.7192963820611418</v>
      </c>
      <c r="T1113" t="str">
        <f t="shared" si="70"/>
        <v>Beginner</v>
      </c>
      <c r="U1113" t="str">
        <f t="shared" si="71"/>
        <v>Low Impact</v>
      </c>
    </row>
    <row r="1114" spans="1:21" x14ac:dyDescent="0.3">
      <c r="A1114" t="s">
        <v>1320</v>
      </c>
      <c r="B1114">
        <v>36</v>
      </c>
      <c r="C1114" t="s">
        <v>18</v>
      </c>
      <c r="D1114" t="s">
        <v>34</v>
      </c>
      <c r="E1114" t="s">
        <v>29</v>
      </c>
      <c r="F1114" t="s">
        <v>30</v>
      </c>
      <c r="G1114">
        <v>13</v>
      </c>
      <c r="H1114" t="s">
        <v>31</v>
      </c>
      <c r="I1114" t="s">
        <v>31</v>
      </c>
      <c r="J1114" t="s">
        <v>23</v>
      </c>
      <c r="K1114" s="2">
        <v>52391</v>
      </c>
      <c r="L1114" s="2">
        <v>52305</v>
      </c>
      <c r="M1114" t="s">
        <v>32</v>
      </c>
      <c r="N1114">
        <v>45</v>
      </c>
      <c r="O1114" t="s">
        <v>25</v>
      </c>
      <c r="P1114">
        <v>4</v>
      </c>
      <c r="Q1114" s="1">
        <v>6.41</v>
      </c>
      <c r="R1114" s="2">
        <f t="shared" si="68"/>
        <v>-86</v>
      </c>
      <c r="S1114" s="1">
        <f t="shared" si="69"/>
        <v>-0.1641503311637495</v>
      </c>
      <c r="T1114" t="str">
        <f t="shared" si="70"/>
        <v>Intermediate</v>
      </c>
      <c r="U1114" t="str">
        <f t="shared" si="71"/>
        <v>Low Impact</v>
      </c>
    </row>
    <row r="1115" spans="1:21" x14ac:dyDescent="0.3">
      <c r="A1115" t="s">
        <v>986</v>
      </c>
      <c r="B1115">
        <v>56</v>
      </c>
      <c r="C1115" t="s">
        <v>27</v>
      </c>
      <c r="D1115" t="s">
        <v>34</v>
      </c>
      <c r="E1115" t="s">
        <v>29</v>
      </c>
      <c r="F1115" t="s">
        <v>30</v>
      </c>
      <c r="G1115">
        <v>34</v>
      </c>
      <c r="H1115" t="s">
        <v>31</v>
      </c>
      <c r="I1115" t="s">
        <v>31</v>
      </c>
      <c r="J1115" t="s">
        <v>23</v>
      </c>
      <c r="K1115" s="2">
        <v>79703</v>
      </c>
      <c r="L1115" s="2">
        <v>77565</v>
      </c>
      <c r="M1115" t="s">
        <v>32</v>
      </c>
      <c r="N1115">
        <v>40</v>
      </c>
      <c r="O1115" t="s">
        <v>25</v>
      </c>
      <c r="P1115">
        <v>7</v>
      </c>
      <c r="Q1115" s="1">
        <v>6.37</v>
      </c>
      <c r="R1115" s="2">
        <f t="shared" si="68"/>
        <v>-2138</v>
      </c>
      <c r="S1115" s="1">
        <f t="shared" si="69"/>
        <v>-2.6824586276551701</v>
      </c>
      <c r="T1115" t="str">
        <f t="shared" si="70"/>
        <v>Expert</v>
      </c>
      <c r="U1115" t="str">
        <f t="shared" si="71"/>
        <v>Low Impact</v>
      </c>
    </row>
    <row r="1116" spans="1:21" x14ac:dyDescent="0.3">
      <c r="A1116" t="s">
        <v>383</v>
      </c>
      <c r="B1116">
        <v>30</v>
      </c>
      <c r="C1116" t="s">
        <v>18</v>
      </c>
      <c r="D1116" t="s">
        <v>34</v>
      </c>
      <c r="E1116" t="s">
        <v>29</v>
      </c>
      <c r="F1116" t="s">
        <v>104</v>
      </c>
      <c r="G1116">
        <v>8</v>
      </c>
      <c r="H1116" t="s">
        <v>22</v>
      </c>
      <c r="I1116" t="s">
        <v>37</v>
      </c>
      <c r="J1116" t="s">
        <v>25</v>
      </c>
      <c r="K1116" s="2">
        <v>100119</v>
      </c>
      <c r="L1116" s="2">
        <v>106050</v>
      </c>
      <c r="M1116" t="s">
        <v>38</v>
      </c>
      <c r="N1116">
        <v>52</v>
      </c>
      <c r="O1116" t="s">
        <v>23</v>
      </c>
      <c r="P1116">
        <v>8</v>
      </c>
      <c r="Q1116" s="1">
        <v>6.36</v>
      </c>
      <c r="R1116" s="2">
        <f t="shared" si="68"/>
        <v>5931</v>
      </c>
      <c r="S1116" s="1">
        <f t="shared" si="69"/>
        <v>5.9239504989063017</v>
      </c>
      <c r="T1116" t="str">
        <f t="shared" si="70"/>
        <v>Intermediate</v>
      </c>
      <c r="U1116" t="str">
        <f t="shared" si="71"/>
        <v>Medium Impact</v>
      </c>
    </row>
    <row r="1117" spans="1:21" x14ac:dyDescent="0.3">
      <c r="A1117" t="s">
        <v>939</v>
      </c>
      <c r="B1117">
        <v>50</v>
      </c>
      <c r="C1117" t="s">
        <v>18</v>
      </c>
      <c r="D1117" t="s">
        <v>40</v>
      </c>
      <c r="E1117" t="s">
        <v>29</v>
      </c>
      <c r="F1117" t="s">
        <v>30</v>
      </c>
      <c r="G1117">
        <v>27</v>
      </c>
      <c r="H1117" t="s">
        <v>22</v>
      </c>
      <c r="I1117" t="s">
        <v>37</v>
      </c>
      <c r="J1117" t="s">
        <v>23</v>
      </c>
      <c r="K1117" s="2">
        <v>40492</v>
      </c>
      <c r="L1117" s="2">
        <v>48387</v>
      </c>
      <c r="M1117" t="s">
        <v>38</v>
      </c>
      <c r="N1117">
        <v>46</v>
      </c>
      <c r="O1117" t="s">
        <v>23</v>
      </c>
      <c r="P1117">
        <v>4</v>
      </c>
      <c r="Q1117" s="1">
        <v>6.26</v>
      </c>
      <c r="R1117" s="2">
        <f t="shared" si="68"/>
        <v>7895</v>
      </c>
      <c r="S1117" s="1">
        <f t="shared" si="69"/>
        <v>19.497678553788404</v>
      </c>
      <c r="T1117" t="str">
        <f t="shared" si="70"/>
        <v>Expert</v>
      </c>
      <c r="U1117" t="str">
        <f t="shared" si="71"/>
        <v>Medium Impact</v>
      </c>
    </row>
    <row r="1118" spans="1:21" x14ac:dyDescent="0.3">
      <c r="A1118" t="s">
        <v>2007</v>
      </c>
      <c r="B1118">
        <v>51</v>
      </c>
      <c r="C1118" t="s">
        <v>18</v>
      </c>
      <c r="D1118" t="s">
        <v>40</v>
      </c>
      <c r="E1118" t="s">
        <v>41</v>
      </c>
      <c r="F1118" t="s">
        <v>49</v>
      </c>
      <c r="G1118">
        <v>29</v>
      </c>
      <c r="H1118" t="s">
        <v>22</v>
      </c>
      <c r="I1118" t="s">
        <v>37</v>
      </c>
      <c r="J1118" t="s">
        <v>23</v>
      </c>
      <c r="K1118" s="2">
        <v>79581</v>
      </c>
      <c r="L1118" s="2">
        <v>64050</v>
      </c>
      <c r="M1118" t="s">
        <v>38</v>
      </c>
      <c r="N1118">
        <v>50</v>
      </c>
      <c r="O1118" t="s">
        <v>25</v>
      </c>
      <c r="P1118">
        <v>8</v>
      </c>
      <c r="Q1118" s="1">
        <v>6.25</v>
      </c>
      <c r="R1118" s="2">
        <f t="shared" si="68"/>
        <v>-15531</v>
      </c>
      <c r="S1118" s="1">
        <f t="shared" si="69"/>
        <v>-19.515964865985598</v>
      </c>
      <c r="T1118" t="str">
        <f t="shared" si="70"/>
        <v>Expert</v>
      </c>
      <c r="U1118" t="str">
        <f t="shared" si="71"/>
        <v>Medium Impact</v>
      </c>
    </row>
    <row r="1119" spans="1:21" x14ac:dyDescent="0.3">
      <c r="A1119" t="s">
        <v>302</v>
      </c>
      <c r="B1119">
        <v>23</v>
      </c>
      <c r="C1119" t="s">
        <v>27</v>
      </c>
      <c r="D1119" t="s">
        <v>40</v>
      </c>
      <c r="E1119" t="s">
        <v>29</v>
      </c>
      <c r="F1119" t="s">
        <v>102</v>
      </c>
      <c r="G1119">
        <v>0</v>
      </c>
      <c r="H1119" t="s">
        <v>22</v>
      </c>
      <c r="I1119" t="s">
        <v>22</v>
      </c>
      <c r="J1119" t="s">
        <v>25</v>
      </c>
      <c r="K1119" s="2">
        <v>94324</v>
      </c>
      <c r="L1119" s="2">
        <v>79371</v>
      </c>
      <c r="M1119" t="s">
        <v>24</v>
      </c>
      <c r="N1119">
        <v>49</v>
      </c>
      <c r="O1119" t="s">
        <v>25</v>
      </c>
      <c r="P1119">
        <v>8</v>
      </c>
      <c r="Q1119" s="1">
        <v>6.23</v>
      </c>
      <c r="R1119" s="2">
        <f t="shared" si="68"/>
        <v>-14953</v>
      </c>
      <c r="S1119" s="1">
        <f t="shared" si="69"/>
        <v>-15.852805224545186</v>
      </c>
      <c r="T1119" t="str">
        <f t="shared" si="70"/>
        <v>Beginner</v>
      </c>
      <c r="U1119" t="str">
        <f t="shared" si="71"/>
        <v>High Impact</v>
      </c>
    </row>
    <row r="1120" spans="1:21" x14ac:dyDescent="0.3">
      <c r="A1120" t="s">
        <v>1401</v>
      </c>
      <c r="B1120">
        <v>40</v>
      </c>
      <c r="C1120" t="s">
        <v>18</v>
      </c>
      <c r="D1120" t="s">
        <v>28</v>
      </c>
      <c r="E1120" t="s">
        <v>29</v>
      </c>
      <c r="F1120" t="s">
        <v>30</v>
      </c>
      <c r="G1120">
        <v>18</v>
      </c>
      <c r="H1120" t="s">
        <v>37</v>
      </c>
      <c r="I1120" t="s">
        <v>22</v>
      </c>
      <c r="J1120" t="s">
        <v>23</v>
      </c>
      <c r="K1120" s="2">
        <v>72036</v>
      </c>
      <c r="L1120" s="2">
        <v>71892</v>
      </c>
      <c r="M1120" t="s">
        <v>32</v>
      </c>
      <c r="N1120">
        <v>48</v>
      </c>
      <c r="O1120" t="s">
        <v>23</v>
      </c>
      <c r="P1120">
        <v>8</v>
      </c>
      <c r="Q1120" s="1">
        <v>6.23</v>
      </c>
      <c r="R1120" s="2">
        <f t="shared" si="68"/>
        <v>-144</v>
      </c>
      <c r="S1120" s="1">
        <f t="shared" si="69"/>
        <v>-0.19990004997501248</v>
      </c>
      <c r="T1120" t="str">
        <f t="shared" si="70"/>
        <v>Expert</v>
      </c>
      <c r="U1120" t="str">
        <f t="shared" si="71"/>
        <v>Low Impact</v>
      </c>
    </row>
    <row r="1121" spans="1:21" x14ac:dyDescent="0.3">
      <c r="A1121" t="s">
        <v>1499</v>
      </c>
      <c r="B1121">
        <v>34</v>
      </c>
      <c r="C1121" t="s">
        <v>18</v>
      </c>
      <c r="D1121" t="s">
        <v>19</v>
      </c>
      <c r="E1121" t="s">
        <v>20</v>
      </c>
      <c r="F1121" t="s">
        <v>21</v>
      </c>
      <c r="G1121">
        <v>9</v>
      </c>
      <c r="H1121" t="s">
        <v>37</v>
      </c>
      <c r="I1121" t="s">
        <v>31</v>
      </c>
      <c r="J1121" t="s">
        <v>23</v>
      </c>
      <c r="K1121" s="2">
        <v>101934</v>
      </c>
      <c r="L1121" s="2">
        <v>105414</v>
      </c>
      <c r="M1121" t="s">
        <v>32</v>
      </c>
      <c r="N1121">
        <v>38</v>
      </c>
      <c r="O1121" t="s">
        <v>23</v>
      </c>
      <c r="P1121">
        <v>6</v>
      </c>
      <c r="Q1121" s="1">
        <v>6.22</v>
      </c>
      <c r="R1121" s="2">
        <f t="shared" si="68"/>
        <v>3480</v>
      </c>
      <c r="S1121" s="1">
        <f t="shared" si="69"/>
        <v>3.4139737477191123</v>
      </c>
      <c r="T1121" t="str">
        <f t="shared" si="70"/>
        <v>Intermediate</v>
      </c>
      <c r="U1121" t="str">
        <f t="shared" si="71"/>
        <v>Low Impact</v>
      </c>
    </row>
    <row r="1122" spans="1:21" x14ac:dyDescent="0.3">
      <c r="A1122" t="s">
        <v>112</v>
      </c>
      <c r="B1122">
        <v>22</v>
      </c>
      <c r="C1122" t="s">
        <v>18</v>
      </c>
      <c r="D1122" t="s">
        <v>34</v>
      </c>
      <c r="E1122" t="s">
        <v>29</v>
      </c>
      <c r="F1122" t="s">
        <v>30</v>
      </c>
      <c r="G1122">
        <v>0</v>
      </c>
      <c r="H1122" t="s">
        <v>37</v>
      </c>
      <c r="I1122" t="s">
        <v>37</v>
      </c>
      <c r="J1122" t="s">
        <v>23</v>
      </c>
      <c r="K1122" s="2">
        <v>83222</v>
      </c>
      <c r="L1122" s="2">
        <v>91305</v>
      </c>
      <c r="M1122" t="s">
        <v>38</v>
      </c>
      <c r="N1122">
        <v>37</v>
      </c>
      <c r="O1122" t="s">
        <v>23</v>
      </c>
      <c r="P1122">
        <v>6</v>
      </c>
      <c r="Q1122" s="1">
        <v>6.14</v>
      </c>
      <c r="R1122" s="2">
        <f t="shared" si="68"/>
        <v>8083</v>
      </c>
      <c r="S1122" s="1">
        <f t="shared" si="69"/>
        <v>9.7125760015380553</v>
      </c>
      <c r="T1122" t="str">
        <f t="shared" si="70"/>
        <v>Beginner</v>
      </c>
      <c r="U1122" t="str">
        <f t="shared" si="71"/>
        <v>Medium Impact</v>
      </c>
    </row>
    <row r="1123" spans="1:21" x14ac:dyDescent="0.3">
      <c r="A1123" t="s">
        <v>1463</v>
      </c>
      <c r="B1123">
        <v>28</v>
      </c>
      <c r="C1123" t="s">
        <v>18</v>
      </c>
      <c r="D1123" t="s">
        <v>28</v>
      </c>
      <c r="E1123" t="s">
        <v>35</v>
      </c>
      <c r="F1123" t="s">
        <v>98</v>
      </c>
      <c r="G1123">
        <v>6</v>
      </c>
      <c r="H1123" t="s">
        <v>22</v>
      </c>
      <c r="I1123" t="s">
        <v>37</v>
      </c>
      <c r="J1123" t="s">
        <v>25</v>
      </c>
      <c r="K1123" s="2">
        <v>37507</v>
      </c>
      <c r="L1123" s="2">
        <v>42847</v>
      </c>
      <c r="M1123" t="s">
        <v>38</v>
      </c>
      <c r="N1123">
        <v>36</v>
      </c>
      <c r="O1123" t="s">
        <v>23</v>
      </c>
      <c r="P1123">
        <v>3</v>
      </c>
      <c r="Q1123" s="1">
        <v>6.14</v>
      </c>
      <c r="R1123" s="2">
        <f t="shared" si="68"/>
        <v>5340</v>
      </c>
      <c r="S1123" s="1">
        <f t="shared" si="69"/>
        <v>14.23734236275895</v>
      </c>
      <c r="T1123" t="str">
        <f t="shared" si="70"/>
        <v>Intermediate</v>
      </c>
      <c r="U1123" t="str">
        <f t="shared" si="71"/>
        <v>Medium Impact</v>
      </c>
    </row>
    <row r="1124" spans="1:21" x14ac:dyDescent="0.3">
      <c r="A1124" t="s">
        <v>1860</v>
      </c>
      <c r="B1124">
        <v>41</v>
      </c>
      <c r="C1124" t="s">
        <v>27</v>
      </c>
      <c r="D1124" t="s">
        <v>40</v>
      </c>
      <c r="E1124" t="s">
        <v>29</v>
      </c>
      <c r="F1124" t="s">
        <v>104</v>
      </c>
      <c r="G1124">
        <v>17</v>
      </c>
      <c r="H1124" t="s">
        <v>37</v>
      </c>
      <c r="I1124" t="s">
        <v>22</v>
      </c>
      <c r="J1124" t="s">
        <v>25</v>
      </c>
      <c r="K1124" s="2">
        <v>100605</v>
      </c>
      <c r="L1124" s="2">
        <v>115326</v>
      </c>
      <c r="M1124" t="s">
        <v>32</v>
      </c>
      <c r="N1124">
        <v>37</v>
      </c>
      <c r="O1124" t="s">
        <v>25</v>
      </c>
      <c r="P1124">
        <v>7</v>
      </c>
      <c r="Q1124" s="1">
        <v>6.13</v>
      </c>
      <c r="R1124" s="2">
        <f t="shared" si="68"/>
        <v>14721</v>
      </c>
      <c r="S1124" s="1">
        <f t="shared" si="69"/>
        <v>14.63247353511257</v>
      </c>
      <c r="T1124" t="str">
        <f t="shared" si="70"/>
        <v>Expert</v>
      </c>
      <c r="U1124" t="str">
        <f t="shared" si="71"/>
        <v>Low Impact</v>
      </c>
    </row>
    <row r="1125" spans="1:21" x14ac:dyDescent="0.3">
      <c r="A1125" t="s">
        <v>138</v>
      </c>
      <c r="B1125">
        <v>48</v>
      </c>
      <c r="C1125" t="s">
        <v>18</v>
      </c>
      <c r="D1125" t="s">
        <v>28</v>
      </c>
      <c r="E1125" t="s">
        <v>20</v>
      </c>
      <c r="F1125" t="s">
        <v>118</v>
      </c>
      <c r="G1125">
        <v>25</v>
      </c>
      <c r="H1125" t="s">
        <v>31</v>
      </c>
      <c r="I1125" t="s">
        <v>37</v>
      </c>
      <c r="J1125" t="s">
        <v>23</v>
      </c>
      <c r="K1125" s="2">
        <v>85129</v>
      </c>
      <c r="L1125" s="2">
        <v>85089</v>
      </c>
      <c r="M1125" t="s">
        <v>38</v>
      </c>
      <c r="N1125">
        <v>47</v>
      </c>
      <c r="O1125" t="s">
        <v>23</v>
      </c>
      <c r="P1125">
        <v>7</v>
      </c>
      <c r="Q1125" s="1">
        <v>6.07</v>
      </c>
      <c r="R1125" s="2">
        <f t="shared" si="68"/>
        <v>-40</v>
      </c>
      <c r="S1125" s="1">
        <f t="shared" si="69"/>
        <v>-4.698751306840207E-2</v>
      </c>
      <c r="T1125" t="str">
        <f t="shared" si="70"/>
        <v>Expert</v>
      </c>
      <c r="U1125" t="str">
        <f t="shared" si="71"/>
        <v>Medium Impact</v>
      </c>
    </row>
    <row r="1126" spans="1:21" x14ac:dyDescent="0.3">
      <c r="A1126" t="s">
        <v>635</v>
      </c>
      <c r="B1126">
        <v>39</v>
      </c>
      <c r="C1126" t="s">
        <v>54</v>
      </c>
      <c r="D1126" t="s">
        <v>19</v>
      </c>
      <c r="E1126" t="s">
        <v>35</v>
      </c>
      <c r="F1126" t="s">
        <v>132</v>
      </c>
      <c r="G1126">
        <v>16</v>
      </c>
      <c r="H1126" t="s">
        <v>37</v>
      </c>
      <c r="I1126" t="s">
        <v>22</v>
      </c>
      <c r="J1126" t="s">
        <v>23</v>
      </c>
      <c r="K1126" s="2">
        <v>36476</v>
      </c>
      <c r="L1126" s="2">
        <v>41624</v>
      </c>
      <c r="M1126" t="s">
        <v>32</v>
      </c>
      <c r="N1126">
        <v>44</v>
      </c>
      <c r="O1126" t="s">
        <v>25</v>
      </c>
      <c r="P1126">
        <v>7</v>
      </c>
      <c r="Q1126" s="1">
        <v>6.01</v>
      </c>
      <c r="R1126" s="2">
        <f t="shared" si="68"/>
        <v>5148</v>
      </c>
      <c r="S1126" s="1">
        <f t="shared" si="69"/>
        <v>14.11338962605549</v>
      </c>
      <c r="T1126" t="str">
        <f t="shared" si="70"/>
        <v>Expert</v>
      </c>
      <c r="U1126" t="str">
        <f t="shared" si="71"/>
        <v>Low Impact</v>
      </c>
    </row>
    <row r="1127" spans="1:21" x14ac:dyDescent="0.3">
      <c r="A1127" t="s">
        <v>1934</v>
      </c>
      <c r="B1127">
        <v>42</v>
      </c>
      <c r="C1127" t="s">
        <v>54</v>
      </c>
      <c r="D1127" t="s">
        <v>40</v>
      </c>
      <c r="E1127" t="s">
        <v>20</v>
      </c>
      <c r="F1127" t="s">
        <v>21</v>
      </c>
      <c r="G1127">
        <v>19</v>
      </c>
      <c r="H1127" t="s">
        <v>37</v>
      </c>
      <c r="I1127" t="s">
        <v>22</v>
      </c>
      <c r="J1127" t="s">
        <v>23</v>
      </c>
      <c r="K1127" s="2">
        <v>102597</v>
      </c>
      <c r="L1127" s="2">
        <v>108006</v>
      </c>
      <c r="M1127" t="s">
        <v>32</v>
      </c>
      <c r="N1127">
        <v>39</v>
      </c>
      <c r="O1127" t="s">
        <v>25</v>
      </c>
      <c r="P1127">
        <v>5</v>
      </c>
      <c r="Q1127" s="1">
        <v>6</v>
      </c>
      <c r="R1127" s="2">
        <f t="shared" si="68"/>
        <v>5409</v>
      </c>
      <c r="S1127" s="1">
        <f t="shared" si="69"/>
        <v>5.2720839790637148</v>
      </c>
      <c r="T1127" t="str">
        <f t="shared" si="70"/>
        <v>Expert</v>
      </c>
      <c r="U1127" t="str">
        <f t="shared" si="71"/>
        <v>Low Impact</v>
      </c>
    </row>
    <row r="1128" spans="1:21" x14ac:dyDescent="0.3">
      <c r="A1128" t="s">
        <v>543</v>
      </c>
      <c r="B1128">
        <v>27</v>
      </c>
      <c r="C1128" t="s">
        <v>27</v>
      </c>
      <c r="D1128" t="s">
        <v>19</v>
      </c>
      <c r="E1128" t="s">
        <v>44</v>
      </c>
      <c r="F1128" t="s">
        <v>47</v>
      </c>
      <c r="G1128">
        <v>4</v>
      </c>
      <c r="H1128" t="s">
        <v>22</v>
      </c>
      <c r="I1128" t="s">
        <v>37</v>
      </c>
      <c r="J1128" t="s">
        <v>25</v>
      </c>
      <c r="K1128" s="2">
        <v>95101</v>
      </c>
      <c r="L1128" s="2">
        <v>107268</v>
      </c>
      <c r="M1128" t="s">
        <v>38</v>
      </c>
      <c r="N1128">
        <v>37</v>
      </c>
      <c r="O1128" t="s">
        <v>25</v>
      </c>
      <c r="P1128">
        <v>8</v>
      </c>
      <c r="Q1128" s="1">
        <v>5.97</v>
      </c>
      <c r="R1128" s="2">
        <f t="shared" si="68"/>
        <v>12167</v>
      </c>
      <c r="S1128" s="1">
        <f t="shared" si="69"/>
        <v>12.793766627059652</v>
      </c>
      <c r="T1128" t="str">
        <f t="shared" si="70"/>
        <v>Beginner</v>
      </c>
      <c r="U1128" t="str">
        <f t="shared" si="71"/>
        <v>Medium Impact</v>
      </c>
    </row>
    <row r="1129" spans="1:21" x14ac:dyDescent="0.3">
      <c r="A1129" t="s">
        <v>173</v>
      </c>
      <c r="B1129">
        <v>57</v>
      </c>
      <c r="C1129" t="s">
        <v>54</v>
      </c>
      <c r="D1129" t="s">
        <v>28</v>
      </c>
      <c r="E1129" t="s">
        <v>41</v>
      </c>
      <c r="F1129" t="s">
        <v>55</v>
      </c>
      <c r="G1129">
        <v>34</v>
      </c>
      <c r="H1129" t="s">
        <v>31</v>
      </c>
      <c r="I1129" t="s">
        <v>37</v>
      </c>
      <c r="J1129" t="s">
        <v>25</v>
      </c>
      <c r="K1129" s="2">
        <v>42910</v>
      </c>
      <c r="L1129" s="2">
        <v>45562</v>
      </c>
      <c r="M1129" t="s">
        <v>38</v>
      </c>
      <c r="N1129">
        <v>53</v>
      </c>
      <c r="O1129" t="s">
        <v>25</v>
      </c>
      <c r="P1129">
        <v>4</v>
      </c>
      <c r="Q1129" s="1">
        <v>5.9</v>
      </c>
      <c r="R1129" s="2">
        <f t="shared" si="68"/>
        <v>2652</v>
      </c>
      <c r="S1129" s="1">
        <f t="shared" si="69"/>
        <v>6.180377534374272</v>
      </c>
      <c r="T1129" t="str">
        <f t="shared" si="70"/>
        <v>Expert</v>
      </c>
      <c r="U1129" t="str">
        <f t="shared" si="71"/>
        <v>Medium Impact</v>
      </c>
    </row>
    <row r="1130" spans="1:21" x14ac:dyDescent="0.3">
      <c r="A1130" t="s">
        <v>1275</v>
      </c>
      <c r="B1130">
        <v>30</v>
      </c>
      <c r="C1130" t="s">
        <v>18</v>
      </c>
      <c r="D1130" t="s">
        <v>19</v>
      </c>
      <c r="E1130" t="s">
        <v>41</v>
      </c>
      <c r="F1130" t="s">
        <v>55</v>
      </c>
      <c r="G1130">
        <v>7</v>
      </c>
      <c r="H1130" t="s">
        <v>22</v>
      </c>
      <c r="I1130" t="s">
        <v>22</v>
      </c>
      <c r="J1130" t="s">
        <v>23</v>
      </c>
      <c r="K1130" s="2">
        <v>77928</v>
      </c>
      <c r="L1130" s="2">
        <v>76519</v>
      </c>
      <c r="M1130" t="s">
        <v>38</v>
      </c>
      <c r="N1130">
        <v>42</v>
      </c>
      <c r="O1130" t="s">
        <v>23</v>
      </c>
      <c r="P1130">
        <v>8</v>
      </c>
      <c r="Q1130" s="1">
        <v>5.77</v>
      </c>
      <c r="R1130" s="2">
        <f t="shared" si="68"/>
        <v>-1409</v>
      </c>
      <c r="S1130" s="1">
        <f t="shared" si="69"/>
        <v>-1.8080792526434659</v>
      </c>
      <c r="T1130" t="str">
        <f t="shared" si="70"/>
        <v>Intermediate</v>
      </c>
      <c r="U1130" t="str">
        <f t="shared" si="71"/>
        <v>Medium Impact</v>
      </c>
    </row>
    <row r="1131" spans="1:21" x14ac:dyDescent="0.3">
      <c r="A1131" t="s">
        <v>1890</v>
      </c>
      <c r="B1131">
        <v>59</v>
      </c>
      <c r="C1131" t="s">
        <v>27</v>
      </c>
      <c r="D1131" t="s">
        <v>34</v>
      </c>
      <c r="E1131" t="s">
        <v>35</v>
      </c>
      <c r="F1131" t="s">
        <v>132</v>
      </c>
      <c r="G1131">
        <v>36</v>
      </c>
      <c r="H1131" t="s">
        <v>37</v>
      </c>
      <c r="I1131" t="s">
        <v>22</v>
      </c>
      <c r="J1131" t="s">
        <v>23</v>
      </c>
      <c r="K1131" s="2">
        <v>96332</v>
      </c>
      <c r="L1131" s="2">
        <v>103947</v>
      </c>
      <c r="M1131" t="s">
        <v>32</v>
      </c>
      <c r="N1131">
        <v>51</v>
      </c>
      <c r="O1131" t="s">
        <v>25</v>
      </c>
      <c r="P1131">
        <v>3</v>
      </c>
      <c r="Q1131" s="1">
        <v>5.67</v>
      </c>
      <c r="R1131" s="2">
        <f t="shared" si="68"/>
        <v>7615</v>
      </c>
      <c r="S1131" s="1">
        <f t="shared" si="69"/>
        <v>7.9049537017813396</v>
      </c>
      <c r="T1131" t="str">
        <f t="shared" si="70"/>
        <v>Expert</v>
      </c>
      <c r="U1131" t="str">
        <f t="shared" si="71"/>
        <v>Low Impact</v>
      </c>
    </row>
    <row r="1132" spans="1:21" x14ac:dyDescent="0.3">
      <c r="A1132" t="s">
        <v>1255</v>
      </c>
      <c r="B1132">
        <v>37</v>
      </c>
      <c r="C1132" t="s">
        <v>18</v>
      </c>
      <c r="D1132" t="s">
        <v>19</v>
      </c>
      <c r="E1132" t="s">
        <v>35</v>
      </c>
      <c r="F1132" t="s">
        <v>36</v>
      </c>
      <c r="G1132">
        <v>15</v>
      </c>
      <c r="H1132" t="s">
        <v>37</v>
      </c>
      <c r="I1132" t="s">
        <v>31</v>
      </c>
      <c r="J1132" t="s">
        <v>23</v>
      </c>
      <c r="K1132" s="2">
        <v>38859</v>
      </c>
      <c r="L1132" s="2">
        <v>38050</v>
      </c>
      <c r="M1132" t="s">
        <v>32</v>
      </c>
      <c r="N1132">
        <v>36</v>
      </c>
      <c r="O1132" t="s">
        <v>23</v>
      </c>
      <c r="P1132">
        <v>5</v>
      </c>
      <c r="Q1132" s="1">
        <v>5.65</v>
      </c>
      <c r="R1132" s="2">
        <f t="shared" si="68"/>
        <v>-809</v>
      </c>
      <c r="S1132" s="1">
        <f t="shared" si="69"/>
        <v>-2.0818857922231659</v>
      </c>
      <c r="T1132" t="str">
        <f t="shared" si="70"/>
        <v>Expert</v>
      </c>
      <c r="U1132" t="str">
        <f t="shared" si="71"/>
        <v>Low Impact</v>
      </c>
    </row>
    <row r="1133" spans="1:21" x14ac:dyDescent="0.3">
      <c r="A1133" t="s">
        <v>773</v>
      </c>
      <c r="B1133">
        <v>55</v>
      </c>
      <c r="C1133" t="s">
        <v>18</v>
      </c>
      <c r="D1133" t="s">
        <v>34</v>
      </c>
      <c r="E1133" t="s">
        <v>35</v>
      </c>
      <c r="F1133" t="s">
        <v>98</v>
      </c>
      <c r="G1133">
        <v>30</v>
      </c>
      <c r="H1133" t="s">
        <v>31</v>
      </c>
      <c r="I1133" t="s">
        <v>31</v>
      </c>
      <c r="J1133" t="s">
        <v>23</v>
      </c>
      <c r="K1133" s="2">
        <v>102742</v>
      </c>
      <c r="L1133" s="2">
        <v>107335</v>
      </c>
      <c r="M1133" t="s">
        <v>32</v>
      </c>
      <c r="N1133">
        <v>38</v>
      </c>
      <c r="O1133" t="s">
        <v>25</v>
      </c>
      <c r="P1133">
        <v>8</v>
      </c>
      <c r="Q1133" s="1">
        <v>5.58</v>
      </c>
      <c r="R1133" s="2">
        <f t="shared" si="68"/>
        <v>4593</v>
      </c>
      <c r="S1133" s="1">
        <f t="shared" si="69"/>
        <v>4.4704210546806564</v>
      </c>
      <c r="T1133" t="str">
        <f t="shared" si="70"/>
        <v>Expert</v>
      </c>
      <c r="U1133" t="str">
        <f t="shared" si="71"/>
        <v>Low Impact</v>
      </c>
    </row>
    <row r="1134" spans="1:21" x14ac:dyDescent="0.3">
      <c r="A1134" t="s">
        <v>2046</v>
      </c>
      <c r="B1134">
        <v>46</v>
      </c>
      <c r="C1134" t="s">
        <v>54</v>
      </c>
      <c r="D1134" t="s">
        <v>19</v>
      </c>
      <c r="E1134" t="s">
        <v>20</v>
      </c>
      <c r="F1134" t="s">
        <v>88</v>
      </c>
      <c r="G1134">
        <v>24</v>
      </c>
      <c r="H1134" t="s">
        <v>31</v>
      </c>
      <c r="I1134" t="s">
        <v>37</v>
      </c>
      <c r="J1134" t="s">
        <v>23</v>
      </c>
      <c r="K1134" s="2">
        <v>39461</v>
      </c>
      <c r="L1134" s="2">
        <v>42737</v>
      </c>
      <c r="M1134" t="s">
        <v>38</v>
      </c>
      <c r="N1134">
        <v>50</v>
      </c>
      <c r="O1134" t="s">
        <v>23</v>
      </c>
      <c r="P1134">
        <v>6</v>
      </c>
      <c r="Q1134" s="1">
        <v>5.57</v>
      </c>
      <c r="R1134" s="2">
        <f t="shared" si="68"/>
        <v>3276</v>
      </c>
      <c r="S1134" s="1">
        <f t="shared" si="69"/>
        <v>8.3018676668102689</v>
      </c>
      <c r="T1134" t="str">
        <f t="shared" si="70"/>
        <v>Expert</v>
      </c>
      <c r="U1134" t="str">
        <f t="shared" si="71"/>
        <v>Medium Impact</v>
      </c>
    </row>
    <row r="1135" spans="1:21" x14ac:dyDescent="0.3">
      <c r="A1135" t="s">
        <v>907</v>
      </c>
      <c r="B1135">
        <v>47</v>
      </c>
      <c r="C1135" t="s">
        <v>18</v>
      </c>
      <c r="D1135" t="s">
        <v>19</v>
      </c>
      <c r="E1135" t="s">
        <v>59</v>
      </c>
      <c r="F1135" t="s">
        <v>93</v>
      </c>
      <c r="G1135">
        <v>24</v>
      </c>
      <c r="H1135" t="s">
        <v>22</v>
      </c>
      <c r="I1135" t="s">
        <v>31</v>
      </c>
      <c r="J1135" t="s">
        <v>23</v>
      </c>
      <c r="K1135" s="2">
        <v>85421</v>
      </c>
      <c r="L1135" s="2">
        <v>80731</v>
      </c>
      <c r="M1135" t="s">
        <v>32</v>
      </c>
      <c r="N1135">
        <v>53</v>
      </c>
      <c r="O1135" t="s">
        <v>25</v>
      </c>
      <c r="P1135">
        <v>9</v>
      </c>
      <c r="Q1135" s="1">
        <v>5.56</v>
      </c>
      <c r="R1135" s="2">
        <f t="shared" si="68"/>
        <v>-4690</v>
      </c>
      <c r="S1135" s="1">
        <f t="shared" si="69"/>
        <v>-5.4904531672539534</v>
      </c>
      <c r="T1135" t="str">
        <f t="shared" si="70"/>
        <v>Expert</v>
      </c>
      <c r="U1135" t="str">
        <f t="shared" si="71"/>
        <v>Low Impact</v>
      </c>
    </row>
    <row r="1136" spans="1:21" x14ac:dyDescent="0.3">
      <c r="A1136" t="s">
        <v>50</v>
      </c>
      <c r="B1136">
        <v>57</v>
      </c>
      <c r="C1136" t="s">
        <v>27</v>
      </c>
      <c r="D1136" t="s">
        <v>19</v>
      </c>
      <c r="E1136" t="s">
        <v>51</v>
      </c>
      <c r="F1136" t="s">
        <v>52</v>
      </c>
      <c r="G1136">
        <v>34</v>
      </c>
      <c r="H1136" t="s">
        <v>31</v>
      </c>
      <c r="I1136" t="s">
        <v>22</v>
      </c>
      <c r="J1136" t="s">
        <v>25</v>
      </c>
      <c r="K1136" s="2">
        <v>99479</v>
      </c>
      <c r="L1136" s="2">
        <v>105776</v>
      </c>
      <c r="M1136" t="s">
        <v>32</v>
      </c>
      <c r="N1136">
        <v>44</v>
      </c>
      <c r="O1136" t="s">
        <v>23</v>
      </c>
      <c r="P1136">
        <v>6</v>
      </c>
      <c r="Q1136" s="1">
        <v>5.51</v>
      </c>
      <c r="R1136" s="2">
        <f t="shared" si="68"/>
        <v>6297</v>
      </c>
      <c r="S1136" s="1">
        <f t="shared" si="69"/>
        <v>6.3299791915881736</v>
      </c>
      <c r="T1136" t="str">
        <f t="shared" si="70"/>
        <v>Expert</v>
      </c>
      <c r="U1136" t="str">
        <f t="shared" si="71"/>
        <v>Low Impact</v>
      </c>
    </row>
    <row r="1137" spans="1:21" x14ac:dyDescent="0.3">
      <c r="A1137" t="s">
        <v>1187</v>
      </c>
      <c r="B1137">
        <v>27</v>
      </c>
      <c r="C1137" t="s">
        <v>54</v>
      </c>
      <c r="D1137" t="s">
        <v>19</v>
      </c>
      <c r="E1137" t="s">
        <v>44</v>
      </c>
      <c r="F1137" t="s">
        <v>57</v>
      </c>
      <c r="G1137">
        <v>4</v>
      </c>
      <c r="H1137" t="s">
        <v>37</v>
      </c>
      <c r="I1137" t="s">
        <v>37</v>
      </c>
      <c r="J1137" t="s">
        <v>25</v>
      </c>
      <c r="K1137" s="2">
        <v>32739</v>
      </c>
      <c r="L1137" s="2">
        <v>33232</v>
      </c>
      <c r="M1137" t="s">
        <v>38</v>
      </c>
      <c r="N1137">
        <v>51</v>
      </c>
      <c r="O1137" t="s">
        <v>25</v>
      </c>
      <c r="P1137">
        <v>3</v>
      </c>
      <c r="Q1137" s="1">
        <v>5.46</v>
      </c>
      <c r="R1137" s="2">
        <f t="shared" si="68"/>
        <v>493</v>
      </c>
      <c r="S1137" s="1">
        <f t="shared" si="69"/>
        <v>1.5058492928922691</v>
      </c>
      <c r="T1137" t="str">
        <f t="shared" si="70"/>
        <v>Beginner</v>
      </c>
      <c r="U1137" t="str">
        <f t="shared" si="71"/>
        <v>Medium Impact</v>
      </c>
    </row>
    <row r="1138" spans="1:21" x14ac:dyDescent="0.3">
      <c r="A1138" t="s">
        <v>228</v>
      </c>
      <c r="B1138">
        <v>47</v>
      </c>
      <c r="C1138" t="s">
        <v>54</v>
      </c>
      <c r="D1138" t="s">
        <v>19</v>
      </c>
      <c r="E1138" t="s">
        <v>29</v>
      </c>
      <c r="F1138" t="s">
        <v>30</v>
      </c>
      <c r="G1138">
        <v>21</v>
      </c>
      <c r="H1138" t="s">
        <v>37</v>
      </c>
      <c r="I1138" t="s">
        <v>22</v>
      </c>
      <c r="J1138" t="s">
        <v>23</v>
      </c>
      <c r="K1138" s="2">
        <v>119563</v>
      </c>
      <c r="L1138" s="2">
        <v>135258</v>
      </c>
      <c r="M1138" t="s">
        <v>32</v>
      </c>
      <c r="N1138">
        <v>36</v>
      </c>
      <c r="O1138" t="s">
        <v>23</v>
      </c>
      <c r="P1138">
        <v>6</v>
      </c>
      <c r="Q1138" s="1">
        <v>5.32</v>
      </c>
      <c r="R1138" s="2">
        <f t="shared" si="68"/>
        <v>15695</v>
      </c>
      <c r="S1138" s="1">
        <f t="shared" si="69"/>
        <v>13.126970718366049</v>
      </c>
      <c r="T1138" t="str">
        <f t="shared" si="70"/>
        <v>Expert</v>
      </c>
      <c r="U1138" t="str">
        <f t="shared" si="71"/>
        <v>Low Impact</v>
      </c>
    </row>
    <row r="1139" spans="1:21" x14ac:dyDescent="0.3">
      <c r="A1139" t="s">
        <v>727</v>
      </c>
      <c r="B1139">
        <v>27</v>
      </c>
      <c r="C1139" t="s">
        <v>54</v>
      </c>
      <c r="D1139" t="s">
        <v>34</v>
      </c>
      <c r="E1139" t="s">
        <v>20</v>
      </c>
      <c r="F1139" t="s">
        <v>21</v>
      </c>
      <c r="G1139">
        <v>1</v>
      </c>
      <c r="H1139" t="s">
        <v>22</v>
      </c>
      <c r="I1139" t="s">
        <v>22</v>
      </c>
      <c r="J1139" t="s">
        <v>25</v>
      </c>
      <c r="K1139" s="2">
        <v>43269</v>
      </c>
      <c r="L1139" s="2">
        <v>36603</v>
      </c>
      <c r="M1139" t="s">
        <v>38</v>
      </c>
      <c r="N1139">
        <v>36</v>
      </c>
      <c r="O1139" t="s">
        <v>25</v>
      </c>
      <c r="P1139">
        <v>4</v>
      </c>
      <c r="Q1139" s="1">
        <v>5.25</v>
      </c>
      <c r="R1139" s="2">
        <f t="shared" si="68"/>
        <v>-6666</v>
      </c>
      <c r="S1139" s="1">
        <f t="shared" si="69"/>
        <v>-15.405948831727104</v>
      </c>
      <c r="T1139" t="str">
        <f t="shared" si="70"/>
        <v>Beginner</v>
      </c>
      <c r="U1139" t="str">
        <f t="shared" si="71"/>
        <v>Medium Impact</v>
      </c>
    </row>
    <row r="1140" spans="1:21" x14ac:dyDescent="0.3">
      <c r="A1140" t="s">
        <v>1523</v>
      </c>
      <c r="B1140">
        <v>29</v>
      </c>
      <c r="C1140" t="s">
        <v>54</v>
      </c>
      <c r="D1140" t="s">
        <v>40</v>
      </c>
      <c r="E1140" t="s">
        <v>29</v>
      </c>
      <c r="F1140" t="s">
        <v>104</v>
      </c>
      <c r="G1140">
        <v>7</v>
      </c>
      <c r="H1140" t="s">
        <v>37</v>
      </c>
      <c r="I1140" t="s">
        <v>37</v>
      </c>
      <c r="J1140" t="s">
        <v>23</v>
      </c>
      <c r="K1140" s="2">
        <v>61655</v>
      </c>
      <c r="L1140" s="2">
        <v>64686</v>
      </c>
      <c r="M1140" t="s">
        <v>38</v>
      </c>
      <c r="N1140">
        <v>47</v>
      </c>
      <c r="O1140" t="s">
        <v>23</v>
      </c>
      <c r="P1140">
        <v>5</v>
      </c>
      <c r="Q1140" s="1">
        <v>5.2</v>
      </c>
      <c r="R1140" s="2">
        <f t="shared" si="68"/>
        <v>3031</v>
      </c>
      <c r="S1140" s="1">
        <f t="shared" si="69"/>
        <v>4.9160652015246127</v>
      </c>
      <c r="T1140" t="str">
        <f t="shared" si="70"/>
        <v>Intermediate</v>
      </c>
      <c r="U1140" t="str">
        <f t="shared" si="71"/>
        <v>Medium Impact</v>
      </c>
    </row>
    <row r="1141" spans="1:21" x14ac:dyDescent="0.3">
      <c r="A1141" t="s">
        <v>744</v>
      </c>
      <c r="B1141">
        <v>30</v>
      </c>
      <c r="C1141" t="s">
        <v>18</v>
      </c>
      <c r="D1141" t="s">
        <v>40</v>
      </c>
      <c r="E1141" t="s">
        <v>44</v>
      </c>
      <c r="F1141" t="s">
        <v>45</v>
      </c>
      <c r="G1141">
        <v>7</v>
      </c>
      <c r="H1141" t="s">
        <v>22</v>
      </c>
      <c r="I1141" t="s">
        <v>37</v>
      </c>
      <c r="J1141" t="s">
        <v>23</v>
      </c>
      <c r="K1141" s="2">
        <v>80258</v>
      </c>
      <c r="L1141" s="2">
        <v>106925</v>
      </c>
      <c r="M1141" t="s">
        <v>38</v>
      </c>
      <c r="N1141">
        <v>54</v>
      </c>
      <c r="O1141" t="s">
        <v>25</v>
      </c>
      <c r="P1141">
        <v>9</v>
      </c>
      <c r="Q1141" s="1">
        <v>5.19</v>
      </c>
      <c r="R1141" s="2">
        <f t="shared" si="68"/>
        <v>26667</v>
      </c>
      <c r="S1141" s="1">
        <f t="shared" si="69"/>
        <v>33.22659423359665</v>
      </c>
      <c r="T1141" t="str">
        <f t="shared" si="70"/>
        <v>Intermediate</v>
      </c>
      <c r="U1141" t="str">
        <f t="shared" si="71"/>
        <v>Medium Impact</v>
      </c>
    </row>
    <row r="1142" spans="1:21" x14ac:dyDescent="0.3">
      <c r="A1142" t="s">
        <v>1531</v>
      </c>
      <c r="B1142">
        <v>50</v>
      </c>
      <c r="C1142" t="s">
        <v>18</v>
      </c>
      <c r="D1142" t="s">
        <v>28</v>
      </c>
      <c r="E1142" t="s">
        <v>20</v>
      </c>
      <c r="F1142" t="s">
        <v>21</v>
      </c>
      <c r="G1142">
        <v>24</v>
      </c>
      <c r="H1142" t="s">
        <v>37</v>
      </c>
      <c r="I1142" t="s">
        <v>31</v>
      </c>
      <c r="J1142" t="s">
        <v>23</v>
      </c>
      <c r="K1142" s="2">
        <v>62844</v>
      </c>
      <c r="L1142" s="2">
        <v>58641</v>
      </c>
      <c r="M1142" t="s">
        <v>32</v>
      </c>
      <c r="N1142">
        <v>38</v>
      </c>
      <c r="O1142" t="s">
        <v>23</v>
      </c>
      <c r="P1142">
        <v>7</v>
      </c>
      <c r="Q1142" s="1">
        <v>5.17</v>
      </c>
      <c r="R1142" s="2">
        <f t="shared" si="68"/>
        <v>-4203</v>
      </c>
      <c r="S1142" s="1">
        <f t="shared" si="69"/>
        <v>-6.6879893068550702</v>
      </c>
      <c r="T1142" t="str">
        <f t="shared" si="70"/>
        <v>Expert</v>
      </c>
      <c r="U1142" t="str">
        <f t="shared" si="71"/>
        <v>Low Impact</v>
      </c>
    </row>
    <row r="1143" spans="1:21" x14ac:dyDescent="0.3">
      <c r="A1143" t="s">
        <v>681</v>
      </c>
      <c r="B1143">
        <v>52</v>
      </c>
      <c r="C1143" t="s">
        <v>18</v>
      </c>
      <c r="D1143" t="s">
        <v>28</v>
      </c>
      <c r="E1143" t="s">
        <v>29</v>
      </c>
      <c r="F1143" t="s">
        <v>30</v>
      </c>
      <c r="G1143">
        <v>29</v>
      </c>
      <c r="H1143" t="s">
        <v>31</v>
      </c>
      <c r="I1143" t="s">
        <v>37</v>
      </c>
      <c r="J1143" t="s">
        <v>23</v>
      </c>
      <c r="K1143" s="2">
        <v>60134</v>
      </c>
      <c r="L1143" s="2">
        <v>57641</v>
      </c>
      <c r="M1143" t="s">
        <v>38</v>
      </c>
      <c r="N1143">
        <v>43</v>
      </c>
      <c r="O1143" t="s">
        <v>25</v>
      </c>
      <c r="P1143">
        <v>8</v>
      </c>
      <c r="Q1143" s="1">
        <v>5.12</v>
      </c>
      <c r="R1143" s="2">
        <f t="shared" si="68"/>
        <v>-2493</v>
      </c>
      <c r="S1143" s="1">
        <f t="shared" si="69"/>
        <v>-4.1457411780357205</v>
      </c>
      <c r="T1143" t="str">
        <f t="shared" si="70"/>
        <v>Expert</v>
      </c>
      <c r="U1143" t="str">
        <f t="shared" si="71"/>
        <v>Medium Impact</v>
      </c>
    </row>
    <row r="1144" spans="1:21" x14ac:dyDescent="0.3">
      <c r="A1144" t="s">
        <v>244</v>
      </c>
      <c r="B1144">
        <v>54</v>
      </c>
      <c r="C1144" t="s">
        <v>54</v>
      </c>
      <c r="D1144" t="s">
        <v>28</v>
      </c>
      <c r="E1144" t="s">
        <v>20</v>
      </c>
      <c r="F1144" t="s">
        <v>118</v>
      </c>
      <c r="G1144">
        <v>28</v>
      </c>
      <c r="H1144" t="s">
        <v>31</v>
      </c>
      <c r="I1144" t="s">
        <v>22</v>
      </c>
      <c r="J1144" t="s">
        <v>23</v>
      </c>
      <c r="K1144" s="2">
        <v>109273</v>
      </c>
      <c r="L1144" s="2">
        <v>118178</v>
      </c>
      <c r="M1144" t="s">
        <v>32</v>
      </c>
      <c r="N1144">
        <v>37</v>
      </c>
      <c r="O1144" t="s">
        <v>25</v>
      </c>
      <c r="P1144">
        <v>4</v>
      </c>
      <c r="Q1144" s="1">
        <v>5.05</v>
      </c>
      <c r="R1144" s="2">
        <f t="shared" si="68"/>
        <v>8905</v>
      </c>
      <c r="S1144" s="1">
        <f t="shared" si="69"/>
        <v>8.1493141032093934</v>
      </c>
      <c r="T1144" t="str">
        <f t="shared" si="70"/>
        <v>Expert</v>
      </c>
      <c r="U1144" t="str">
        <f t="shared" si="71"/>
        <v>Low Impact</v>
      </c>
    </row>
    <row r="1145" spans="1:21" x14ac:dyDescent="0.3">
      <c r="A1145" t="s">
        <v>250</v>
      </c>
      <c r="B1145">
        <v>58</v>
      </c>
      <c r="C1145" t="s">
        <v>27</v>
      </c>
      <c r="D1145" t="s">
        <v>40</v>
      </c>
      <c r="E1145" t="s">
        <v>29</v>
      </c>
      <c r="F1145" t="s">
        <v>102</v>
      </c>
      <c r="G1145">
        <v>32</v>
      </c>
      <c r="H1145" t="s">
        <v>31</v>
      </c>
      <c r="I1145" t="s">
        <v>31</v>
      </c>
      <c r="J1145" t="s">
        <v>25</v>
      </c>
      <c r="K1145" s="2">
        <v>75028</v>
      </c>
      <c r="L1145" s="2">
        <v>72282</v>
      </c>
      <c r="M1145" t="s">
        <v>32</v>
      </c>
      <c r="N1145">
        <v>48</v>
      </c>
      <c r="O1145" t="s">
        <v>25</v>
      </c>
      <c r="P1145">
        <v>5</v>
      </c>
      <c r="Q1145" s="1">
        <v>5.05</v>
      </c>
      <c r="R1145" s="2">
        <f t="shared" si="68"/>
        <v>-2746</v>
      </c>
      <c r="S1145" s="1">
        <f t="shared" si="69"/>
        <v>-3.6599669456736148</v>
      </c>
      <c r="T1145" t="str">
        <f t="shared" si="70"/>
        <v>Expert</v>
      </c>
      <c r="U1145" t="str">
        <f t="shared" si="71"/>
        <v>Low Impact</v>
      </c>
    </row>
    <row r="1146" spans="1:21" x14ac:dyDescent="0.3">
      <c r="A1146" t="s">
        <v>1902</v>
      </c>
      <c r="B1146">
        <v>22</v>
      </c>
      <c r="C1146" t="s">
        <v>18</v>
      </c>
      <c r="D1146" t="s">
        <v>40</v>
      </c>
      <c r="E1146" t="s">
        <v>59</v>
      </c>
      <c r="F1146" t="s">
        <v>60</v>
      </c>
      <c r="G1146">
        <v>0</v>
      </c>
      <c r="H1146" t="s">
        <v>31</v>
      </c>
      <c r="I1146" t="s">
        <v>31</v>
      </c>
      <c r="J1146" t="s">
        <v>25</v>
      </c>
      <c r="K1146" s="2">
        <v>68862</v>
      </c>
      <c r="L1146" s="2">
        <v>74956</v>
      </c>
      <c r="M1146" t="s">
        <v>32</v>
      </c>
      <c r="N1146">
        <v>48</v>
      </c>
      <c r="O1146" t="s">
        <v>25</v>
      </c>
      <c r="P1146">
        <v>8</v>
      </c>
      <c r="Q1146" s="1">
        <v>5.04</v>
      </c>
      <c r="R1146" s="2">
        <f t="shared" si="68"/>
        <v>6094</v>
      </c>
      <c r="S1146" s="1">
        <f t="shared" si="69"/>
        <v>8.8495832244198542</v>
      </c>
      <c r="T1146" t="str">
        <f t="shared" si="70"/>
        <v>Beginner</v>
      </c>
      <c r="U1146" t="str">
        <f t="shared" si="71"/>
        <v>Low Impact</v>
      </c>
    </row>
    <row r="1147" spans="1:21" x14ac:dyDescent="0.3">
      <c r="A1147" t="s">
        <v>1568</v>
      </c>
      <c r="B1147">
        <v>32</v>
      </c>
      <c r="C1147" t="s">
        <v>27</v>
      </c>
      <c r="D1147" t="s">
        <v>19</v>
      </c>
      <c r="E1147" t="s">
        <v>41</v>
      </c>
      <c r="F1147" t="s">
        <v>49</v>
      </c>
      <c r="G1147">
        <v>10</v>
      </c>
      <c r="H1147" t="s">
        <v>31</v>
      </c>
      <c r="I1147" t="s">
        <v>37</v>
      </c>
      <c r="J1147" t="s">
        <v>23</v>
      </c>
      <c r="K1147" s="2">
        <v>63717</v>
      </c>
      <c r="L1147" s="2">
        <v>67093</v>
      </c>
      <c r="M1147" t="s">
        <v>38</v>
      </c>
      <c r="N1147">
        <v>39</v>
      </c>
      <c r="O1147" t="s">
        <v>25</v>
      </c>
      <c r="P1147">
        <v>9</v>
      </c>
      <c r="Q1147" s="1">
        <v>5</v>
      </c>
      <c r="R1147" s="2">
        <f t="shared" si="68"/>
        <v>3376</v>
      </c>
      <c r="S1147" s="1">
        <f t="shared" si="69"/>
        <v>5.2984289906932212</v>
      </c>
      <c r="T1147" t="str">
        <f t="shared" si="70"/>
        <v>Intermediate</v>
      </c>
      <c r="U1147" t="str">
        <f t="shared" si="71"/>
        <v>Medium Impact</v>
      </c>
    </row>
    <row r="1148" spans="1:21" x14ac:dyDescent="0.3">
      <c r="A1148" t="s">
        <v>1718</v>
      </c>
      <c r="B1148">
        <v>39</v>
      </c>
      <c r="C1148" t="s">
        <v>27</v>
      </c>
      <c r="D1148" t="s">
        <v>28</v>
      </c>
      <c r="E1148" t="s">
        <v>44</v>
      </c>
      <c r="F1148" t="s">
        <v>57</v>
      </c>
      <c r="G1148">
        <v>14</v>
      </c>
      <c r="H1148" t="s">
        <v>37</v>
      </c>
      <c r="I1148" t="s">
        <v>22</v>
      </c>
      <c r="J1148" t="s">
        <v>25</v>
      </c>
      <c r="K1148" s="2">
        <v>31214</v>
      </c>
      <c r="L1148" s="2">
        <v>31781</v>
      </c>
      <c r="M1148" t="s">
        <v>32</v>
      </c>
      <c r="N1148">
        <v>44</v>
      </c>
      <c r="O1148" t="s">
        <v>25</v>
      </c>
      <c r="P1148">
        <v>6</v>
      </c>
      <c r="Q1148" s="1">
        <v>4.9800000000000004</v>
      </c>
      <c r="R1148" s="2">
        <f t="shared" si="68"/>
        <v>567</v>
      </c>
      <c r="S1148" s="1">
        <f t="shared" si="69"/>
        <v>1.8164925994745946</v>
      </c>
      <c r="T1148" t="str">
        <f t="shared" si="70"/>
        <v>Intermediate</v>
      </c>
      <c r="U1148" t="str">
        <f t="shared" si="71"/>
        <v>Low Impact</v>
      </c>
    </row>
    <row r="1149" spans="1:21" x14ac:dyDescent="0.3">
      <c r="A1149" t="s">
        <v>296</v>
      </c>
      <c r="B1149">
        <v>28</v>
      </c>
      <c r="C1149" t="s">
        <v>18</v>
      </c>
      <c r="D1149" t="s">
        <v>34</v>
      </c>
      <c r="E1149" t="s">
        <v>41</v>
      </c>
      <c r="F1149" t="s">
        <v>55</v>
      </c>
      <c r="G1149">
        <v>3</v>
      </c>
      <c r="H1149" t="s">
        <v>37</v>
      </c>
      <c r="I1149" t="s">
        <v>31</v>
      </c>
      <c r="J1149" t="s">
        <v>25</v>
      </c>
      <c r="K1149" s="2">
        <v>102541</v>
      </c>
      <c r="L1149" s="2">
        <v>121842</v>
      </c>
      <c r="M1149" t="s">
        <v>32</v>
      </c>
      <c r="N1149">
        <v>54</v>
      </c>
      <c r="O1149" t="s">
        <v>23</v>
      </c>
      <c r="P1149">
        <v>7</v>
      </c>
      <c r="Q1149" s="1">
        <v>4.95</v>
      </c>
      <c r="R1149" s="2">
        <f t="shared" si="68"/>
        <v>19301</v>
      </c>
      <c r="S1149" s="1">
        <f t="shared" si="69"/>
        <v>18.82271481651242</v>
      </c>
      <c r="T1149" t="str">
        <f t="shared" si="70"/>
        <v>Beginner</v>
      </c>
      <c r="U1149" t="str">
        <f t="shared" si="71"/>
        <v>Low Impact</v>
      </c>
    </row>
    <row r="1150" spans="1:21" x14ac:dyDescent="0.3">
      <c r="A1150" t="s">
        <v>1882</v>
      </c>
      <c r="B1150">
        <v>40</v>
      </c>
      <c r="C1150" t="s">
        <v>27</v>
      </c>
      <c r="D1150" t="s">
        <v>19</v>
      </c>
      <c r="E1150" t="s">
        <v>51</v>
      </c>
      <c r="F1150" t="s">
        <v>130</v>
      </c>
      <c r="G1150">
        <v>18</v>
      </c>
      <c r="H1150" t="s">
        <v>22</v>
      </c>
      <c r="I1150" t="s">
        <v>37</v>
      </c>
      <c r="J1150" t="s">
        <v>23</v>
      </c>
      <c r="K1150" s="2">
        <v>30434</v>
      </c>
      <c r="L1150" s="2">
        <v>28954</v>
      </c>
      <c r="M1150" t="s">
        <v>38</v>
      </c>
      <c r="N1150">
        <v>39</v>
      </c>
      <c r="O1150" t="s">
        <v>23</v>
      </c>
      <c r="P1150">
        <v>8</v>
      </c>
      <c r="Q1150" s="1">
        <v>4.88</v>
      </c>
      <c r="R1150" s="2">
        <f t="shared" si="68"/>
        <v>-1480</v>
      </c>
      <c r="S1150" s="1">
        <f t="shared" si="69"/>
        <v>-4.8629821909706248</v>
      </c>
      <c r="T1150" t="str">
        <f t="shared" si="70"/>
        <v>Expert</v>
      </c>
      <c r="U1150" t="str">
        <f t="shared" si="71"/>
        <v>Medium Impact</v>
      </c>
    </row>
    <row r="1151" spans="1:21" x14ac:dyDescent="0.3">
      <c r="A1151" t="s">
        <v>664</v>
      </c>
      <c r="B1151">
        <v>40</v>
      </c>
      <c r="C1151" t="s">
        <v>27</v>
      </c>
      <c r="D1151" t="s">
        <v>34</v>
      </c>
      <c r="E1151" t="s">
        <v>20</v>
      </c>
      <c r="F1151" t="s">
        <v>88</v>
      </c>
      <c r="G1151">
        <v>18</v>
      </c>
      <c r="H1151" t="s">
        <v>31</v>
      </c>
      <c r="I1151" t="s">
        <v>31</v>
      </c>
      <c r="J1151" t="s">
        <v>23</v>
      </c>
      <c r="K1151" s="2">
        <v>94575</v>
      </c>
      <c r="L1151" s="2">
        <v>101340</v>
      </c>
      <c r="M1151" t="s">
        <v>32</v>
      </c>
      <c r="N1151">
        <v>42</v>
      </c>
      <c r="O1151" t="s">
        <v>25</v>
      </c>
      <c r="P1151">
        <v>6</v>
      </c>
      <c r="Q1151" s="1">
        <v>4.83</v>
      </c>
      <c r="R1151" s="2">
        <f t="shared" si="68"/>
        <v>6765</v>
      </c>
      <c r="S1151" s="1">
        <f t="shared" si="69"/>
        <v>7.1530531324345752</v>
      </c>
      <c r="T1151" t="str">
        <f t="shared" si="70"/>
        <v>Expert</v>
      </c>
      <c r="U1151" t="str">
        <f t="shared" si="71"/>
        <v>Low Impact</v>
      </c>
    </row>
    <row r="1152" spans="1:21" x14ac:dyDescent="0.3">
      <c r="A1152" t="s">
        <v>331</v>
      </c>
      <c r="B1152">
        <v>57</v>
      </c>
      <c r="C1152" t="s">
        <v>27</v>
      </c>
      <c r="D1152" t="s">
        <v>34</v>
      </c>
      <c r="E1152" t="s">
        <v>35</v>
      </c>
      <c r="F1152" t="s">
        <v>36</v>
      </c>
      <c r="G1152">
        <v>34</v>
      </c>
      <c r="H1152" t="s">
        <v>22</v>
      </c>
      <c r="I1152" t="s">
        <v>37</v>
      </c>
      <c r="J1152" t="s">
        <v>23</v>
      </c>
      <c r="K1152" s="2">
        <v>42289</v>
      </c>
      <c r="L1152" s="2">
        <v>40748</v>
      </c>
      <c r="M1152" t="s">
        <v>38</v>
      </c>
      <c r="N1152">
        <v>45</v>
      </c>
      <c r="O1152" t="s">
        <v>25</v>
      </c>
      <c r="P1152">
        <v>9</v>
      </c>
      <c r="Q1152" s="1">
        <v>4.8099999999999996</v>
      </c>
      <c r="R1152" s="2">
        <f t="shared" si="68"/>
        <v>-1541</v>
      </c>
      <c r="S1152" s="1">
        <f t="shared" si="69"/>
        <v>-3.6439736101586697</v>
      </c>
      <c r="T1152" t="str">
        <f t="shared" si="70"/>
        <v>Expert</v>
      </c>
      <c r="U1152" t="str">
        <f t="shared" si="71"/>
        <v>Medium Impact</v>
      </c>
    </row>
    <row r="1153" spans="1:21" x14ac:dyDescent="0.3">
      <c r="A1153" t="s">
        <v>1436</v>
      </c>
      <c r="B1153">
        <v>44</v>
      </c>
      <c r="C1153" t="s">
        <v>27</v>
      </c>
      <c r="D1153" t="s">
        <v>19</v>
      </c>
      <c r="E1153" t="s">
        <v>35</v>
      </c>
      <c r="F1153" t="s">
        <v>98</v>
      </c>
      <c r="G1153">
        <v>19</v>
      </c>
      <c r="H1153" t="s">
        <v>22</v>
      </c>
      <c r="I1153" t="s">
        <v>22</v>
      </c>
      <c r="J1153" t="s">
        <v>25</v>
      </c>
      <c r="K1153" s="2">
        <v>78591</v>
      </c>
      <c r="L1153" s="2">
        <v>104399</v>
      </c>
      <c r="M1153" t="s">
        <v>24</v>
      </c>
      <c r="N1153">
        <v>37</v>
      </c>
      <c r="O1153" t="s">
        <v>23</v>
      </c>
      <c r="P1153">
        <v>9</v>
      </c>
      <c r="Q1153" s="1">
        <v>4.7699999999999996</v>
      </c>
      <c r="R1153" s="2">
        <f t="shared" si="68"/>
        <v>25808</v>
      </c>
      <c r="S1153" s="1">
        <f t="shared" si="69"/>
        <v>32.838365716176156</v>
      </c>
      <c r="T1153" t="str">
        <f t="shared" si="70"/>
        <v>Expert</v>
      </c>
      <c r="U1153" t="str">
        <f t="shared" si="71"/>
        <v>High Impact</v>
      </c>
    </row>
    <row r="1154" spans="1:21" x14ac:dyDescent="0.3">
      <c r="A1154" t="s">
        <v>800</v>
      </c>
      <c r="B1154">
        <v>53</v>
      </c>
      <c r="C1154" t="s">
        <v>18</v>
      </c>
      <c r="D1154" t="s">
        <v>34</v>
      </c>
      <c r="E1154" t="s">
        <v>35</v>
      </c>
      <c r="F1154" t="s">
        <v>132</v>
      </c>
      <c r="G1154">
        <v>31</v>
      </c>
      <c r="H1154" t="s">
        <v>22</v>
      </c>
      <c r="I1154" t="s">
        <v>22</v>
      </c>
      <c r="J1154" t="s">
        <v>23</v>
      </c>
      <c r="K1154" s="2">
        <v>109878</v>
      </c>
      <c r="L1154" s="2">
        <v>117845</v>
      </c>
      <c r="M1154" t="s">
        <v>38</v>
      </c>
      <c r="N1154">
        <v>43</v>
      </c>
      <c r="O1154" t="s">
        <v>25</v>
      </c>
      <c r="P1154">
        <v>9</v>
      </c>
      <c r="Q1154" s="1">
        <v>4.74</v>
      </c>
      <c r="R1154" s="2">
        <f t="shared" ref="R1154:R1217" si="72">L1154-K1154</f>
        <v>7967</v>
      </c>
      <c r="S1154" s="1">
        <f t="shared" ref="S1154:S1217" si="73">(L1154-K1154)/K1154*100</f>
        <v>7.2507690347476297</v>
      </c>
      <c r="T1154" t="str">
        <f t="shared" ref="T1154:T1217" si="74">IF(G1154&lt;5,"Beginner",IF(G1154&lt;15,"Intermediate","Expert"))</f>
        <v>Expert</v>
      </c>
      <c r="U1154" t="str">
        <f t="shared" ref="U1154:U1217" si="75">IF(M1154="Replaced","High Impact",IF(M1154="Modified","Medium Impact","Low Impact"))</f>
        <v>Medium Impact</v>
      </c>
    </row>
    <row r="1155" spans="1:21" x14ac:dyDescent="0.3">
      <c r="A1155" t="s">
        <v>841</v>
      </c>
      <c r="B1155">
        <v>41</v>
      </c>
      <c r="C1155" t="s">
        <v>27</v>
      </c>
      <c r="D1155" t="s">
        <v>19</v>
      </c>
      <c r="E1155" t="s">
        <v>29</v>
      </c>
      <c r="F1155" t="s">
        <v>104</v>
      </c>
      <c r="G1155">
        <v>17</v>
      </c>
      <c r="H1155" t="s">
        <v>37</v>
      </c>
      <c r="I1155" t="s">
        <v>37</v>
      </c>
      <c r="J1155" t="s">
        <v>23</v>
      </c>
      <c r="K1155" s="2">
        <v>59320</v>
      </c>
      <c r="L1155" s="2">
        <v>66641</v>
      </c>
      <c r="M1155" t="s">
        <v>38</v>
      </c>
      <c r="N1155">
        <v>42</v>
      </c>
      <c r="O1155" t="s">
        <v>25</v>
      </c>
      <c r="P1155">
        <v>7</v>
      </c>
      <c r="Q1155" s="1">
        <v>4.74</v>
      </c>
      <c r="R1155" s="2">
        <f t="shared" si="72"/>
        <v>7321</v>
      </c>
      <c r="S1155" s="1">
        <f t="shared" si="73"/>
        <v>12.341537424140256</v>
      </c>
      <c r="T1155" t="str">
        <f t="shared" si="74"/>
        <v>Expert</v>
      </c>
      <c r="U1155" t="str">
        <f t="shared" si="75"/>
        <v>Medium Impact</v>
      </c>
    </row>
    <row r="1156" spans="1:21" x14ac:dyDescent="0.3">
      <c r="A1156" t="s">
        <v>377</v>
      </c>
      <c r="B1156">
        <v>36</v>
      </c>
      <c r="C1156" t="s">
        <v>18</v>
      </c>
      <c r="D1156" t="s">
        <v>34</v>
      </c>
      <c r="E1156" t="s">
        <v>59</v>
      </c>
      <c r="F1156" t="s">
        <v>60</v>
      </c>
      <c r="G1156">
        <v>12</v>
      </c>
      <c r="H1156" t="s">
        <v>31</v>
      </c>
      <c r="I1156" t="s">
        <v>31</v>
      </c>
      <c r="J1156" t="s">
        <v>25</v>
      </c>
      <c r="K1156" s="2">
        <v>94027</v>
      </c>
      <c r="L1156" s="2">
        <v>94330</v>
      </c>
      <c r="M1156" t="s">
        <v>32</v>
      </c>
      <c r="N1156">
        <v>39</v>
      </c>
      <c r="O1156" t="s">
        <v>25</v>
      </c>
      <c r="P1156">
        <v>8</v>
      </c>
      <c r="Q1156" s="1">
        <v>4.7300000000000004</v>
      </c>
      <c r="R1156" s="2">
        <f t="shared" si="72"/>
        <v>303</v>
      </c>
      <c r="S1156" s="1">
        <f t="shared" si="73"/>
        <v>0.322247864974954</v>
      </c>
      <c r="T1156" t="str">
        <f t="shared" si="74"/>
        <v>Intermediate</v>
      </c>
      <c r="U1156" t="str">
        <f t="shared" si="75"/>
        <v>Low Impact</v>
      </c>
    </row>
    <row r="1157" spans="1:21" x14ac:dyDescent="0.3">
      <c r="A1157" t="s">
        <v>1213</v>
      </c>
      <c r="B1157">
        <v>32</v>
      </c>
      <c r="C1157" t="s">
        <v>54</v>
      </c>
      <c r="D1157" t="s">
        <v>28</v>
      </c>
      <c r="E1157" t="s">
        <v>44</v>
      </c>
      <c r="F1157" t="s">
        <v>45</v>
      </c>
      <c r="G1157">
        <v>7</v>
      </c>
      <c r="H1157" t="s">
        <v>31</v>
      </c>
      <c r="I1157" t="s">
        <v>22</v>
      </c>
      <c r="J1157" t="s">
        <v>23</v>
      </c>
      <c r="K1157" s="2">
        <v>65825</v>
      </c>
      <c r="L1157" s="2">
        <v>69440</v>
      </c>
      <c r="M1157" t="s">
        <v>32</v>
      </c>
      <c r="N1157">
        <v>54</v>
      </c>
      <c r="O1157" t="s">
        <v>25</v>
      </c>
      <c r="P1157">
        <v>9</v>
      </c>
      <c r="Q1157" s="1">
        <v>4.72</v>
      </c>
      <c r="R1157" s="2">
        <f t="shared" si="72"/>
        <v>3615</v>
      </c>
      <c r="S1157" s="1">
        <f t="shared" si="73"/>
        <v>5.4918344094189138</v>
      </c>
      <c r="T1157" t="str">
        <f t="shared" si="74"/>
        <v>Intermediate</v>
      </c>
      <c r="U1157" t="str">
        <f t="shared" si="75"/>
        <v>Low Impact</v>
      </c>
    </row>
    <row r="1158" spans="1:21" x14ac:dyDescent="0.3">
      <c r="A1158" t="s">
        <v>1003</v>
      </c>
      <c r="B1158">
        <v>26</v>
      </c>
      <c r="C1158" t="s">
        <v>18</v>
      </c>
      <c r="D1158" t="s">
        <v>28</v>
      </c>
      <c r="E1158" t="s">
        <v>41</v>
      </c>
      <c r="F1158" t="s">
        <v>42</v>
      </c>
      <c r="G1158">
        <v>1</v>
      </c>
      <c r="H1158" t="s">
        <v>22</v>
      </c>
      <c r="I1158" t="s">
        <v>31</v>
      </c>
      <c r="J1158" t="s">
        <v>25</v>
      </c>
      <c r="K1158" s="2">
        <v>36523</v>
      </c>
      <c r="L1158" s="2">
        <v>50582</v>
      </c>
      <c r="M1158" t="s">
        <v>32</v>
      </c>
      <c r="N1158">
        <v>44</v>
      </c>
      <c r="O1158" t="s">
        <v>23</v>
      </c>
      <c r="P1158">
        <v>9</v>
      </c>
      <c r="Q1158" s="1">
        <v>4.67</v>
      </c>
      <c r="R1158" s="2">
        <f t="shared" si="72"/>
        <v>14059</v>
      </c>
      <c r="S1158" s="1">
        <f t="shared" si="73"/>
        <v>38.493552008323526</v>
      </c>
      <c r="T1158" t="str">
        <f t="shared" si="74"/>
        <v>Beginner</v>
      </c>
      <c r="U1158" t="str">
        <f t="shared" si="75"/>
        <v>Low Impact</v>
      </c>
    </row>
    <row r="1159" spans="1:21" x14ac:dyDescent="0.3">
      <c r="A1159" t="s">
        <v>1455</v>
      </c>
      <c r="B1159">
        <v>44</v>
      </c>
      <c r="C1159" t="s">
        <v>27</v>
      </c>
      <c r="D1159" t="s">
        <v>40</v>
      </c>
      <c r="E1159" t="s">
        <v>35</v>
      </c>
      <c r="F1159" t="s">
        <v>98</v>
      </c>
      <c r="G1159">
        <v>20</v>
      </c>
      <c r="H1159" t="s">
        <v>22</v>
      </c>
      <c r="I1159" t="s">
        <v>37</v>
      </c>
      <c r="J1159" t="s">
        <v>25</v>
      </c>
      <c r="K1159" s="2">
        <v>50895</v>
      </c>
      <c r="L1159" s="2">
        <v>65186</v>
      </c>
      <c r="M1159" t="s">
        <v>38</v>
      </c>
      <c r="N1159">
        <v>54</v>
      </c>
      <c r="O1159" t="s">
        <v>25</v>
      </c>
      <c r="P1159">
        <v>5</v>
      </c>
      <c r="Q1159" s="1">
        <v>4.63</v>
      </c>
      <c r="R1159" s="2">
        <f t="shared" si="72"/>
        <v>14291</v>
      </c>
      <c r="S1159" s="1">
        <f t="shared" si="73"/>
        <v>28.079379113861876</v>
      </c>
      <c r="T1159" t="str">
        <f t="shared" si="74"/>
        <v>Expert</v>
      </c>
      <c r="U1159" t="str">
        <f t="shared" si="75"/>
        <v>Medium Impact</v>
      </c>
    </row>
    <row r="1160" spans="1:21" x14ac:dyDescent="0.3">
      <c r="A1160" t="s">
        <v>1205</v>
      </c>
      <c r="B1160">
        <v>36</v>
      </c>
      <c r="C1160" t="s">
        <v>27</v>
      </c>
      <c r="D1160" t="s">
        <v>34</v>
      </c>
      <c r="E1160" t="s">
        <v>51</v>
      </c>
      <c r="F1160" t="s">
        <v>130</v>
      </c>
      <c r="G1160">
        <v>11</v>
      </c>
      <c r="H1160" t="s">
        <v>31</v>
      </c>
      <c r="I1160" t="s">
        <v>31</v>
      </c>
      <c r="J1160" t="s">
        <v>23</v>
      </c>
      <c r="K1160" s="2">
        <v>115193</v>
      </c>
      <c r="L1160" s="2">
        <v>120995</v>
      </c>
      <c r="M1160" t="s">
        <v>32</v>
      </c>
      <c r="N1160">
        <v>47</v>
      </c>
      <c r="O1160" t="s">
        <v>25</v>
      </c>
      <c r="P1160">
        <v>3</v>
      </c>
      <c r="Q1160" s="1">
        <v>4.62</v>
      </c>
      <c r="R1160" s="2">
        <f t="shared" si="72"/>
        <v>5802</v>
      </c>
      <c r="S1160" s="1">
        <f t="shared" si="73"/>
        <v>5.0367643867248884</v>
      </c>
      <c r="T1160" t="str">
        <f t="shared" si="74"/>
        <v>Intermediate</v>
      </c>
      <c r="U1160" t="str">
        <f t="shared" si="75"/>
        <v>Low Impact</v>
      </c>
    </row>
    <row r="1161" spans="1:21" x14ac:dyDescent="0.3">
      <c r="A1161" t="s">
        <v>1935</v>
      </c>
      <c r="B1161">
        <v>22</v>
      </c>
      <c r="C1161" t="s">
        <v>18</v>
      </c>
      <c r="D1161" t="s">
        <v>40</v>
      </c>
      <c r="E1161" t="s">
        <v>59</v>
      </c>
      <c r="F1161" t="s">
        <v>77</v>
      </c>
      <c r="G1161">
        <v>0</v>
      </c>
      <c r="H1161" t="s">
        <v>22</v>
      </c>
      <c r="I1161" t="s">
        <v>37</v>
      </c>
      <c r="J1161" t="s">
        <v>23</v>
      </c>
      <c r="K1161" s="2">
        <v>88473</v>
      </c>
      <c r="L1161" s="2">
        <v>88873</v>
      </c>
      <c r="M1161" t="s">
        <v>38</v>
      </c>
      <c r="N1161">
        <v>41</v>
      </c>
      <c r="O1161" t="s">
        <v>25</v>
      </c>
      <c r="P1161">
        <v>6</v>
      </c>
      <c r="Q1161" s="1">
        <v>4.51</v>
      </c>
      <c r="R1161" s="2">
        <f t="shared" si="72"/>
        <v>400</v>
      </c>
      <c r="S1161" s="1">
        <f t="shared" si="73"/>
        <v>0.45211533462186204</v>
      </c>
      <c r="T1161" t="str">
        <f t="shared" si="74"/>
        <v>Beginner</v>
      </c>
      <c r="U1161" t="str">
        <f t="shared" si="75"/>
        <v>Medium Impact</v>
      </c>
    </row>
    <row r="1162" spans="1:21" x14ac:dyDescent="0.3">
      <c r="A1162" t="s">
        <v>441</v>
      </c>
      <c r="B1162">
        <v>46</v>
      </c>
      <c r="C1162" t="s">
        <v>18</v>
      </c>
      <c r="D1162" t="s">
        <v>28</v>
      </c>
      <c r="E1162" t="s">
        <v>41</v>
      </c>
      <c r="F1162" t="s">
        <v>49</v>
      </c>
      <c r="G1162">
        <v>20</v>
      </c>
      <c r="H1162" t="s">
        <v>31</v>
      </c>
      <c r="I1162" t="s">
        <v>22</v>
      </c>
      <c r="J1162" t="s">
        <v>23</v>
      </c>
      <c r="K1162" s="2">
        <v>101906</v>
      </c>
      <c r="L1162" s="2">
        <v>108476</v>
      </c>
      <c r="M1162" t="s">
        <v>32</v>
      </c>
      <c r="N1162">
        <v>54</v>
      </c>
      <c r="O1162" t="s">
        <v>25</v>
      </c>
      <c r="P1162">
        <v>8</v>
      </c>
      <c r="Q1162" s="1">
        <v>4.5</v>
      </c>
      <c r="R1162" s="2">
        <f t="shared" si="72"/>
        <v>6570</v>
      </c>
      <c r="S1162" s="1">
        <f t="shared" si="73"/>
        <v>6.4471179322120387</v>
      </c>
      <c r="T1162" t="str">
        <f t="shared" si="74"/>
        <v>Expert</v>
      </c>
      <c r="U1162" t="str">
        <f t="shared" si="75"/>
        <v>Low Impact</v>
      </c>
    </row>
    <row r="1163" spans="1:21" x14ac:dyDescent="0.3">
      <c r="A1163" t="s">
        <v>599</v>
      </c>
      <c r="B1163">
        <v>43</v>
      </c>
      <c r="C1163" t="s">
        <v>54</v>
      </c>
      <c r="D1163" t="s">
        <v>40</v>
      </c>
      <c r="E1163" t="s">
        <v>44</v>
      </c>
      <c r="F1163" t="s">
        <v>57</v>
      </c>
      <c r="G1163">
        <v>18</v>
      </c>
      <c r="H1163" t="s">
        <v>37</v>
      </c>
      <c r="I1163" t="s">
        <v>31</v>
      </c>
      <c r="J1163" t="s">
        <v>23</v>
      </c>
      <c r="K1163" s="2">
        <v>114381</v>
      </c>
      <c r="L1163" s="2">
        <v>126280</v>
      </c>
      <c r="M1163" t="s">
        <v>32</v>
      </c>
      <c r="N1163">
        <v>51</v>
      </c>
      <c r="O1163" t="s">
        <v>23</v>
      </c>
      <c r="P1163">
        <v>7</v>
      </c>
      <c r="Q1163" s="1">
        <v>4.49</v>
      </c>
      <c r="R1163" s="2">
        <f t="shared" si="72"/>
        <v>11899</v>
      </c>
      <c r="S1163" s="1">
        <f t="shared" si="73"/>
        <v>10.40295153915423</v>
      </c>
      <c r="T1163" t="str">
        <f t="shared" si="74"/>
        <v>Expert</v>
      </c>
      <c r="U1163" t="str">
        <f t="shared" si="75"/>
        <v>Low Impact</v>
      </c>
    </row>
    <row r="1164" spans="1:21" x14ac:dyDescent="0.3">
      <c r="A1164" t="s">
        <v>495</v>
      </c>
      <c r="B1164">
        <v>38</v>
      </c>
      <c r="C1164" t="s">
        <v>54</v>
      </c>
      <c r="D1164" t="s">
        <v>28</v>
      </c>
      <c r="E1164" t="s">
        <v>44</v>
      </c>
      <c r="F1164" t="s">
        <v>47</v>
      </c>
      <c r="G1164">
        <v>14</v>
      </c>
      <c r="H1164" t="s">
        <v>31</v>
      </c>
      <c r="I1164" t="s">
        <v>37</v>
      </c>
      <c r="J1164" t="s">
        <v>23</v>
      </c>
      <c r="K1164" s="2">
        <v>85220</v>
      </c>
      <c r="L1164" s="2">
        <v>93495</v>
      </c>
      <c r="M1164" t="s">
        <v>38</v>
      </c>
      <c r="N1164">
        <v>53</v>
      </c>
      <c r="O1164" t="s">
        <v>25</v>
      </c>
      <c r="P1164">
        <v>9</v>
      </c>
      <c r="Q1164" s="1">
        <v>4.46</v>
      </c>
      <c r="R1164" s="2">
        <f t="shared" si="72"/>
        <v>8275</v>
      </c>
      <c r="S1164" s="1">
        <f t="shared" si="73"/>
        <v>9.7101619338183518</v>
      </c>
      <c r="T1164" t="str">
        <f t="shared" si="74"/>
        <v>Intermediate</v>
      </c>
      <c r="U1164" t="str">
        <f t="shared" si="75"/>
        <v>Medium Impact</v>
      </c>
    </row>
    <row r="1165" spans="1:21" x14ac:dyDescent="0.3">
      <c r="A1165" t="s">
        <v>1964</v>
      </c>
      <c r="B1165">
        <v>49</v>
      </c>
      <c r="C1165" t="s">
        <v>27</v>
      </c>
      <c r="D1165" t="s">
        <v>19</v>
      </c>
      <c r="E1165" t="s">
        <v>51</v>
      </c>
      <c r="F1165" t="s">
        <v>52</v>
      </c>
      <c r="G1165">
        <v>27</v>
      </c>
      <c r="H1165" t="s">
        <v>31</v>
      </c>
      <c r="I1165" t="s">
        <v>31</v>
      </c>
      <c r="J1165" t="s">
        <v>23</v>
      </c>
      <c r="K1165" s="2">
        <v>55530</v>
      </c>
      <c r="L1165" s="2">
        <v>54108</v>
      </c>
      <c r="M1165" t="s">
        <v>32</v>
      </c>
      <c r="N1165">
        <v>36</v>
      </c>
      <c r="O1165" t="s">
        <v>23</v>
      </c>
      <c r="P1165">
        <v>6</v>
      </c>
      <c r="Q1165" s="1">
        <v>4.46</v>
      </c>
      <c r="R1165" s="2">
        <f t="shared" si="72"/>
        <v>-1422</v>
      </c>
      <c r="S1165" s="1">
        <f t="shared" si="73"/>
        <v>-2.560777957860616</v>
      </c>
      <c r="T1165" t="str">
        <f t="shared" si="74"/>
        <v>Expert</v>
      </c>
      <c r="U1165" t="str">
        <f t="shared" si="75"/>
        <v>Low Impact</v>
      </c>
    </row>
    <row r="1166" spans="1:21" x14ac:dyDescent="0.3">
      <c r="A1166" t="s">
        <v>1092</v>
      </c>
      <c r="B1166">
        <v>34</v>
      </c>
      <c r="C1166" t="s">
        <v>27</v>
      </c>
      <c r="D1166" t="s">
        <v>40</v>
      </c>
      <c r="E1166" t="s">
        <v>35</v>
      </c>
      <c r="F1166" t="s">
        <v>98</v>
      </c>
      <c r="G1166">
        <v>12</v>
      </c>
      <c r="H1166" t="s">
        <v>22</v>
      </c>
      <c r="I1166" t="s">
        <v>22</v>
      </c>
      <c r="J1166" t="s">
        <v>25</v>
      </c>
      <c r="K1166" s="2">
        <v>84401</v>
      </c>
      <c r="L1166" s="2">
        <v>68770</v>
      </c>
      <c r="M1166" t="s">
        <v>38</v>
      </c>
      <c r="N1166">
        <v>37</v>
      </c>
      <c r="O1166" t="s">
        <v>23</v>
      </c>
      <c r="P1166">
        <v>8</v>
      </c>
      <c r="Q1166" s="1">
        <v>4.41</v>
      </c>
      <c r="R1166" s="2">
        <f t="shared" si="72"/>
        <v>-15631</v>
      </c>
      <c r="S1166" s="1">
        <f t="shared" si="73"/>
        <v>-18.519922749730451</v>
      </c>
      <c r="T1166" t="str">
        <f t="shared" si="74"/>
        <v>Intermediate</v>
      </c>
      <c r="U1166" t="str">
        <f t="shared" si="75"/>
        <v>Medium Impact</v>
      </c>
    </row>
    <row r="1167" spans="1:21" x14ac:dyDescent="0.3">
      <c r="A1167" t="s">
        <v>546</v>
      </c>
      <c r="B1167">
        <v>37</v>
      </c>
      <c r="C1167" t="s">
        <v>54</v>
      </c>
      <c r="D1167" t="s">
        <v>40</v>
      </c>
      <c r="E1167" t="s">
        <v>41</v>
      </c>
      <c r="F1167" t="s">
        <v>49</v>
      </c>
      <c r="G1167">
        <v>12</v>
      </c>
      <c r="H1167" t="s">
        <v>31</v>
      </c>
      <c r="I1167" t="s">
        <v>37</v>
      </c>
      <c r="J1167" t="s">
        <v>23</v>
      </c>
      <c r="K1167" s="2">
        <v>89234</v>
      </c>
      <c r="L1167" s="2">
        <v>91441</v>
      </c>
      <c r="M1167" t="s">
        <v>38</v>
      </c>
      <c r="N1167">
        <v>46</v>
      </c>
      <c r="O1167" t="s">
        <v>23</v>
      </c>
      <c r="P1167">
        <v>5</v>
      </c>
      <c r="Q1167" s="1">
        <v>4.4000000000000004</v>
      </c>
      <c r="R1167" s="2">
        <f t="shared" si="72"/>
        <v>2207</v>
      </c>
      <c r="S1167" s="1">
        <f t="shared" si="73"/>
        <v>2.4732725194432614</v>
      </c>
      <c r="T1167" t="str">
        <f t="shared" si="74"/>
        <v>Intermediate</v>
      </c>
      <c r="U1167" t="str">
        <f t="shared" si="75"/>
        <v>Medium Impact</v>
      </c>
    </row>
    <row r="1168" spans="1:21" x14ac:dyDescent="0.3">
      <c r="A1168" t="s">
        <v>1004</v>
      </c>
      <c r="B1168">
        <v>51</v>
      </c>
      <c r="C1168" t="s">
        <v>54</v>
      </c>
      <c r="D1168" t="s">
        <v>40</v>
      </c>
      <c r="E1168" t="s">
        <v>41</v>
      </c>
      <c r="F1168" t="s">
        <v>49</v>
      </c>
      <c r="G1168">
        <v>26</v>
      </c>
      <c r="H1168" t="s">
        <v>37</v>
      </c>
      <c r="I1168" t="s">
        <v>31</v>
      </c>
      <c r="J1168" t="s">
        <v>23</v>
      </c>
      <c r="K1168" s="2">
        <v>44457</v>
      </c>
      <c r="L1168" s="2">
        <v>50498</v>
      </c>
      <c r="M1168" t="s">
        <v>32</v>
      </c>
      <c r="N1168">
        <v>43</v>
      </c>
      <c r="O1168" t="s">
        <v>23</v>
      </c>
      <c r="P1168">
        <v>9</v>
      </c>
      <c r="Q1168" s="1">
        <v>4.3099999999999996</v>
      </c>
      <c r="R1168" s="2">
        <f t="shared" si="72"/>
        <v>6041</v>
      </c>
      <c r="S1168" s="1">
        <f t="shared" si="73"/>
        <v>13.588411273815149</v>
      </c>
      <c r="T1168" t="str">
        <f t="shared" si="74"/>
        <v>Expert</v>
      </c>
      <c r="U1168" t="str">
        <f t="shared" si="75"/>
        <v>Low Impact</v>
      </c>
    </row>
    <row r="1169" spans="1:21" x14ac:dyDescent="0.3">
      <c r="A1169" t="s">
        <v>1364</v>
      </c>
      <c r="B1169">
        <v>26</v>
      </c>
      <c r="C1169" t="s">
        <v>27</v>
      </c>
      <c r="D1169" t="s">
        <v>19</v>
      </c>
      <c r="E1169" t="s">
        <v>41</v>
      </c>
      <c r="F1169" t="s">
        <v>42</v>
      </c>
      <c r="G1169">
        <v>4</v>
      </c>
      <c r="H1169" t="s">
        <v>31</v>
      </c>
      <c r="I1169" t="s">
        <v>22</v>
      </c>
      <c r="J1169" t="s">
        <v>25</v>
      </c>
      <c r="K1169" s="2">
        <v>118027</v>
      </c>
      <c r="L1169" s="2">
        <v>128991</v>
      </c>
      <c r="M1169" t="s">
        <v>32</v>
      </c>
      <c r="N1169">
        <v>38</v>
      </c>
      <c r="O1169" t="s">
        <v>25</v>
      </c>
      <c r="P1169">
        <v>4</v>
      </c>
      <c r="Q1169" s="1">
        <v>4.29</v>
      </c>
      <c r="R1169" s="2">
        <f t="shared" si="72"/>
        <v>10964</v>
      </c>
      <c r="S1169" s="1">
        <f t="shared" si="73"/>
        <v>9.2893998830776017</v>
      </c>
      <c r="T1169" t="str">
        <f t="shared" si="74"/>
        <v>Beginner</v>
      </c>
      <c r="U1169" t="str">
        <f t="shared" si="75"/>
        <v>Low Impact</v>
      </c>
    </row>
    <row r="1170" spans="1:21" x14ac:dyDescent="0.3">
      <c r="A1170" t="s">
        <v>632</v>
      </c>
      <c r="B1170">
        <v>35</v>
      </c>
      <c r="C1170" t="s">
        <v>54</v>
      </c>
      <c r="D1170" t="s">
        <v>34</v>
      </c>
      <c r="E1170" t="s">
        <v>20</v>
      </c>
      <c r="F1170" t="s">
        <v>118</v>
      </c>
      <c r="G1170">
        <v>9</v>
      </c>
      <c r="H1170" t="s">
        <v>31</v>
      </c>
      <c r="I1170" t="s">
        <v>31</v>
      </c>
      <c r="J1170" t="s">
        <v>23</v>
      </c>
      <c r="K1170" s="2">
        <v>34434</v>
      </c>
      <c r="L1170" s="2">
        <v>36950</v>
      </c>
      <c r="M1170" t="s">
        <v>32</v>
      </c>
      <c r="N1170">
        <v>49</v>
      </c>
      <c r="O1170" t="s">
        <v>25</v>
      </c>
      <c r="P1170">
        <v>5</v>
      </c>
      <c r="Q1170" s="1">
        <v>4.2699999999999996</v>
      </c>
      <c r="R1170" s="2">
        <f t="shared" si="72"/>
        <v>2516</v>
      </c>
      <c r="S1170" s="1">
        <f t="shared" si="73"/>
        <v>7.3067317186501706</v>
      </c>
      <c r="T1170" t="str">
        <f t="shared" si="74"/>
        <v>Intermediate</v>
      </c>
      <c r="U1170" t="str">
        <f t="shared" si="75"/>
        <v>Low Impact</v>
      </c>
    </row>
    <row r="1171" spans="1:21" x14ac:dyDescent="0.3">
      <c r="A1171" t="s">
        <v>1475</v>
      </c>
      <c r="B1171">
        <v>25</v>
      </c>
      <c r="C1171" t="s">
        <v>54</v>
      </c>
      <c r="D1171" t="s">
        <v>19</v>
      </c>
      <c r="E1171" t="s">
        <v>29</v>
      </c>
      <c r="F1171" t="s">
        <v>104</v>
      </c>
      <c r="G1171">
        <v>0</v>
      </c>
      <c r="H1171" t="s">
        <v>37</v>
      </c>
      <c r="I1171" t="s">
        <v>31</v>
      </c>
      <c r="J1171" t="s">
        <v>23</v>
      </c>
      <c r="K1171" s="2">
        <v>79416</v>
      </c>
      <c r="L1171" s="2">
        <v>87936</v>
      </c>
      <c r="M1171" t="s">
        <v>32</v>
      </c>
      <c r="N1171">
        <v>50</v>
      </c>
      <c r="O1171" t="s">
        <v>25</v>
      </c>
      <c r="P1171">
        <v>4</v>
      </c>
      <c r="Q1171" s="1">
        <v>4.25</v>
      </c>
      <c r="R1171" s="2">
        <f t="shared" si="72"/>
        <v>8520</v>
      </c>
      <c r="S1171" s="1">
        <f t="shared" si="73"/>
        <v>10.728316711997582</v>
      </c>
      <c r="T1171" t="str">
        <f t="shared" si="74"/>
        <v>Beginner</v>
      </c>
      <c r="U1171" t="str">
        <f t="shared" si="75"/>
        <v>Low Impact</v>
      </c>
    </row>
    <row r="1172" spans="1:21" x14ac:dyDescent="0.3">
      <c r="A1172" t="s">
        <v>320</v>
      </c>
      <c r="B1172">
        <v>34</v>
      </c>
      <c r="C1172" t="s">
        <v>54</v>
      </c>
      <c r="D1172" t="s">
        <v>19</v>
      </c>
      <c r="E1172" t="s">
        <v>29</v>
      </c>
      <c r="F1172" t="s">
        <v>30</v>
      </c>
      <c r="G1172">
        <v>12</v>
      </c>
      <c r="H1172" t="s">
        <v>31</v>
      </c>
      <c r="I1172" t="s">
        <v>31</v>
      </c>
      <c r="J1172" t="s">
        <v>23</v>
      </c>
      <c r="K1172" s="2">
        <v>69882</v>
      </c>
      <c r="L1172" s="2">
        <v>75596</v>
      </c>
      <c r="M1172" t="s">
        <v>32</v>
      </c>
      <c r="N1172">
        <v>48</v>
      </c>
      <c r="O1172" t="s">
        <v>23</v>
      </c>
      <c r="P1172">
        <v>6</v>
      </c>
      <c r="Q1172" s="1">
        <v>4.25</v>
      </c>
      <c r="R1172" s="2">
        <f t="shared" si="72"/>
        <v>5714</v>
      </c>
      <c r="S1172" s="1">
        <f t="shared" si="73"/>
        <v>8.1766406227640882</v>
      </c>
      <c r="T1172" t="str">
        <f t="shared" si="74"/>
        <v>Intermediate</v>
      </c>
      <c r="U1172" t="str">
        <f t="shared" si="75"/>
        <v>Low Impact</v>
      </c>
    </row>
    <row r="1173" spans="1:21" x14ac:dyDescent="0.3">
      <c r="A1173" t="s">
        <v>1342</v>
      </c>
      <c r="B1173">
        <v>34</v>
      </c>
      <c r="C1173" t="s">
        <v>18</v>
      </c>
      <c r="D1173" t="s">
        <v>19</v>
      </c>
      <c r="E1173" t="s">
        <v>41</v>
      </c>
      <c r="F1173" t="s">
        <v>42</v>
      </c>
      <c r="G1173">
        <v>12</v>
      </c>
      <c r="H1173" t="s">
        <v>22</v>
      </c>
      <c r="I1173" t="s">
        <v>22</v>
      </c>
      <c r="J1173" t="s">
        <v>23</v>
      </c>
      <c r="K1173" s="2">
        <v>45831</v>
      </c>
      <c r="L1173" s="2">
        <v>51165</v>
      </c>
      <c r="M1173" t="s">
        <v>38</v>
      </c>
      <c r="N1173">
        <v>53</v>
      </c>
      <c r="O1173" t="s">
        <v>23</v>
      </c>
      <c r="P1173">
        <v>9</v>
      </c>
      <c r="Q1173" s="1">
        <v>4.17</v>
      </c>
      <c r="R1173" s="2">
        <f t="shared" si="72"/>
        <v>5334</v>
      </c>
      <c r="S1173" s="1">
        <f t="shared" si="73"/>
        <v>11.638410682725667</v>
      </c>
      <c r="T1173" t="str">
        <f t="shared" si="74"/>
        <v>Intermediate</v>
      </c>
      <c r="U1173" t="str">
        <f t="shared" si="75"/>
        <v>Medium Impact</v>
      </c>
    </row>
    <row r="1174" spans="1:21" x14ac:dyDescent="0.3">
      <c r="A1174" t="s">
        <v>1333</v>
      </c>
      <c r="B1174">
        <v>43</v>
      </c>
      <c r="C1174" t="s">
        <v>27</v>
      </c>
      <c r="D1174" t="s">
        <v>19</v>
      </c>
      <c r="E1174" t="s">
        <v>51</v>
      </c>
      <c r="F1174" t="s">
        <v>52</v>
      </c>
      <c r="G1174">
        <v>18</v>
      </c>
      <c r="H1174" t="s">
        <v>22</v>
      </c>
      <c r="I1174" t="s">
        <v>37</v>
      </c>
      <c r="J1174" t="s">
        <v>25</v>
      </c>
      <c r="K1174" s="2">
        <v>85184</v>
      </c>
      <c r="L1174" s="2">
        <v>99206</v>
      </c>
      <c r="M1174" t="s">
        <v>38</v>
      </c>
      <c r="N1174">
        <v>49</v>
      </c>
      <c r="O1174" t="s">
        <v>23</v>
      </c>
      <c r="P1174">
        <v>8</v>
      </c>
      <c r="Q1174" s="1">
        <v>4.16</v>
      </c>
      <c r="R1174" s="2">
        <f t="shared" si="72"/>
        <v>14022</v>
      </c>
      <c r="S1174" s="1">
        <f t="shared" si="73"/>
        <v>16.460837716003006</v>
      </c>
      <c r="T1174" t="str">
        <f t="shared" si="74"/>
        <v>Expert</v>
      </c>
      <c r="U1174" t="str">
        <f t="shared" si="75"/>
        <v>Medium Impact</v>
      </c>
    </row>
    <row r="1175" spans="1:21" x14ac:dyDescent="0.3">
      <c r="A1175" t="s">
        <v>1428</v>
      </c>
      <c r="B1175">
        <v>52</v>
      </c>
      <c r="C1175" t="s">
        <v>54</v>
      </c>
      <c r="D1175" t="s">
        <v>40</v>
      </c>
      <c r="E1175" t="s">
        <v>20</v>
      </c>
      <c r="F1175" t="s">
        <v>118</v>
      </c>
      <c r="G1175">
        <v>29</v>
      </c>
      <c r="H1175" t="s">
        <v>31</v>
      </c>
      <c r="I1175" t="s">
        <v>22</v>
      </c>
      <c r="J1175" t="s">
        <v>25</v>
      </c>
      <c r="K1175" s="2">
        <v>94892</v>
      </c>
      <c r="L1175" s="2">
        <v>98329</v>
      </c>
      <c r="M1175" t="s">
        <v>32</v>
      </c>
      <c r="N1175">
        <v>46</v>
      </c>
      <c r="O1175" t="s">
        <v>23</v>
      </c>
      <c r="P1175">
        <v>4</v>
      </c>
      <c r="Q1175" s="1">
        <v>4.1399999999999997</v>
      </c>
      <c r="R1175" s="2">
        <f t="shared" si="72"/>
        <v>3437</v>
      </c>
      <c r="S1175" s="1">
        <f t="shared" si="73"/>
        <v>3.622012393036294</v>
      </c>
      <c r="T1175" t="str">
        <f t="shared" si="74"/>
        <v>Expert</v>
      </c>
      <c r="U1175" t="str">
        <f t="shared" si="75"/>
        <v>Low Impact</v>
      </c>
    </row>
    <row r="1176" spans="1:21" x14ac:dyDescent="0.3">
      <c r="A1176" t="s">
        <v>657</v>
      </c>
      <c r="B1176">
        <v>56</v>
      </c>
      <c r="C1176" t="s">
        <v>54</v>
      </c>
      <c r="D1176" t="s">
        <v>34</v>
      </c>
      <c r="E1176" t="s">
        <v>20</v>
      </c>
      <c r="F1176" t="s">
        <v>21</v>
      </c>
      <c r="G1176">
        <v>32</v>
      </c>
      <c r="H1176" t="s">
        <v>37</v>
      </c>
      <c r="I1176" t="s">
        <v>37</v>
      </c>
      <c r="J1176" t="s">
        <v>23</v>
      </c>
      <c r="K1176" s="2">
        <v>76287</v>
      </c>
      <c r="L1176" s="2">
        <v>78151</v>
      </c>
      <c r="M1176" t="s">
        <v>38</v>
      </c>
      <c r="N1176">
        <v>53</v>
      </c>
      <c r="O1176" t="s">
        <v>25</v>
      </c>
      <c r="P1176">
        <v>3</v>
      </c>
      <c r="Q1176" s="1">
        <v>4.1399999999999997</v>
      </c>
      <c r="R1176" s="2">
        <f t="shared" si="72"/>
        <v>1864</v>
      </c>
      <c r="S1176" s="1">
        <f t="shared" si="73"/>
        <v>2.4434045119089753</v>
      </c>
      <c r="T1176" t="str">
        <f t="shared" si="74"/>
        <v>Expert</v>
      </c>
      <c r="U1176" t="str">
        <f t="shared" si="75"/>
        <v>Medium Impact</v>
      </c>
    </row>
    <row r="1177" spans="1:21" x14ac:dyDescent="0.3">
      <c r="A1177" t="s">
        <v>872</v>
      </c>
      <c r="B1177">
        <v>53</v>
      </c>
      <c r="C1177" t="s">
        <v>27</v>
      </c>
      <c r="D1177" t="s">
        <v>40</v>
      </c>
      <c r="E1177" t="s">
        <v>20</v>
      </c>
      <c r="F1177" t="s">
        <v>21</v>
      </c>
      <c r="G1177">
        <v>29</v>
      </c>
      <c r="H1177" t="s">
        <v>31</v>
      </c>
      <c r="I1177" t="s">
        <v>37</v>
      </c>
      <c r="J1177" t="s">
        <v>23</v>
      </c>
      <c r="K1177" s="2">
        <v>63139</v>
      </c>
      <c r="L1177" s="2">
        <v>68826</v>
      </c>
      <c r="M1177" t="s">
        <v>38</v>
      </c>
      <c r="N1177">
        <v>48</v>
      </c>
      <c r="O1177" t="s">
        <v>25</v>
      </c>
      <c r="P1177">
        <v>9</v>
      </c>
      <c r="Q1177" s="1">
        <v>4.13</v>
      </c>
      <c r="R1177" s="2">
        <f t="shared" si="72"/>
        <v>5687</v>
      </c>
      <c r="S1177" s="1">
        <f t="shared" si="73"/>
        <v>9.0071112941288263</v>
      </c>
      <c r="T1177" t="str">
        <f t="shared" si="74"/>
        <v>Expert</v>
      </c>
      <c r="U1177" t="str">
        <f t="shared" si="75"/>
        <v>Medium Impact</v>
      </c>
    </row>
    <row r="1178" spans="1:21" x14ac:dyDescent="0.3">
      <c r="A1178" t="s">
        <v>1667</v>
      </c>
      <c r="B1178">
        <v>58</v>
      </c>
      <c r="C1178" t="s">
        <v>54</v>
      </c>
      <c r="D1178" t="s">
        <v>34</v>
      </c>
      <c r="E1178" t="s">
        <v>41</v>
      </c>
      <c r="F1178" t="s">
        <v>55</v>
      </c>
      <c r="G1178">
        <v>32</v>
      </c>
      <c r="H1178" t="s">
        <v>37</v>
      </c>
      <c r="I1178" t="s">
        <v>31</v>
      </c>
      <c r="J1178" t="s">
        <v>23</v>
      </c>
      <c r="K1178" s="2">
        <v>61704</v>
      </c>
      <c r="L1178" s="2">
        <v>70946</v>
      </c>
      <c r="M1178" t="s">
        <v>32</v>
      </c>
      <c r="N1178">
        <v>49</v>
      </c>
      <c r="O1178" t="s">
        <v>25</v>
      </c>
      <c r="P1178">
        <v>6</v>
      </c>
      <c r="Q1178" s="1">
        <v>4.1100000000000003</v>
      </c>
      <c r="R1178" s="2">
        <f t="shared" si="72"/>
        <v>9242</v>
      </c>
      <c r="S1178" s="1">
        <f t="shared" si="73"/>
        <v>14.977959289511213</v>
      </c>
      <c r="T1178" t="str">
        <f t="shared" si="74"/>
        <v>Expert</v>
      </c>
      <c r="U1178" t="str">
        <f t="shared" si="75"/>
        <v>Low Impact</v>
      </c>
    </row>
    <row r="1179" spans="1:21" x14ac:dyDescent="0.3">
      <c r="A1179" t="s">
        <v>2049</v>
      </c>
      <c r="B1179">
        <v>50</v>
      </c>
      <c r="C1179" t="s">
        <v>27</v>
      </c>
      <c r="D1179" t="s">
        <v>40</v>
      </c>
      <c r="E1179" t="s">
        <v>51</v>
      </c>
      <c r="F1179" t="s">
        <v>130</v>
      </c>
      <c r="G1179">
        <v>27</v>
      </c>
      <c r="H1179" t="s">
        <v>22</v>
      </c>
      <c r="I1179" t="s">
        <v>22</v>
      </c>
      <c r="J1179" t="s">
        <v>23</v>
      </c>
      <c r="K1179" s="2">
        <v>115078</v>
      </c>
      <c r="L1179" s="2">
        <v>93786</v>
      </c>
      <c r="M1179" t="s">
        <v>24</v>
      </c>
      <c r="N1179">
        <v>42</v>
      </c>
      <c r="O1179" t="s">
        <v>23</v>
      </c>
      <c r="P1179">
        <v>8</v>
      </c>
      <c r="Q1179" s="1">
        <v>3.97</v>
      </c>
      <c r="R1179" s="2">
        <f t="shared" si="72"/>
        <v>-21292</v>
      </c>
      <c r="S1179" s="1">
        <f t="shared" si="73"/>
        <v>-18.502233267870487</v>
      </c>
      <c r="T1179" t="str">
        <f t="shared" si="74"/>
        <v>Expert</v>
      </c>
      <c r="U1179" t="str">
        <f t="shared" si="75"/>
        <v>High Impact</v>
      </c>
    </row>
    <row r="1180" spans="1:21" x14ac:dyDescent="0.3">
      <c r="A1180" t="s">
        <v>963</v>
      </c>
      <c r="B1180">
        <v>31</v>
      </c>
      <c r="C1180" t="s">
        <v>18</v>
      </c>
      <c r="D1180" t="s">
        <v>28</v>
      </c>
      <c r="E1180" t="s">
        <v>44</v>
      </c>
      <c r="F1180" t="s">
        <v>45</v>
      </c>
      <c r="G1180">
        <v>7</v>
      </c>
      <c r="H1180" t="s">
        <v>22</v>
      </c>
      <c r="I1180" t="s">
        <v>22</v>
      </c>
      <c r="J1180" t="s">
        <v>23</v>
      </c>
      <c r="K1180" s="2">
        <v>118741</v>
      </c>
      <c r="L1180" s="2">
        <v>117100</v>
      </c>
      <c r="M1180" t="s">
        <v>38</v>
      </c>
      <c r="N1180">
        <v>53</v>
      </c>
      <c r="O1180" t="s">
        <v>23</v>
      </c>
      <c r="P1180">
        <v>4</v>
      </c>
      <c r="Q1180" s="1">
        <v>3.95</v>
      </c>
      <c r="R1180" s="2">
        <f t="shared" si="72"/>
        <v>-1641</v>
      </c>
      <c r="S1180" s="1">
        <f t="shared" si="73"/>
        <v>-1.3819994778551639</v>
      </c>
      <c r="T1180" t="str">
        <f t="shared" si="74"/>
        <v>Intermediate</v>
      </c>
      <c r="U1180" t="str">
        <f t="shared" si="75"/>
        <v>Medium Impact</v>
      </c>
    </row>
    <row r="1181" spans="1:21" x14ac:dyDescent="0.3">
      <c r="A1181" t="s">
        <v>600</v>
      </c>
      <c r="B1181">
        <v>25</v>
      </c>
      <c r="C1181" t="s">
        <v>54</v>
      </c>
      <c r="D1181" t="s">
        <v>40</v>
      </c>
      <c r="E1181" t="s">
        <v>59</v>
      </c>
      <c r="F1181" t="s">
        <v>60</v>
      </c>
      <c r="G1181">
        <v>3</v>
      </c>
      <c r="H1181" t="s">
        <v>22</v>
      </c>
      <c r="I1181" t="s">
        <v>37</v>
      </c>
      <c r="J1181" t="s">
        <v>23</v>
      </c>
      <c r="K1181" s="2">
        <v>95618</v>
      </c>
      <c r="L1181" s="2">
        <v>131431</v>
      </c>
      <c r="M1181" t="s">
        <v>38</v>
      </c>
      <c r="N1181">
        <v>47</v>
      </c>
      <c r="O1181" t="s">
        <v>23</v>
      </c>
      <c r="P1181">
        <v>8</v>
      </c>
      <c r="Q1181" s="1">
        <v>3.94</v>
      </c>
      <c r="R1181" s="2">
        <f t="shared" si="72"/>
        <v>35813</v>
      </c>
      <c r="S1181" s="1">
        <f t="shared" si="73"/>
        <v>37.454245016628668</v>
      </c>
      <c r="T1181" t="str">
        <f t="shared" si="74"/>
        <v>Beginner</v>
      </c>
      <c r="U1181" t="str">
        <f t="shared" si="75"/>
        <v>Medium Impact</v>
      </c>
    </row>
    <row r="1182" spans="1:21" x14ac:dyDescent="0.3">
      <c r="A1182" t="s">
        <v>115</v>
      </c>
      <c r="B1182">
        <v>57</v>
      </c>
      <c r="C1182" t="s">
        <v>54</v>
      </c>
      <c r="D1182" t="s">
        <v>40</v>
      </c>
      <c r="E1182" t="s">
        <v>41</v>
      </c>
      <c r="F1182" t="s">
        <v>42</v>
      </c>
      <c r="G1182">
        <v>35</v>
      </c>
      <c r="H1182" t="s">
        <v>22</v>
      </c>
      <c r="I1182" t="s">
        <v>37</v>
      </c>
      <c r="J1182" t="s">
        <v>25</v>
      </c>
      <c r="K1182" s="2">
        <v>86573</v>
      </c>
      <c r="L1182" s="2">
        <v>91794</v>
      </c>
      <c r="M1182" t="s">
        <v>38</v>
      </c>
      <c r="N1182">
        <v>44</v>
      </c>
      <c r="O1182" t="s">
        <v>25</v>
      </c>
      <c r="P1182">
        <v>8</v>
      </c>
      <c r="Q1182" s="1">
        <v>3.91</v>
      </c>
      <c r="R1182" s="2">
        <f t="shared" si="72"/>
        <v>5221</v>
      </c>
      <c r="S1182" s="1">
        <f t="shared" si="73"/>
        <v>6.0307486167742823</v>
      </c>
      <c r="T1182" t="str">
        <f t="shared" si="74"/>
        <v>Expert</v>
      </c>
      <c r="U1182" t="str">
        <f t="shared" si="75"/>
        <v>Medium Impact</v>
      </c>
    </row>
    <row r="1183" spans="1:21" x14ac:dyDescent="0.3">
      <c r="A1183" t="s">
        <v>774</v>
      </c>
      <c r="B1183">
        <v>48</v>
      </c>
      <c r="C1183" t="s">
        <v>18</v>
      </c>
      <c r="D1183" t="s">
        <v>40</v>
      </c>
      <c r="E1183" t="s">
        <v>59</v>
      </c>
      <c r="F1183" t="s">
        <v>93</v>
      </c>
      <c r="G1183">
        <v>25</v>
      </c>
      <c r="H1183" t="s">
        <v>31</v>
      </c>
      <c r="I1183" t="s">
        <v>22</v>
      </c>
      <c r="J1183" t="s">
        <v>23</v>
      </c>
      <c r="K1183" s="2">
        <v>56270</v>
      </c>
      <c r="L1183" s="2">
        <v>60255</v>
      </c>
      <c r="M1183" t="s">
        <v>32</v>
      </c>
      <c r="N1183">
        <v>49</v>
      </c>
      <c r="O1183" t="s">
        <v>25</v>
      </c>
      <c r="P1183">
        <v>6</v>
      </c>
      <c r="Q1183" s="1">
        <v>3.87</v>
      </c>
      <c r="R1183" s="2">
        <f t="shared" si="72"/>
        <v>3985</v>
      </c>
      <c r="S1183" s="1">
        <f t="shared" si="73"/>
        <v>7.0819264261595878</v>
      </c>
      <c r="T1183" t="str">
        <f t="shared" si="74"/>
        <v>Expert</v>
      </c>
      <c r="U1183" t="str">
        <f t="shared" si="75"/>
        <v>Low Impact</v>
      </c>
    </row>
    <row r="1184" spans="1:21" x14ac:dyDescent="0.3">
      <c r="A1184" t="s">
        <v>759</v>
      </c>
      <c r="B1184">
        <v>36</v>
      </c>
      <c r="C1184" t="s">
        <v>18</v>
      </c>
      <c r="D1184" t="s">
        <v>19</v>
      </c>
      <c r="E1184" t="s">
        <v>20</v>
      </c>
      <c r="F1184" t="s">
        <v>88</v>
      </c>
      <c r="G1184">
        <v>14</v>
      </c>
      <c r="H1184" t="s">
        <v>37</v>
      </c>
      <c r="I1184" t="s">
        <v>31</v>
      </c>
      <c r="J1184" t="s">
        <v>23</v>
      </c>
      <c r="K1184" s="2">
        <v>113231</v>
      </c>
      <c r="L1184" s="2">
        <v>129910</v>
      </c>
      <c r="M1184" t="s">
        <v>32</v>
      </c>
      <c r="N1184">
        <v>54</v>
      </c>
      <c r="O1184" t="s">
        <v>23</v>
      </c>
      <c r="P1184">
        <v>9</v>
      </c>
      <c r="Q1184" s="1">
        <v>3.82</v>
      </c>
      <c r="R1184" s="2">
        <f t="shared" si="72"/>
        <v>16679</v>
      </c>
      <c r="S1184" s="1">
        <f t="shared" si="73"/>
        <v>14.730065088182565</v>
      </c>
      <c r="T1184" t="str">
        <f t="shared" si="74"/>
        <v>Intermediate</v>
      </c>
      <c r="U1184" t="str">
        <f t="shared" si="75"/>
        <v>Low Impact</v>
      </c>
    </row>
    <row r="1185" spans="1:21" x14ac:dyDescent="0.3">
      <c r="A1185" t="s">
        <v>287</v>
      </c>
      <c r="B1185">
        <v>51</v>
      </c>
      <c r="C1185" t="s">
        <v>27</v>
      </c>
      <c r="D1185" t="s">
        <v>28</v>
      </c>
      <c r="E1185" t="s">
        <v>29</v>
      </c>
      <c r="F1185" t="s">
        <v>102</v>
      </c>
      <c r="G1185">
        <v>29</v>
      </c>
      <c r="H1185" t="s">
        <v>22</v>
      </c>
      <c r="I1185" t="s">
        <v>22</v>
      </c>
      <c r="J1185" t="s">
        <v>23</v>
      </c>
      <c r="K1185" s="2">
        <v>118652</v>
      </c>
      <c r="L1185" s="2">
        <v>100515</v>
      </c>
      <c r="M1185" t="s">
        <v>24</v>
      </c>
      <c r="N1185">
        <v>36</v>
      </c>
      <c r="O1185" t="s">
        <v>23</v>
      </c>
      <c r="P1185">
        <v>8</v>
      </c>
      <c r="Q1185" s="1">
        <v>3.82</v>
      </c>
      <c r="R1185" s="2">
        <f t="shared" si="72"/>
        <v>-18137</v>
      </c>
      <c r="S1185" s="1">
        <f t="shared" si="73"/>
        <v>-15.28587802986886</v>
      </c>
      <c r="T1185" t="str">
        <f t="shared" si="74"/>
        <v>Expert</v>
      </c>
      <c r="U1185" t="str">
        <f t="shared" si="75"/>
        <v>High Impact</v>
      </c>
    </row>
    <row r="1186" spans="1:21" x14ac:dyDescent="0.3">
      <c r="A1186" t="s">
        <v>1685</v>
      </c>
      <c r="B1186">
        <v>48</v>
      </c>
      <c r="C1186" t="s">
        <v>27</v>
      </c>
      <c r="D1186" t="s">
        <v>40</v>
      </c>
      <c r="E1186" t="s">
        <v>41</v>
      </c>
      <c r="F1186" t="s">
        <v>49</v>
      </c>
      <c r="G1186">
        <v>23</v>
      </c>
      <c r="H1186" t="s">
        <v>22</v>
      </c>
      <c r="I1186" t="s">
        <v>31</v>
      </c>
      <c r="J1186" t="s">
        <v>25</v>
      </c>
      <c r="K1186" s="2">
        <v>80304</v>
      </c>
      <c r="L1186" s="2">
        <v>79886</v>
      </c>
      <c r="M1186" t="s">
        <v>32</v>
      </c>
      <c r="N1186">
        <v>53</v>
      </c>
      <c r="O1186" t="s">
        <v>25</v>
      </c>
      <c r="P1186">
        <v>5</v>
      </c>
      <c r="Q1186" s="1">
        <v>3.77</v>
      </c>
      <c r="R1186" s="2">
        <f t="shared" si="72"/>
        <v>-418</v>
      </c>
      <c r="S1186" s="1">
        <f t="shared" si="73"/>
        <v>-0.52052201633791595</v>
      </c>
      <c r="T1186" t="str">
        <f t="shared" si="74"/>
        <v>Expert</v>
      </c>
      <c r="U1186" t="str">
        <f t="shared" si="75"/>
        <v>Low Impact</v>
      </c>
    </row>
    <row r="1187" spans="1:21" x14ac:dyDescent="0.3">
      <c r="A1187" t="s">
        <v>1175</v>
      </c>
      <c r="B1187">
        <v>50</v>
      </c>
      <c r="C1187" t="s">
        <v>54</v>
      </c>
      <c r="D1187" t="s">
        <v>34</v>
      </c>
      <c r="E1187" t="s">
        <v>44</v>
      </c>
      <c r="F1187" t="s">
        <v>45</v>
      </c>
      <c r="G1187">
        <v>28</v>
      </c>
      <c r="H1187" t="s">
        <v>22</v>
      </c>
      <c r="I1187" t="s">
        <v>31</v>
      </c>
      <c r="J1187" t="s">
        <v>23</v>
      </c>
      <c r="K1187" s="2">
        <v>115435</v>
      </c>
      <c r="L1187" s="2">
        <v>151675</v>
      </c>
      <c r="M1187" t="s">
        <v>32</v>
      </c>
      <c r="N1187">
        <v>43</v>
      </c>
      <c r="O1187" t="s">
        <v>25</v>
      </c>
      <c r="P1187">
        <v>9</v>
      </c>
      <c r="Q1187" s="1">
        <v>3.76</v>
      </c>
      <c r="R1187" s="2">
        <f t="shared" si="72"/>
        <v>36240</v>
      </c>
      <c r="S1187" s="1">
        <f t="shared" si="73"/>
        <v>31.394291159527004</v>
      </c>
      <c r="T1187" t="str">
        <f t="shared" si="74"/>
        <v>Expert</v>
      </c>
      <c r="U1187" t="str">
        <f t="shared" si="75"/>
        <v>Low Impact</v>
      </c>
    </row>
    <row r="1188" spans="1:21" x14ac:dyDescent="0.3">
      <c r="A1188" t="s">
        <v>427</v>
      </c>
      <c r="B1188">
        <v>58</v>
      </c>
      <c r="C1188" t="s">
        <v>27</v>
      </c>
      <c r="D1188" t="s">
        <v>40</v>
      </c>
      <c r="E1188" t="s">
        <v>35</v>
      </c>
      <c r="F1188" t="s">
        <v>98</v>
      </c>
      <c r="G1188">
        <v>32</v>
      </c>
      <c r="H1188" t="s">
        <v>37</v>
      </c>
      <c r="I1188" t="s">
        <v>37</v>
      </c>
      <c r="J1188" t="s">
        <v>25</v>
      </c>
      <c r="K1188" s="2">
        <v>37239</v>
      </c>
      <c r="L1188" s="2">
        <v>42429</v>
      </c>
      <c r="M1188" t="s">
        <v>38</v>
      </c>
      <c r="N1188">
        <v>50</v>
      </c>
      <c r="O1188" t="s">
        <v>23</v>
      </c>
      <c r="P1188">
        <v>8</v>
      </c>
      <c r="Q1188" s="1">
        <v>3.76</v>
      </c>
      <c r="R1188" s="2">
        <f t="shared" si="72"/>
        <v>5190</v>
      </c>
      <c r="S1188" s="1">
        <f t="shared" si="73"/>
        <v>13.937001530653347</v>
      </c>
      <c r="T1188" t="str">
        <f t="shared" si="74"/>
        <v>Expert</v>
      </c>
      <c r="U1188" t="str">
        <f t="shared" si="75"/>
        <v>Medium Impact</v>
      </c>
    </row>
    <row r="1189" spans="1:21" x14ac:dyDescent="0.3">
      <c r="A1189" t="s">
        <v>298</v>
      </c>
      <c r="B1189">
        <v>53</v>
      </c>
      <c r="C1189" t="s">
        <v>18</v>
      </c>
      <c r="D1189" t="s">
        <v>19</v>
      </c>
      <c r="E1189" t="s">
        <v>41</v>
      </c>
      <c r="F1189" t="s">
        <v>42</v>
      </c>
      <c r="G1189">
        <v>31</v>
      </c>
      <c r="H1189" t="s">
        <v>37</v>
      </c>
      <c r="I1189" t="s">
        <v>22</v>
      </c>
      <c r="J1189" t="s">
        <v>25</v>
      </c>
      <c r="K1189" s="2">
        <v>102099</v>
      </c>
      <c r="L1189" s="2">
        <v>92789</v>
      </c>
      <c r="M1189" t="s">
        <v>32</v>
      </c>
      <c r="N1189">
        <v>38</v>
      </c>
      <c r="O1189" t="s">
        <v>23</v>
      </c>
      <c r="P1189">
        <v>4</v>
      </c>
      <c r="Q1189" s="1">
        <v>3.73</v>
      </c>
      <c r="R1189" s="2">
        <f t="shared" si="72"/>
        <v>-9310</v>
      </c>
      <c r="S1189" s="1">
        <f t="shared" si="73"/>
        <v>-9.1186005739527314</v>
      </c>
      <c r="T1189" t="str">
        <f t="shared" si="74"/>
        <v>Expert</v>
      </c>
      <c r="U1189" t="str">
        <f t="shared" si="75"/>
        <v>Low Impact</v>
      </c>
    </row>
    <row r="1190" spans="1:21" x14ac:dyDescent="0.3">
      <c r="A1190" t="s">
        <v>53</v>
      </c>
      <c r="B1190">
        <v>50</v>
      </c>
      <c r="C1190" t="s">
        <v>54</v>
      </c>
      <c r="D1190" t="s">
        <v>19</v>
      </c>
      <c r="E1190" t="s">
        <v>41</v>
      </c>
      <c r="F1190" t="s">
        <v>55</v>
      </c>
      <c r="G1190">
        <v>27</v>
      </c>
      <c r="H1190" t="s">
        <v>31</v>
      </c>
      <c r="I1190" t="s">
        <v>22</v>
      </c>
      <c r="J1190" t="s">
        <v>23</v>
      </c>
      <c r="K1190" s="2">
        <v>102409</v>
      </c>
      <c r="L1190" s="2">
        <v>104197</v>
      </c>
      <c r="M1190" t="s">
        <v>32</v>
      </c>
      <c r="N1190">
        <v>38</v>
      </c>
      <c r="O1190" t="s">
        <v>25</v>
      </c>
      <c r="P1190">
        <v>8</v>
      </c>
      <c r="Q1190" s="1">
        <v>3.71</v>
      </c>
      <c r="R1190" s="2">
        <f t="shared" si="72"/>
        <v>1788</v>
      </c>
      <c r="S1190" s="1">
        <f t="shared" si="73"/>
        <v>1.7459402982159773</v>
      </c>
      <c r="T1190" t="str">
        <f t="shared" si="74"/>
        <v>Expert</v>
      </c>
      <c r="U1190" t="str">
        <f t="shared" si="75"/>
        <v>Low Impact</v>
      </c>
    </row>
    <row r="1191" spans="1:21" x14ac:dyDescent="0.3">
      <c r="A1191" t="s">
        <v>741</v>
      </c>
      <c r="B1191">
        <v>32</v>
      </c>
      <c r="C1191" t="s">
        <v>27</v>
      </c>
      <c r="D1191" t="s">
        <v>34</v>
      </c>
      <c r="E1191" t="s">
        <v>51</v>
      </c>
      <c r="F1191" t="s">
        <v>130</v>
      </c>
      <c r="G1191">
        <v>8</v>
      </c>
      <c r="H1191" t="s">
        <v>37</v>
      </c>
      <c r="I1191" t="s">
        <v>31</v>
      </c>
      <c r="J1191" t="s">
        <v>23</v>
      </c>
      <c r="K1191" s="2">
        <v>70031</v>
      </c>
      <c r="L1191" s="2">
        <v>83317</v>
      </c>
      <c r="M1191" t="s">
        <v>32</v>
      </c>
      <c r="N1191">
        <v>43</v>
      </c>
      <c r="O1191" t="s">
        <v>25</v>
      </c>
      <c r="P1191">
        <v>5</v>
      </c>
      <c r="Q1191" s="1">
        <v>3.71</v>
      </c>
      <c r="R1191" s="2">
        <f t="shared" si="72"/>
        <v>13286</v>
      </c>
      <c r="S1191" s="1">
        <f t="shared" si="73"/>
        <v>18.97159829218489</v>
      </c>
      <c r="T1191" t="str">
        <f t="shared" si="74"/>
        <v>Intermediate</v>
      </c>
      <c r="U1191" t="str">
        <f t="shared" si="75"/>
        <v>Low Impact</v>
      </c>
    </row>
    <row r="1192" spans="1:21" x14ac:dyDescent="0.3">
      <c r="A1192" t="s">
        <v>144</v>
      </c>
      <c r="B1192">
        <v>32</v>
      </c>
      <c r="C1192" t="s">
        <v>27</v>
      </c>
      <c r="D1192" t="s">
        <v>28</v>
      </c>
      <c r="E1192" t="s">
        <v>44</v>
      </c>
      <c r="F1192" t="s">
        <v>57</v>
      </c>
      <c r="G1192">
        <v>7</v>
      </c>
      <c r="H1192" t="s">
        <v>37</v>
      </c>
      <c r="I1192" t="s">
        <v>22</v>
      </c>
      <c r="J1192" t="s">
        <v>25</v>
      </c>
      <c r="K1192" s="2">
        <v>40975</v>
      </c>
      <c r="L1192" s="2">
        <v>37588</v>
      </c>
      <c r="M1192" t="s">
        <v>32</v>
      </c>
      <c r="N1192">
        <v>42</v>
      </c>
      <c r="O1192" t="s">
        <v>25</v>
      </c>
      <c r="P1192">
        <v>4</v>
      </c>
      <c r="Q1192" s="1">
        <v>3.67</v>
      </c>
      <c r="R1192" s="2">
        <f t="shared" si="72"/>
        <v>-3387</v>
      </c>
      <c r="S1192" s="1">
        <f t="shared" si="73"/>
        <v>-8.2660158633312992</v>
      </c>
      <c r="T1192" t="str">
        <f t="shared" si="74"/>
        <v>Intermediate</v>
      </c>
      <c r="U1192" t="str">
        <f t="shared" si="75"/>
        <v>Low Impact</v>
      </c>
    </row>
    <row r="1193" spans="1:21" x14ac:dyDescent="0.3">
      <c r="A1193" t="s">
        <v>858</v>
      </c>
      <c r="B1193">
        <v>52</v>
      </c>
      <c r="C1193" t="s">
        <v>54</v>
      </c>
      <c r="D1193" t="s">
        <v>40</v>
      </c>
      <c r="E1193" t="s">
        <v>41</v>
      </c>
      <c r="F1193" t="s">
        <v>55</v>
      </c>
      <c r="G1193">
        <v>30</v>
      </c>
      <c r="H1193" t="s">
        <v>31</v>
      </c>
      <c r="I1193" t="s">
        <v>22</v>
      </c>
      <c r="J1193" t="s">
        <v>23</v>
      </c>
      <c r="K1193" s="2">
        <v>30798</v>
      </c>
      <c r="L1193" s="2">
        <v>33719</v>
      </c>
      <c r="M1193" t="s">
        <v>32</v>
      </c>
      <c r="N1193">
        <v>51</v>
      </c>
      <c r="O1193" t="s">
        <v>23</v>
      </c>
      <c r="P1193">
        <v>7</v>
      </c>
      <c r="Q1193" s="1">
        <v>3.61</v>
      </c>
      <c r="R1193" s="2">
        <f t="shared" si="72"/>
        <v>2921</v>
      </c>
      <c r="S1193" s="1">
        <f t="shared" si="73"/>
        <v>9.4843821027339423</v>
      </c>
      <c r="T1193" t="str">
        <f t="shared" si="74"/>
        <v>Expert</v>
      </c>
      <c r="U1193" t="str">
        <f t="shared" si="75"/>
        <v>Low Impact</v>
      </c>
    </row>
    <row r="1194" spans="1:21" x14ac:dyDescent="0.3">
      <c r="A1194" t="s">
        <v>946</v>
      </c>
      <c r="B1194">
        <v>42</v>
      </c>
      <c r="C1194" t="s">
        <v>18</v>
      </c>
      <c r="D1194" t="s">
        <v>28</v>
      </c>
      <c r="E1194" t="s">
        <v>51</v>
      </c>
      <c r="F1194" t="s">
        <v>130</v>
      </c>
      <c r="G1194">
        <v>19</v>
      </c>
      <c r="H1194" t="s">
        <v>31</v>
      </c>
      <c r="I1194" t="s">
        <v>37</v>
      </c>
      <c r="J1194" t="s">
        <v>23</v>
      </c>
      <c r="K1194" s="2">
        <v>108353</v>
      </c>
      <c r="L1194" s="2">
        <v>104569</v>
      </c>
      <c r="M1194" t="s">
        <v>38</v>
      </c>
      <c r="N1194">
        <v>54</v>
      </c>
      <c r="O1194" t="s">
        <v>25</v>
      </c>
      <c r="P1194">
        <v>5</v>
      </c>
      <c r="Q1194" s="1">
        <v>3.6</v>
      </c>
      <c r="R1194" s="2">
        <f t="shared" si="72"/>
        <v>-3784</v>
      </c>
      <c r="S1194" s="1">
        <f t="shared" si="73"/>
        <v>-3.492289092134043</v>
      </c>
      <c r="T1194" t="str">
        <f t="shared" si="74"/>
        <v>Expert</v>
      </c>
      <c r="U1194" t="str">
        <f t="shared" si="75"/>
        <v>Medium Impact</v>
      </c>
    </row>
    <row r="1195" spans="1:21" x14ac:dyDescent="0.3">
      <c r="A1195" t="s">
        <v>1634</v>
      </c>
      <c r="B1195">
        <v>36</v>
      </c>
      <c r="C1195" t="s">
        <v>54</v>
      </c>
      <c r="D1195" t="s">
        <v>40</v>
      </c>
      <c r="E1195" t="s">
        <v>29</v>
      </c>
      <c r="F1195" t="s">
        <v>104</v>
      </c>
      <c r="G1195">
        <v>10</v>
      </c>
      <c r="H1195" t="s">
        <v>31</v>
      </c>
      <c r="I1195" t="s">
        <v>37</v>
      </c>
      <c r="J1195" t="s">
        <v>25</v>
      </c>
      <c r="K1195" s="2">
        <v>94471</v>
      </c>
      <c r="L1195" s="2">
        <v>100728</v>
      </c>
      <c r="M1195" t="s">
        <v>38</v>
      </c>
      <c r="N1195">
        <v>50</v>
      </c>
      <c r="O1195" t="s">
        <v>23</v>
      </c>
      <c r="P1195">
        <v>9</v>
      </c>
      <c r="Q1195" s="1">
        <v>3.56</v>
      </c>
      <c r="R1195" s="2">
        <f t="shared" si="72"/>
        <v>6257</v>
      </c>
      <c r="S1195" s="1">
        <f t="shared" si="73"/>
        <v>6.6231965365032659</v>
      </c>
      <c r="T1195" t="str">
        <f t="shared" si="74"/>
        <v>Intermediate</v>
      </c>
      <c r="U1195" t="str">
        <f t="shared" si="75"/>
        <v>Medium Impact</v>
      </c>
    </row>
    <row r="1196" spans="1:21" x14ac:dyDescent="0.3">
      <c r="A1196" t="s">
        <v>555</v>
      </c>
      <c r="B1196">
        <v>22</v>
      </c>
      <c r="C1196" t="s">
        <v>27</v>
      </c>
      <c r="D1196" t="s">
        <v>34</v>
      </c>
      <c r="E1196" t="s">
        <v>35</v>
      </c>
      <c r="F1196" t="s">
        <v>132</v>
      </c>
      <c r="G1196">
        <v>0</v>
      </c>
      <c r="H1196" t="s">
        <v>31</v>
      </c>
      <c r="I1196" t="s">
        <v>22</v>
      </c>
      <c r="J1196" t="s">
        <v>23</v>
      </c>
      <c r="K1196" s="2">
        <v>83574</v>
      </c>
      <c r="L1196" s="2">
        <v>84055</v>
      </c>
      <c r="M1196" t="s">
        <v>32</v>
      </c>
      <c r="N1196">
        <v>37</v>
      </c>
      <c r="O1196" t="s">
        <v>23</v>
      </c>
      <c r="P1196">
        <v>5</v>
      </c>
      <c r="Q1196" s="1">
        <v>3.55</v>
      </c>
      <c r="R1196" s="2">
        <f t="shared" si="72"/>
        <v>481</v>
      </c>
      <c r="S1196" s="1">
        <f t="shared" si="73"/>
        <v>0.57553784669873409</v>
      </c>
      <c r="T1196" t="str">
        <f t="shared" si="74"/>
        <v>Beginner</v>
      </c>
      <c r="U1196" t="str">
        <f t="shared" si="75"/>
        <v>Low Impact</v>
      </c>
    </row>
    <row r="1197" spans="1:21" x14ac:dyDescent="0.3">
      <c r="A1197" t="s">
        <v>1415</v>
      </c>
      <c r="B1197">
        <v>43</v>
      </c>
      <c r="C1197" t="s">
        <v>27</v>
      </c>
      <c r="D1197" t="s">
        <v>19</v>
      </c>
      <c r="E1197" t="s">
        <v>29</v>
      </c>
      <c r="F1197" t="s">
        <v>104</v>
      </c>
      <c r="G1197">
        <v>17</v>
      </c>
      <c r="H1197" t="s">
        <v>22</v>
      </c>
      <c r="I1197" t="s">
        <v>22</v>
      </c>
      <c r="J1197" t="s">
        <v>23</v>
      </c>
      <c r="K1197" s="2">
        <v>61996</v>
      </c>
      <c r="L1197" s="2">
        <v>74850</v>
      </c>
      <c r="M1197" t="s">
        <v>24</v>
      </c>
      <c r="N1197">
        <v>35</v>
      </c>
      <c r="O1197" t="s">
        <v>23</v>
      </c>
      <c r="P1197">
        <v>6</v>
      </c>
      <c r="Q1197" s="1">
        <v>3.52</v>
      </c>
      <c r="R1197" s="2">
        <f t="shared" si="72"/>
        <v>12854</v>
      </c>
      <c r="S1197" s="1">
        <f t="shared" si="73"/>
        <v>20.733595715852633</v>
      </c>
      <c r="T1197" t="str">
        <f t="shared" si="74"/>
        <v>Expert</v>
      </c>
      <c r="U1197" t="str">
        <f t="shared" si="75"/>
        <v>High Impact</v>
      </c>
    </row>
    <row r="1198" spans="1:21" x14ac:dyDescent="0.3">
      <c r="A1198" t="s">
        <v>628</v>
      </c>
      <c r="B1198">
        <v>50</v>
      </c>
      <c r="C1198" t="s">
        <v>54</v>
      </c>
      <c r="D1198" t="s">
        <v>28</v>
      </c>
      <c r="E1198" t="s">
        <v>41</v>
      </c>
      <c r="F1198" t="s">
        <v>49</v>
      </c>
      <c r="G1198">
        <v>27</v>
      </c>
      <c r="H1198" t="s">
        <v>22</v>
      </c>
      <c r="I1198" t="s">
        <v>31</v>
      </c>
      <c r="J1198" t="s">
        <v>25</v>
      </c>
      <c r="K1198" s="2">
        <v>101696</v>
      </c>
      <c r="L1198" s="2">
        <v>93941</v>
      </c>
      <c r="M1198" t="s">
        <v>32</v>
      </c>
      <c r="N1198">
        <v>51</v>
      </c>
      <c r="O1198" t="s">
        <v>23</v>
      </c>
      <c r="P1198">
        <v>5</v>
      </c>
      <c r="Q1198" s="1">
        <v>3.51</v>
      </c>
      <c r="R1198" s="2">
        <f t="shared" si="72"/>
        <v>-7755</v>
      </c>
      <c r="S1198" s="1">
        <f t="shared" si="73"/>
        <v>-7.6256686595342984</v>
      </c>
      <c r="T1198" t="str">
        <f t="shared" si="74"/>
        <v>Expert</v>
      </c>
      <c r="U1198" t="str">
        <f t="shared" si="75"/>
        <v>Low Impact</v>
      </c>
    </row>
    <row r="1199" spans="1:21" x14ac:dyDescent="0.3">
      <c r="A1199" t="s">
        <v>303</v>
      </c>
      <c r="B1199">
        <v>46</v>
      </c>
      <c r="C1199" t="s">
        <v>18</v>
      </c>
      <c r="D1199" t="s">
        <v>34</v>
      </c>
      <c r="E1199" t="s">
        <v>51</v>
      </c>
      <c r="F1199" t="s">
        <v>130</v>
      </c>
      <c r="G1199">
        <v>21</v>
      </c>
      <c r="H1199" t="s">
        <v>37</v>
      </c>
      <c r="I1199" t="s">
        <v>31</v>
      </c>
      <c r="J1199" t="s">
        <v>25</v>
      </c>
      <c r="K1199" s="2">
        <v>99350</v>
      </c>
      <c r="L1199" s="2">
        <v>94288</v>
      </c>
      <c r="M1199" t="s">
        <v>32</v>
      </c>
      <c r="N1199">
        <v>36</v>
      </c>
      <c r="O1199" t="s">
        <v>25</v>
      </c>
      <c r="P1199">
        <v>5</v>
      </c>
      <c r="Q1199" s="1">
        <v>3.46</v>
      </c>
      <c r="R1199" s="2">
        <f t="shared" si="72"/>
        <v>-5062</v>
      </c>
      <c r="S1199" s="1">
        <f t="shared" si="73"/>
        <v>-5.0951182687468544</v>
      </c>
      <c r="T1199" t="str">
        <f t="shared" si="74"/>
        <v>Expert</v>
      </c>
      <c r="U1199" t="str">
        <f t="shared" si="75"/>
        <v>Low Impact</v>
      </c>
    </row>
    <row r="1200" spans="1:21" x14ac:dyDescent="0.3">
      <c r="A1200" t="s">
        <v>585</v>
      </c>
      <c r="B1200">
        <v>37</v>
      </c>
      <c r="C1200" t="s">
        <v>18</v>
      </c>
      <c r="D1200" t="s">
        <v>19</v>
      </c>
      <c r="E1200" t="s">
        <v>35</v>
      </c>
      <c r="F1200" t="s">
        <v>98</v>
      </c>
      <c r="G1200">
        <v>12</v>
      </c>
      <c r="H1200" t="s">
        <v>22</v>
      </c>
      <c r="I1200" t="s">
        <v>37</v>
      </c>
      <c r="J1200" t="s">
        <v>25</v>
      </c>
      <c r="K1200" s="2">
        <v>30112</v>
      </c>
      <c r="L1200" s="2">
        <v>24447</v>
      </c>
      <c r="M1200" t="s">
        <v>38</v>
      </c>
      <c r="N1200">
        <v>39</v>
      </c>
      <c r="O1200" t="s">
        <v>25</v>
      </c>
      <c r="P1200">
        <v>5</v>
      </c>
      <c r="Q1200" s="1">
        <v>3.44</v>
      </c>
      <c r="R1200" s="2">
        <f t="shared" si="72"/>
        <v>-5665</v>
      </c>
      <c r="S1200" s="1">
        <f t="shared" si="73"/>
        <v>-18.813097768331563</v>
      </c>
      <c r="T1200" t="str">
        <f t="shared" si="74"/>
        <v>Intermediate</v>
      </c>
      <c r="U1200" t="str">
        <f t="shared" si="75"/>
        <v>Medium Impact</v>
      </c>
    </row>
    <row r="1201" spans="1:21" x14ac:dyDescent="0.3">
      <c r="A1201" t="s">
        <v>715</v>
      </c>
      <c r="B1201">
        <v>36</v>
      </c>
      <c r="C1201" t="s">
        <v>27</v>
      </c>
      <c r="D1201" t="s">
        <v>34</v>
      </c>
      <c r="E1201" t="s">
        <v>29</v>
      </c>
      <c r="F1201" t="s">
        <v>30</v>
      </c>
      <c r="G1201">
        <v>14</v>
      </c>
      <c r="H1201" t="s">
        <v>22</v>
      </c>
      <c r="I1201" t="s">
        <v>37</v>
      </c>
      <c r="J1201" t="s">
        <v>23</v>
      </c>
      <c r="K1201" s="2">
        <v>61508</v>
      </c>
      <c r="L1201" s="2">
        <v>70744</v>
      </c>
      <c r="M1201" t="s">
        <v>38</v>
      </c>
      <c r="N1201">
        <v>40</v>
      </c>
      <c r="O1201" t="s">
        <v>23</v>
      </c>
      <c r="P1201">
        <v>3</v>
      </c>
      <c r="Q1201" s="1">
        <v>3.41</v>
      </c>
      <c r="R1201" s="2">
        <f t="shared" si="72"/>
        <v>9236</v>
      </c>
      <c r="S1201" s="1">
        <f t="shared" si="73"/>
        <v>15.015932886778954</v>
      </c>
      <c r="T1201" t="str">
        <f t="shared" si="74"/>
        <v>Intermediate</v>
      </c>
      <c r="U1201" t="str">
        <f t="shared" si="75"/>
        <v>Medium Impact</v>
      </c>
    </row>
    <row r="1202" spans="1:21" x14ac:dyDescent="0.3">
      <c r="A1202" t="s">
        <v>127</v>
      </c>
      <c r="B1202">
        <v>51</v>
      </c>
      <c r="C1202" t="s">
        <v>27</v>
      </c>
      <c r="D1202" t="s">
        <v>34</v>
      </c>
      <c r="E1202" t="s">
        <v>59</v>
      </c>
      <c r="F1202" t="s">
        <v>93</v>
      </c>
      <c r="G1202">
        <v>29</v>
      </c>
      <c r="H1202" t="s">
        <v>37</v>
      </c>
      <c r="I1202" t="s">
        <v>37</v>
      </c>
      <c r="J1202" t="s">
        <v>23</v>
      </c>
      <c r="K1202" s="2">
        <v>44397</v>
      </c>
      <c r="L1202" s="2">
        <v>46571</v>
      </c>
      <c r="M1202" t="s">
        <v>38</v>
      </c>
      <c r="N1202">
        <v>47</v>
      </c>
      <c r="O1202" t="s">
        <v>23</v>
      </c>
      <c r="P1202">
        <v>5</v>
      </c>
      <c r="Q1202" s="1">
        <v>3.38</v>
      </c>
      <c r="R1202" s="2">
        <f t="shared" si="72"/>
        <v>2174</v>
      </c>
      <c r="S1202" s="1">
        <f t="shared" si="73"/>
        <v>4.896727256346149</v>
      </c>
      <c r="T1202" t="str">
        <f t="shared" si="74"/>
        <v>Expert</v>
      </c>
      <c r="U1202" t="str">
        <f t="shared" si="75"/>
        <v>Medium Impact</v>
      </c>
    </row>
    <row r="1203" spans="1:21" x14ac:dyDescent="0.3">
      <c r="A1203" t="s">
        <v>484</v>
      </c>
      <c r="B1203">
        <v>50</v>
      </c>
      <c r="C1203" t="s">
        <v>27</v>
      </c>
      <c r="D1203" t="s">
        <v>28</v>
      </c>
      <c r="E1203" t="s">
        <v>41</v>
      </c>
      <c r="F1203" t="s">
        <v>55</v>
      </c>
      <c r="G1203">
        <v>24</v>
      </c>
      <c r="H1203" t="s">
        <v>37</v>
      </c>
      <c r="I1203" t="s">
        <v>22</v>
      </c>
      <c r="J1203" t="s">
        <v>23</v>
      </c>
      <c r="K1203" s="2">
        <v>50538</v>
      </c>
      <c r="L1203" s="2">
        <v>60056</v>
      </c>
      <c r="M1203" t="s">
        <v>32</v>
      </c>
      <c r="N1203">
        <v>47</v>
      </c>
      <c r="O1203" t="s">
        <v>25</v>
      </c>
      <c r="P1203">
        <v>8</v>
      </c>
      <c r="Q1203" s="1">
        <v>3.37</v>
      </c>
      <c r="R1203" s="2">
        <f t="shared" si="72"/>
        <v>9518</v>
      </c>
      <c r="S1203" s="1">
        <f t="shared" si="73"/>
        <v>18.833353120424235</v>
      </c>
      <c r="T1203" t="str">
        <f t="shared" si="74"/>
        <v>Expert</v>
      </c>
      <c r="U1203" t="str">
        <f t="shared" si="75"/>
        <v>Low Impact</v>
      </c>
    </row>
    <row r="1204" spans="1:21" x14ac:dyDescent="0.3">
      <c r="A1204" t="s">
        <v>1575</v>
      </c>
      <c r="B1204">
        <v>45</v>
      </c>
      <c r="C1204" t="s">
        <v>27</v>
      </c>
      <c r="D1204" t="s">
        <v>40</v>
      </c>
      <c r="E1204" t="s">
        <v>29</v>
      </c>
      <c r="F1204" t="s">
        <v>104</v>
      </c>
      <c r="G1204">
        <v>19</v>
      </c>
      <c r="H1204" t="s">
        <v>22</v>
      </c>
      <c r="I1204" t="s">
        <v>31</v>
      </c>
      <c r="J1204" t="s">
        <v>25</v>
      </c>
      <c r="K1204" s="2">
        <v>90289</v>
      </c>
      <c r="L1204" s="2">
        <v>84152</v>
      </c>
      <c r="M1204" t="s">
        <v>32</v>
      </c>
      <c r="N1204">
        <v>46</v>
      </c>
      <c r="O1204" t="s">
        <v>23</v>
      </c>
      <c r="P1204">
        <v>6</v>
      </c>
      <c r="Q1204" s="1">
        <v>3.31</v>
      </c>
      <c r="R1204" s="2">
        <f t="shared" si="72"/>
        <v>-6137</v>
      </c>
      <c r="S1204" s="1">
        <f t="shared" si="73"/>
        <v>-6.7970627651208897</v>
      </c>
      <c r="T1204" t="str">
        <f t="shared" si="74"/>
        <v>Expert</v>
      </c>
      <c r="U1204" t="str">
        <f t="shared" si="75"/>
        <v>Low Impact</v>
      </c>
    </row>
    <row r="1205" spans="1:21" x14ac:dyDescent="0.3">
      <c r="A1205" t="s">
        <v>539</v>
      </c>
      <c r="B1205">
        <v>40</v>
      </c>
      <c r="C1205" t="s">
        <v>18</v>
      </c>
      <c r="D1205" t="s">
        <v>28</v>
      </c>
      <c r="E1205" t="s">
        <v>59</v>
      </c>
      <c r="F1205" t="s">
        <v>93</v>
      </c>
      <c r="G1205">
        <v>16</v>
      </c>
      <c r="H1205" t="s">
        <v>31</v>
      </c>
      <c r="I1205" t="s">
        <v>31</v>
      </c>
      <c r="J1205" t="s">
        <v>25</v>
      </c>
      <c r="K1205" s="2">
        <v>85751</v>
      </c>
      <c r="L1205" s="2">
        <v>89643</v>
      </c>
      <c r="M1205" t="s">
        <v>32</v>
      </c>
      <c r="N1205">
        <v>45</v>
      </c>
      <c r="O1205" t="s">
        <v>25</v>
      </c>
      <c r="P1205">
        <v>5</v>
      </c>
      <c r="Q1205" s="1">
        <v>3.29</v>
      </c>
      <c r="R1205" s="2">
        <f t="shared" si="72"/>
        <v>3892</v>
      </c>
      <c r="S1205" s="1">
        <f t="shared" si="73"/>
        <v>4.5387225804946887</v>
      </c>
      <c r="T1205" t="str">
        <f t="shared" si="74"/>
        <v>Expert</v>
      </c>
      <c r="U1205" t="str">
        <f t="shared" si="75"/>
        <v>Low Impact</v>
      </c>
    </row>
    <row r="1206" spans="1:21" x14ac:dyDescent="0.3">
      <c r="A1206" t="s">
        <v>1219</v>
      </c>
      <c r="B1206">
        <v>22</v>
      </c>
      <c r="C1206" t="s">
        <v>54</v>
      </c>
      <c r="D1206" t="s">
        <v>28</v>
      </c>
      <c r="E1206" t="s">
        <v>35</v>
      </c>
      <c r="F1206" t="s">
        <v>36</v>
      </c>
      <c r="G1206">
        <v>0</v>
      </c>
      <c r="H1206" t="s">
        <v>22</v>
      </c>
      <c r="I1206" t="s">
        <v>37</v>
      </c>
      <c r="J1206" t="s">
        <v>23</v>
      </c>
      <c r="K1206" s="2">
        <v>116784</v>
      </c>
      <c r="L1206" s="2">
        <v>150069</v>
      </c>
      <c r="M1206" t="s">
        <v>38</v>
      </c>
      <c r="N1206">
        <v>38</v>
      </c>
      <c r="O1206" t="s">
        <v>23</v>
      </c>
      <c r="P1206">
        <v>9</v>
      </c>
      <c r="Q1206" s="1">
        <v>3.28</v>
      </c>
      <c r="R1206" s="2">
        <f t="shared" si="72"/>
        <v>33285</v>
      </c>
      <c r="S1206" s="1">
        <f t="shared" si="73"/>
        <v>28.501335799424577</v>
      </c>
      <c r="T1206" t="str">
        <f t="shared" si="74"/>
        <v>Beginner</v>
      </c>
      <c r="U1206" t="str">
        <f t="shared" si="75"/>
        <v>Medium Impact</v>
      </c>
    </row>
    <row r="1207" spans="1:21" x14ac:dyDescent="0.3">
      <c r="A1207" t="s">
        <v>640</v>
      </c>
      <c r="B1207">
        <v>58</v>
      </c>
      <c r="C1207" t="s">
        <v>27</v>
      </c>
      <c r="D1207" t="s">
        <v>34</v>
      </c>
      <c r="E1207" t="s">
        <v>35</v>
      </c>
      <c r="F1207" t="s">
        <v>132</v>
      </c>
      <c r="G1207">
        <v>34</v>
      </c>
      <c r="H1207" t="s">
        <v>22</v>
      </c>
      <c r="I1207" t="s">
        <v>31</v>
      </c>
      <c r="J1207" t="s">
        <v>23</v>
      </c>
      <c r="K1207" s="2">
        <v>119791</v>
      </c>
      <c r="L1207" s="2">
        <v>147096</v>
      </c>
      <c r="M1207" t="s">
        <v>32</v>
      </c>
      <c r="N1207">
        <v>43</v>
      </c>
      <c r="O1207" t="s">
        <v>25</v>
      </c>
      <c r="P1207">
        <v>9</v>
      </c>
      <c r="Q1207" s="1">
        <v>3.2</v>
      </c>
      <c r="R1207" s="2">
        <f t="shared" si="72"/>
        <v>27305</v>
      </c>
      <c r="S1207" s="1">
        <f t="shared" si="73"/>
        <v>22.793865983254168</v>
      </c>
      <c r="T1207" t="str">
        <f t="shared" si="74"/>
        <v>Expert</v>
      </c>
      <c r="U1207" t="str">
        <f t="shared" si="75"/>
        <v>Low Impact</v>
      </c>
    </row>
    <row r="1208" spans="1:21" x14ac:dyDescent="0.3">
      <c r="A1208" t="s">
        <v>1025</v>
      </c>
      <c r="B1208">
        <v>47</v>
      </c>
      <c r="C1208" t="s">
        <v>18</v>
      </c>
      <c r="D1208" t="s">
        <v>28</v>
      </c>
      <c r="E1208" t="s">
        <v>59</v>
      </c>
      <c r="F1208" t="s">
        <v>60</v>
      </c>
      <c r="G1208">
        <v>24</v>
      </c>
      <c r="H1208" t="s">
        <v>37</v>
      </c>
      <c r="I1208" t="s">
        <v>31</v>
      </c>
      <c r="J1208" t="s">
        <v>23</v>
      </c>
      <c r="K1208" s="2">
        <v>63332</v>
      </c>
      <c r="L1208" s="2">
        <v>59535</v>
      </c>
      <c r="M1208" t="s">
        <v>32</v>
      </c>
      <c r="N1208">
        <v>36</v>
      </c>
      <c r="O1208" t="s">
        <v>25</v>
      </c>
      <c r="P1208">
        <v>7</v>
      </c>
      <c r="Q1208" s="1">
        <v>3.2</v>
      </c>
      <c r="R1208" s="2">
        <f t="shared" si="72"/>
        <v>-3797</v>
      </c>
      <c r="S1208" s="1">
        <f t="shared" si="73"/>
        <v>-5.9953893766184558</v>
      </c>
      <c r="T1208" t="str">
        <f t="shared" si="74"/>
        <v>Expert</v>
      </c>
      <c r="U1208" t="str">
        <f t="shared" si="75"/>
        <v>Low Impact</v>
      </c>
    </row>
    <row r="1209" spans="1:21" x14ac:dyDescent="0.3">
      <c r="A1209" t="s">
        <v>1202</v>
      </c>
      <c r="B1209">
        <v>27</v>
      </c>
      <c r="C1209" t="s">
        <v>18</v>
      </c>
      <c r="D1209" t="s">
        <v>40</v>
      </c>
      <c r="E1209" t="s">
        <v>44</v>
      </c>
      <c r="F1209" t="s">
        <v>57</v>
      </c>
      <c r="G1209">
        <v>2</v>
      </c>
      <c r="H1209" t="s">
        <v>22</v>
      </c>
      <c r="I1209" t="s">
        <v>37</v>
      </c>
      <c r="J1209" t="s">
        <v>23</v>
      </c>
      <c r="K1209" s="2">
        <v>117700</v>
      </c>
      <c r="L1209" s="2">
        <v>133715</v>
      </c>
      <c r="M1209" t="s">
        <v>38</v>
      </c>
      <c r="N1209">
        <v>41</v>
      </c>
      <c r="O1209" t="s">
        <v>23</v>
      </c>
      <c r="P1209">
        <v>6</v>
      </c>
      <c r="Q1209" s="1">
        <v>3.19</v>
      </c>
      <c r="R1209" s="2">
        <f t="shared" si="72"/>
        <v>16015</v>
      </c>
      <c r="S1209" s="1">
        <f t="shared" si="73"/>
        <v>13.606627017841971</v>
      </c>
      <c r="T1209" t="str">
        <f t="shared" si="74"/>
        <v>Beginner</v>
      </c>
      <c r="U1209" t="str">
        <f t="shared" si="75"/>
        <v>Medium Impact</v>
      </c>
    </row>
    <row r="1210" spans="1:21" x14ac:dyDescent="0.3">
      <c r="A1210" t="s">
        <v>245</v>
      </c>
      <c r="B1210">
        <v>55</v>
      </c>
      <c r="C1210" t="s">
        <v>54</v>
      </c>
      <c r="D1210" t="s">
        <v>28</v>
      </c>
      <c r="E1210" t="s">
        <v>51</v>
      </c>
      <c r="F1210" t="s">
        <v>130</v>
      </c>
      <c r="G1210">
        <v>31</v>
      </c>
      <c r="H1210" t="s">
        <v>37</v>
      </c>
      <c r="I1210" t="s">
        <v>22</v>
      </c>
      <c r="J1210" t="s">
        <v>23</v>
      </c>
      <c r="K1210" s="2">
        <v>59430</v>
      </c>
      <c r="L1210" s="2">
        <v>56793</v>
      </c>
      <c r="M1210" t="s">
        <v>32</v>
      </c>
      <c r="N1210">
        <v>37</v>
      </c>
      <c r="O1210" t="s">
        <v>25</v>
      </c>
      <c r="P1210">
        <v>5</v>
      </c>
      <c r="Q1210" s="1">
        <v>3.04</v>
      </c>
      <c r="R1210" s="2">
        <f t="shared" si="72"/>
        <v>-2637</v>
      </c>
      <c r="S1210" s="1">
        <f t="shared" si="73"/>
        <v>-4.4371529530540137</v>
      </c>
      <c r="T1210" t="str">
        <f t="shared" si="74"/>
        <v>Expert</v>
      </c>
      <c r="U1210" t="str">
        <f t="shared" si="75"/>
        <v>Low Impact</v>
      </c>
    </row>
    <row r="1211" spans="1:21" x14ac:dyDescent="0.3">
      <c r="A1211" t="s">
        <v>1432</v>
      </c>
      <c r="B1211">
        <v>56</v>
      </c>
      <c r="C1211" t="s">
        <v>18</v>
      </c>
      <c r="D1211" t="s">
        <v>34</v>
      </c>
      <c r="E1211" t="s">
        <v>44</v>
      </c>
      <c r="F1211" t="s">
        <v>47</v>
      </c>
      <c r="G1211">
        <v>30</v>
      </c>
      <c r="H1211" t="s">
        <v>22</v>
      </c>
      <c r="I1211" t="s">
        <v>31</v>
      </c>
      <c r="J1211" t="s">
        <v>23</v>
      </c>
      <c r="K1211" s="2">
        <v>99109</v>
      </c>
      <c r="L1211" s="2">
        <v>122808</v>
      </c>
      <c r="M1211" t="s">
        <v>32</v>
      </c>
      <c r="N1211">
        <v>52</v>
      </c>
      <c r="O1211" t="s">
        <v>25</v>
      </c>
      <c r="P1211">
        <v>9</v>
      </c>
      <c r="Q1211" s="1">
        <v>3.03</v>
      </c>
      <c r="R1211" s="2">
        <f t="shared" si="72"/>
        <v>23699</v>
      </c>
      <c r="S1211" s="1">
        <f t="shared" si="73"/>
        <v>23.912056422726494</v>
      </c>
      <c r="T1211" t="str">
        <f t="shared" si="74"/>
        <v>Expert</v>
      </c>
      <c r="U1211" t="str">
        <f t="shared" si="75"/>
        <v>Low Impact</v>
      </c>
    </row>
    <row r="1212" spans="1:21" x14ac:dyDescent="0.3">
      <c r="A1212" t="s">
        <v>1282</v>
      </c>
      <c r="B1212">
        <v>36</v>
      </c>
      <c r="C1212" t="s">
        <v>18</v>
      </c>
      <c r="D1212" t="s">
        <v>40</v>
      </c>
      <c r="E1212" t="s">
        <v>59</v>
      </c>
      <c r="F1212" t="s">
        <v>60</v>
      </c>
      <c r="G1212">
        <v>12</v>
      </c>
      <c r="H1212" t="s">
        <v>31</v>
      </c>
      <c r="I1212" t="s">
        <v>31</v>
      </c>
      <c r="J1212" t="s">
        <v>23</v>
      </c>
      <c r="K1212" s="2">
        <v>45659</v>
      </c>
      <c r="L1212" s="2">
        <v>50117</v>
      </c>
      <c r="M1212" t="s">
        <v>32</v>
      </c>
      <c r="N1212">
        <v>38</v>
      </c>
      <c r="O1212" t="s">
        <v>23</v>
      </c>
      <c r="P1212">
        <v>5</v>
      </c>
      <c r="Q1212" s="1">
        <v>3.01</v>
      </c>
      <c r="R1212" s="2">
        <f t="shared" si="72"/>
        <v>4458</v>
      </c>
      <c r="S1212" s="1">
        <f t="shared" si="73"/>
        <v>9.763682954072582</v>
      </c>
      <c r="T1212" t="str">
        <f t="shared" si="74"/>
        <v>Intermediate</v>
      </c>
      <c r="U1212" t="str">
        <f t="shared" si="75"/>
        <v>Low Impact</v>
      </c>
    </row>
    <row r="1213" spans="1:21" x14ac:dyDescent="0.3">
      <c r="A1213" t="s">
        <v>815</v>
      </c>
      <c r="B1213">
        <v>39</v>
      </c>
      <c r="C1213" t="s">
        <v>18</v>
      </c>
      <c r="D1213" t="s">
        <v>34</v>
      </c>
      <c r="E1213" t="s">
        <v>41</v>
      </c>
      <c r="F1213" t="s">
        <v>55</v>
      </c>
      <c r="G1213">
        <v>15</v>
      </c>
      <c r="H1213" t="s">
        <v>22</v>
      </c>
      <c r="I1213" t="s">
        <v>22</v>
      </c>
      <c r="J1213" t="s">
        <v>23</v>
      </c>
      <c r="K1213" s="2">
        <v>88502</v>
      </c>
      <c r="L1213" s="2">
        <v>118720</v>
      </c>
      <c r="M1213" t="s">
        <v>38</v>
      </c>
      <c r="N1213">
        <v>39</v>
      </c>
      <c r="O1213" t="s">
        <v>25</v>
      </c>
      <c r="P1213">
        <v>4</v>
      </c>
      <c r="Q1213" s="1">
        <v>2.99</v>
      </c>
      <c r="R1213" s="2">
        <f t="shared" si="72"/>
        <v>30218</v>
      </c>
      <c r="S1213" s="1">
        <f t="shared" si="73"/>
        <v>34.143861155680099</v>
      </c>
      <c r="T1213" t="str">
        <f t="shared" si="74"/>
        <v>Expert</v>
      </c>
      <c r="U1213" t="str">
        <f t="shared" si="75"/>
        <v>Medium Impact</v>
      </c>
    </row>
    <row r="1214" spans="1:21" x14ac:dyDescent="0.3">
      <c r="A1214" t="s">
        <v>1684</v>
      </c>
      <c r="B1214">
        <v>50</v>
      </c>
      <c r="C1214" t="s">
        <v>18</v>
      </c>
      <c r="D1214" t="s">
        <v>19</v>
      </c>
      <c r="E1214" t="s">
        <v>44</v>
      </c>
      <c r="F1214" t="s">
        <v>47</v>
      </c>
      <c r="G1214">
        <v>26</v>
      </c>
      <c r="H1214" t="s">
        <v>31</v>
      </c>
      <c r="I1214" t="s">
        <v>31</v>
      </c>
      <c r="J1214" t="s">
        <v>25</v>
      </c>
      <c r="K1214" s="2">
        <v>87944</v>
      </c>
      <c r="L1214" s="2">
        <v>89774</v>
      </c>
      <c r="M1214" t="s">
        <v>32</v>
      </c>
      <c r="N1214">
        <v>50</v>
      </c>
      <c r="O1214" t="s">
        <v>23</v>
      </c>
      <c r="P1214">
        <v>5</v>
      </c>
      <c r="Q1214" s="1">
        <v>2.97</v>
      </c>
      <c r="R1214" s="2">
        <f t="shared" si="72"/>
        <v>1830</v>
      </c>
      <c r="S1214" s="1">
        <f t="shared" si="73"/>
        <v>2.0808696443191121</v>
      </c>
      <c r="T1214" t="str">
        <f t="shared" si="74"/>
        <v>Expert</v>
      </c>
      <c r="U1214" t="str">
        <f t="shared" si="75"/>
        <v>Low Impact</v>
      </c>
    </row>
    <row r="1215" spans="1:21" x14ac:dyDescent="0.3">
      <c r="A1215" t="s">
        <v>945</v>
      </c>
      <c r="B1215">
        <v>55</v>
      </c>
      <c r="C1215" t="s">
        <v>27</v>
      </c>
      <c r="D1215" t="s">
        <v>40</v>
      </c>
      <c r="E1215" t="s">
        <v>29</v>
      </c>
      <c r="F1215" t="s">
        <v>30</v>
      </c>
      <c r="G1215">
        <v>33</v>
      </c>
      <c r="H1215" t="s">
        <v>37</v>
      </c>
      <c r="I1215" t="s">
        <v>22</v>
      </c>
      <c r="J1215" t="s">
        <v>25</v>
      </c>
      <c r="K1215" s="2">
        <v>71139</v>
      </c>
      <c r="L1215" s="2">
        <v>73094</v>
      </c>
      <c r="M1215" t="s">
        <v>32</v>
      </c>
      <c r="N1215">
        <v>41</v>
      </c>
      <c r="O1215" t="s">
        <v>23</v>
      </c>
      <c r="P1215">
        <v>3</v>
      </c>
      <c r="Q1215" s="1">
        <v>2.97</v>
      </c>
      <c r="R1215" s="2">
        <f t="shared" si="72"/>
        <v>1955</v>
      </c>
      <c r="S1215" s="1">
        <f t="shared" si="73"/>
        <v>2.7481409634658909</v>
      </c>
      <c r="T1215" t="str">
        <f t="shared" si="74"/>
        <v>Expert</v>
      </c>
      <c r="U1215" t="str">
        <f t="shared" si="75"/>
        <v>Low Impact</v>
      </c>
    </row>
    <row r="1216" spans="1:21" x14ac:dyDescent="0.3">
      <c r="A1216" t="s">
        <v>1813</v>
      </c>
      <c r="B1216">
        <v>53</v>
      </c>
      <c r="C1216" t="s">
        <v>18</v>
      </c>
      <c r="D1216" t="s">
        <v>34</v>
      </c>
      <c r="E1216" t="s">
        <v>51</v>
      </c>
      <c r="F1216" t="s">
        <v>52</v>
      </c>
      <c r="G1216">
        <v>28</v>
      </c>
      <c r="H1216" t="s">
        <v>22</v>
      </c>
      <c r="I1216" t="s">
        <v>31</v>
      </c>
      <c r="J1216" t="s">
        <v>25</v>
      </c>
      <c r="K1216" s="2">
        <v>37450</v>
      </c>
      <c r="L1216" s="2">
        <v>48563</v>
      </c>
      <c r="M1216" t="s">
        <v>32</v>
      </c>
      <c r="N1216">
        <v>44</v>
      </c>
      <c r="O1216" t="s">
        <v>25</v>
      </c>
      <c r="P1216">
        <v>9</v>
      </c>
      <c r="Q1216" s="1">
        <v>2.97</v>
      </c>
      <c r="R1216" s="2">
        <f t="shared" si="72"/>
        <v>11113</v>
      </c>
      <c r="S1216" s="1">
        <f t="shared" si="73"/>
        <v>29.67423230974633</v>
      </c>
      <c r="T1216" t="str">
        <f t="shared" si="74"/>
        <v>Expert</v>
      </c>
      <c r="U1216" t="str">
        <f t="shared" si="75"/>
        <v>Low Impact</v>
      </c>
    </row>
    <row r="1217" spans="1:21" x14ac:dyDescent="0.3">
      <c r="A1217" t="s">
        <v>742</v>
      </c>
      <c r="B1217">
        <v>26</v>
      </c>
      <c r="C1217" t="s">
        <v>54</v>
      </c>
      <c r="D1217" t="s">
        <v>34</v>
      </c>
      <c r="E1217" t="s">
        <v>59</v>
      </c>
      <c r="F1217" t="s">
        <v>93</v>
      </c>
      <c r="G1217">
        <v>2</v>
      </c>
      <c r="H1217" t="s">
        <v>31</v>
      </c>
      <c r="I1217" t="s">
        <v>31</v>
      </c>
      <c r="J1217" t="s">
        <v>23</v>
      </c>
      <c r="K1217" s="2">
        <v>70469</v>
      </c>
      <c r="L1217" s="2">
        <v>68345</v>
      </c>
      <c r="M1217" t="s">
        <v>32</v>
      </c>
      <c r="N1217">
        <v>45</v>
      </c>
      <c r="O1217" t="s">
        <v>23</v>
      </c>
      <c r="P1217">
        <v>7</v>
      </c>
      <c r="Q1217" s="1">
        <v>2.94</v>
      </c>
      <c r="R1217" s="2">
        <f t="shared" si="72"/>
        <v>-2124</v>
      </c>
      <c r="S1217" s="1">
        <f t="shared" si="73"/>
        <v>-3.014091302558572</v>
      </c>
      <c r="T1217" t="str">
        <f t="shared" si="74"/>
        <v>Beginner</v>
      </c>
      <c r="U1217" t="str">
        <f t="shared" si="75"/>
        <v>Low Impact</v>
      </c>
    </row>
    <row r="1218" spans="1:21" x14ac:dyDescent="0.3">
      <c r="A1218" t="s">
        <v>1671</v>
      </c>
      <c r="B1218">
        <v>47</v>
      </c>
      <c r="C1218" t="s">
        <v>27</v>
      </c>
      <c r="D1218" t="s">
        <v>28</v>
      </c>
      <c r="E1218" t="s">
        <v>59</v>
      </c>
      <c r="F1218" t="s">
        <v>60</v>
      </c>
      <c r="G1218">
        <v>21</v>
      </c>
      <c r="H1218" t="s">
        <v>22</v>
      </c>
      <c r="I1218" t="s">
        <v>22</v>
      </c>
      <c r="J1218" t="s">
        <v>25</v>
      </c>
      <c r="K1218" s="2">
        <v>100022</v>
      </c>
      <c r="L1218" s="2">
        <v>119848</v>
      </c>
      <c r="M1218" t="s">
        <v>38</v>
      </c>
      <c r="N1218">
        <v>39</v>
      </c>
      <c r="O1218" t="s">
        <v>25</v>
      </c>
      <c r="P1218">
        <v>3</v>
      </c>
      <c r="Q1218" s="1">
        <v>2.87</v>
      </c>
      <c r="R1218" s="2">
        <f t="shared" ref="R1218:R1281" si="76">L1218-K1218</f>
        <v>19826</v>
      </c>
      <c r="S1218" s="1">
        <f t="shared" ref="S1218:S1281" si="77">(L1218-K1218)/K1218*100</f>
        <v>19.82163923936734</v>
      </c>
      <c r="T1218" t="str">
        <f t="shared" ref="T1218:T1281" si="78">IF(G1218&lt;5,"Beginner",IF(G1218&lt;15,"Intermediate","Expert"))</f>
        <v>Expert</v>
      </c>
      <c r="U1218" t="str">
        <f t="shared" ref="U1218:U1281" si="79">IF(M1218="Replaced","High Impact",IF(M1218="Modified","Medium Impact","Low Impact"))</f>
        <v>Medium Impact</v>
      </c>
    </row>
    <row r="1219" spans="1:21" x14ac:dyDescent="0.3">
      <c r="A1219" t="s">
        <v>444</v>
      </c>
      <c r="B1219">
        <v>59</v>
      </c>
      <c r="C1219" t="s">
        <v>18</v>
      </c>
      <c r="D1219" t="s">
        <v>34</v>
      </c>
      <c r="E1219" t="s">
        <v>59</v>
      </c>
      <c r="F1219" t="s">
        <v>77</v>
      </c>
      <c r="G1219">
        <v>34</v>
      </c>
      <c r="H1219" t="s">
        <v>37</v>
      </c>
      <c r="I1219" t="s">
        <v>31</v>
      </c>
      <c r="J1219" t="s">
        <v>25</v>
      </c>
      <c r="K1219" s="2">
        <v>116516</v>
      </c>
      <c r="L1219" s="2">
        <v>123972</v>
      </c>
      <c r="M1219" t="s">
        <v>32</v>
      </c>
      <c r="N1219">
        <v>48</v>
      </c>
      <c r="O1219" t="s">
        <v>23</v>
      </c>
      <c r="P1219">
        <v>5</v>
      </c>
      <c r="Q1219" s="1">
        <v>2.82</v>
      </c>
      <c r="R1219" s="2">
        <f t="shared" si="76"/>
        <v>7456</v>
      </c>
      <c r="S1219" s="1">
        <f t="shared" si="77"/>
        <v>6.3991211507432446</v>
      </c>
      <c r="T1219" t="str">
        <f t="shared" si="78"/>
        <v>Expert</v>
      </c>
      <c r="U1219" t="str">
        <f t="shared" si="79"/>
        <v>Low Impact</v>
      </c>
    </row>
    <row r="1220" spans="1:21" x14ac:dyDescent="0.3">
      <c r="A1220" t="s">
        <v>1701</v>
      </c>
      <c r="B1220">
        <v>27</v>
      </c>
      <c r="C1220" t="s">
        <v>54</v>
      </c>
      <c r="D1220" t="s">
        <v>40</v>
      </c>
      <c r="E1220" t="s">
        <v>41</v>
      </c>
      <c r="F1220" t="s">
        <v>55</v>
      </c>
      <c r="G1220">
        <v>4</v>
      </c>
      <c r="H1220" t="s">
        <v>37</v>
      </c>
      <c r="I1220" t="s">
        <v>31</v>
      </c>
      <c r="J1220" t="s">
        <v>23</v>
      </c>
      <c r="K1220" s="2">
        <v>83950</v>
      </c>
      <c r="L1220" s="2">
        <v>81536</v>
      </c>
      <c r="M1220" t="s">
        <v>32</v>
      </c>
      <c r="N1220">
        <v>54</v>
      </c>
      <c r="O1220" t="s">
        <v>25</v>
      </c>
      <c r="P1220">
        <v>7</v>
      </c>
      <c r="Q1220" s="1">
        <v>2.79</v>
      </c>
      <c r="R1220" s="2">
        <f t="shared" si="76"/>
        <v>-2414</v>
      </c>
      <c r="S1220" s="1">
        <f t="shared" si="77"/>
        <v>-2.8755211435378203</v>
      </c>
      <c r="T1220" t="str">
        <f t="shared" si="78"/>
        <v>Beginner</v>
      </c>
      <c r="U1220" t="str">
        <f t="shared" si="79"/>
        <v>Low Impact</v>
      </c>
    </row>
    <row r="1221" spans="1:21" x14ac:dyDescent="0.3">
      <c r="A1221" t="s">
        <v>325</v>
      </c>
      <c r="B1221">
        <v>35</v>
      </c>
      <c r="C1221" t="s">
        <v>18</v>
      </c>
      <c r="D1221" t="s">
        <v>28</v>
      </c>
      <c r="E1221" t="s">
        <v>41</v>
      </c>
      <c r="F1221" t="s">
        <v>42</v>
      </c>
      <c r="G1221">
        <v>12</v>
      </c>
      <c r="H1221" t="s">
        <v>37</v>
      </c>
      <c r="I1221" t="s">
        <v>31</v>
      </c>
      <c r="J1221" t="s">
        <v>25</v>
      </c>
      <c r="K1221" s="2">
        <v>55537</v>
      </c>
      <c r="L1221" s="2">
        <v>57705</v>
      </c>
      <c r="M1221" t="s">
        <v>32</v>
      </c>
      <c r="N1221">
        <v>42</v>
      </c>
      <c r="O1221" t="s">
        <v>25</v>
      </c>
      <c r="P1221">
        <v>4</v>
      </c>
      <c r="Q1221" s="1">
        <v>2.79</v>
      </c>
      <c r="R1221" s="2">
        <f t="shared" si="76"/>
        <v>2168</v>
      </c>
      <c r="S1221" s="1">
        <f t="shared" si="77"/>
        <v>3.9037038370815855</v>
      </c>
      <c r="T1221" t="str">
        <f t="shared" si="78"/>
        <v>Intermediate</v>
      </c>
      <c r="U1221" t="str">
        <f t="shared" si="79"/>
        <v>Low Impact</v>
      </c>
    </row>
    <row r="1222" spans="1:21" x14ac:dyDescent="0.3">
      <c r="A1222" t="s">
        <v>307</v>
      </c>
      <c r="B1222">
        <v>22</v>
      </c>
      <c r="C1222" t="s">
        <v>27</v>
      </c>
      <c r="D1222" t="s">
        <v>19</v>
      </c>
      <c r="E1222" t="s">
        <v>29</v>
      </c>
      <c r="F1222" t="s">
        <v>104</v>
      </c>
      <c r="G1222">
        <v>0</v>
      </c>
      <c r="H1222" t="s">
        <v>22</v>
      </c>
      <c r="I1222" t="s">
        <v>31</v>
      </c>
      <c r="J1222" t="s">
        <v>23</v>
      </c>
      <c r="K1222" s="2">
        <v>112495</v>
      </c>
      <c r="L1222" s="2">
        <v>114244</v>
      </c>
      <c r="M1222" t="s">
        <v>32</v>
      </c>
      <c r="N1222">
        <v>45</v>
      </c>
      <c r="O1222" t="s">
        <v>23</v>
      </c>
      <c r="P1222">
        <v>7</v>
      </c>
      <c r="Q1222" s="1">
        <v>2.76</v>
      </c>
      <c r="R1222" s="2">
        <f t="shared" si="76"/>
        <v>1749</v>
      </c>
      <c r="S1222" s="1">
        <f t="shared" si="77"/>
        <v>1.554735766034046</v>
      </c>
      <c r="T1222" t="str">
        <f t="shared" si="78"/>
        <v>Beginner</v>
      </c>
      <c r="U1222" t="str">
        <f t="shared" si="79"/>
        <v>Low Impact</v>
      </c>
    </row>
    <row r="1223" spans="1:21" x14ac:dyDescent="0.3">
      <c r="A1223" t="s">
        <v>659</v>
      </c>
      <c r="B1223">
        <v>46</v>
      </c>
      <c r="C1223" t="s">
        <v>54</v>
      </c>
      <c r="D1223" t="s">
        <v>19</v>
      </c>
      <c r="E1223" t="s">
        <v>51</v>
      </c>
      <c r="F1223" t="s">
        <v>75</v>
      </c>
      <c r="G1223">
        <v>21</v>
      </c>
      <c r="H1223" t="s">
        <v>37</v>
      </c>
      <c r="I1223" t="s">
        <v>22</v>
      </c>
      <c r="J1223" t="s">
        <v>23</v>
      </c>
      <c r="K1223" s="2">
        <v>114178</v>
      </c>
      <c r="L1223" s="2">
        <v>132506</v>
      </c>
      <c r="M1223" t="s">
        <v>32</v>
      </c>
      <c r="N1223">
        <v>36</v>
      </c>
      <c r="O1223" t="s">
        <v>23</v>
      </c>
      <c r="P1223">
        <v>9</v>
      </c>
      <c r="Q1223" s="1">
        <v>2.75</v>
      </c>
      <c r="R1223" s="2">
        <f t="shared" si="76"/>
        <v>18328</v>
      </c>
      <c r="S1223" s="1">
        <f t="shared" si="77"/>
        <v>16.052129131706632</v>
      </c>
      <c r="T1223" t="str">
        <f t="shared" si="78"/>
        <v>Expert</v>
      </c>
      <c r="U1223" t="str">
        <f t="shared" si="79"/>
        <v>Low Impact</v>
      </c>
    </row>
    <row r="1224" spans="1:21" x14ac:dyDescent="0.3">
      <c r="A1224" t="s">
        <v>1639</v>
      </c>
      <c r="B1224">
        <v>26</v>
      </c>
      <c r="C1224" t="s">
        <v>54</v>
      </c>
      <c r="D1224" t="s">
        <v>28</v>
      </c>
      <c r="E1224" t="s">
        <v>29</v>
      </c>
      <c r="F1224" t="s">
        <v>104</v>
      </c>
      <c r="G1224">
        <v>1</v>
      </c>
      <c r="H1224" t="s">
        <v>37</v>
      </c>
      <c r="I1224" t="s">
        <v>37</v>
      </c>
      <c r="J1224" t="s">
        <v>25</v>
      </c>
      <c r="K1224" s="2">
        <v>119439</v>
      </c>
      <c r="L1224" s="2">
        <v>108977</v>
      </c>
      <c r="M1224" t="s">
        <v>38</v>
      </c>
      <c r="N1224">
        <v>52</v>
      </c>
      <c r="O1224" t="s">
        <v>23</v>
      </c>
      <c r="P1224">
        <v>7</v>
      </c>
      <c r="Q1224" s="1">
        <v>2.73</v>
      </c>
      <c r="R1224" s="2">
        <f t="shared" si="76"/>
        <v>-10462</v>
      </c>
      <c r="S1224" s="1">
        <f t="shared" si="77"/>
        <v>-8.7592829812707738</v>
      </c>
      <c r="T1224" t="str">
        <f t="shared" si="78"/>
        <v>Beginner</v>
      </c>
      <c r="U1224" t="str">
        <f t="shared" si="79"/>
        <v>Medium Impact</v>
      </c>
    </row>
    <row r="1225" spans="1:21" x14ac:dyDescent="0.3">
      <c r="A1225" t="s">
        <v>1144</v>
      </c>
      <c r="B1225">
        <v>28</v>
      </c>
      <c r="C1225" t="s">
        <v>27</v>
      </c>
      <c r="D1225" t="s">
        <v>34</v>
      </c>
      <c r="E1225" t="s">
        <v>20</v>
      </c>
      <c r="F1225" t="s">
        <v>118</v>
      </c>
      <c r="G1225">
        <v>3</v>
      </c>
      <c r="H1225" t="s">
        <v>37</v>
      </c>
      <c r="I1225" t="s">
        <v>31</v>
      </c>
      <c r="J1225" t="s">
        <v>25</v>
      </c>
      <c r="K1225" s="2">
        <v>43163</v>
      </c>
      <c r="L1225" s="2">
        <v>41106</v>
      </c>
      <c r="M1225" t="s">
        <v>32</v>
      </c>
      <c r="N1225">
        <v>54</v>
      </c>
      <c r="O1225" t="s">
        <v>25</v>
      </c>
      <c r="P1225">
        <v>5</v>
      </c>
      <c r="Q1225" s="1">
        <v>2.72</v>
      </c>
      <c r="R1225" s="2">
        <f t="shared" si="76"/>
        <v>-2057</v>
      </c>
      <c r="S1225" s="1">
        <f t="shared" si="77"/>
        <v>-4.7656557699881841</v>
      </c>
      <c r="T1225" t="str">
        <f t="shared" si="78"/>
        <v>Beginner</v>
      </c>
      <c r="U1225" t="str">
        <f t="shared" si="79"/>
        <v>Low Impact</v>
      </c>
    </row>
    <row r="1226" spans="1:21" x14ac:dyDescent="0.3">
      <c r="A1226" t="s">
        <v>1411</v>
      </c>
      <c r="B1226">
        <v>28</v>
      </c>
      <c r="C1226" t="s">
        <v>27</v>
      </c>
      <c r="D1226" t="s">
        <v>19</v>
      </c>
      <c r="E1226" t="s">
        <v>20</v>
      </c>
      <c r="F1226" t="s">
        <v>88</v>
      </c>
      <c r="G1226">
        <v>6</v>
      </c>
      <c r="H1226" t="s">
        <v>37</v>
      </c>
      <c r="I1226" t="s">
        <v>37</v>
      </c>
      <c r="J1226" t="s">
        <v>23</v>
      </c>
      <c r="K1226" s="2">
        <v>38625</v>
      </c>
      <c r="L1226" s="2">
        <v>38036</v>
      </c>
      <c r="M1226" t="s">
        <v>38</v>
      </c>
      <c r="N1226">
        <v>47</v>
      </c>
      <c r="O1226" t="s">
        <v>25</v>
      </c>
      <c r="P1226">
        <v>9</v>
      </c>
      <c r="Q1226" s="1">
        <v>2.68</v>
      </c>
      <c r="R1226" s="2">
        <f t="shared" si="76"/>
        <v>-589</v>
      </c>
      <c r="S1226" s="1">
        <f t="shared" si="77"/>
        <v>-1.5249190938511328</v>
      </c>
      <c r="T1226" t="str">
        <f t="shared" si="78"/>
        <v>Intermediate</v>
      </c>
      <c r="U1226" t="str">
        <f t="shared" si="79"/>
        <v>Medium Impact</v>
      </c>
    </row>
    <row r="1227" spans="1:21" x14ac:dyDescent="0.3">
      <c r="A1227" t="s">
        <v>517</v>
      </c>
      <c r="B1227">
        <v>39</v>
      </c>
      <c r="C1227" t="s">
        <v>54</v>
      </c>
      <c r="D1227" t="s">
        <v>40</v>
      </c>
      <c r="E1227" t="s">
        <v>41</v>
      </c>
      <c r="F1227" t="s">
        <v>49</v>
      </c>
      <c r="G1227">
        <v>15</v>
      </c>
      <c r="H1227" t="s">
        <v>31</v>
      </c>
      <c r="I1227" t="s">
        <v>31</v>
      </c>
      <c r="J1227" t="s">
        <v>25</v>
      </c>
      <c r="K1227" s="2">
        <v>73148</v>
      </c>
      <c r="L1227" s="2">
        <v>74125</v>
      </c>
      <c r="M1227" t="s">
        <v>32</v>
      </c>
      <c r="N1227">
        <v>46</v>
      </c>
      <c r="O1227" t="s">
        <v>23</v>
      </c>
      <c r="P1227">
        <v>5</v>
      </c>
      <c r="Q1227" s="1">
        <v>2.64</v>
      </c>
      <c r="R1227" s="2">
        <f t="shared" si="76"/>
        <v>977</v>
      </c>
      <c r="S1227" s="1">
        <f t="shared" si="77"/>
        <v>1.335648274730683</v>
      </c>
      <c r="T1227" t="str">
        <f t="shared" si="78"/>
        <v>Expert</v>
      </c>
      <c r="U1227" t="str">
        <f t="shared" si="79"/>
        <v>Low Impact</v>
      </c>
    </row>
    <row r="1228" spans="1:21" x14ac:dyDescent="0.3">
      <c r="A1228" t="s">
        <v>149</v>
      </c>
      <c r="B1228">
        <v>54</v>
      </c>
      <c r="C1228" t="s">
        <v>27</v>
      </c>
      <c r="D1228" t="s">
        <v>34</v>
      </c>
      <c r="E1228" t="s">
        <v>35</v>
      </c>
      <c r="F1228" t="s">
        <v>98</v>
      </c>
      <c r="G1228">
        <v>32</v>
      </c>
      <c r="H1228" t="s">
        <v>37</v>
      </c>
      <c r="I1228" t="s">
        <v>31</v>
      </c>
      <c r="J1228" t="s">
        <v>25</v>
      </c>
      <c r="K1228" s="2">
        <v>38415</v>
      </c>
      <c r="L1228" s="2">
        <v>45928</v>
      </c>
      <c r="M1228" t="s">
        <v>32</v>
      </c>
      <c r="N1228">
        <v>51</v>
      </c>
      <c r="O1228" t="s">
        <v>25</v>
      </c>
      <c r="P1228">
        <v>7</v>
      </c>
      <c r="Q1228" s="1">
        <v>2.6</v>
      </c>
      <c r="R1228" s="2">
        <f t="shared" si="76"/>
        <v>7513</v>
      </c>
      <c r="S1228" s="1">
        <f t="shared" si="77"/>
        <v>19.55746453208382</v>
      </c>
      <c r="T1228" t="str">
        <f t="shared" si="78"/>
        <v>Expert</v>
      </c>
      <c r="U1228" t="str">
        <f t="shared" si="79"/>
        <v>Low Impact</v>
      </c>
    </row>
    <row r="1229" spans="1:21" x14ac:dyDescent="0.3">
      <c r="A1229" t="s">
        <v>137</v>
      </c>
      <c r="B1229">
        <v>28</v>
      </c>
      <c r="C1229" t="s">
        <v>18</v>
      </c>
      <c r="D1229" t="s">
        <v>40</v>
      </c>
      <c r="E1229" t="s">
        <v>29</v>
      </c>
      <c r="F1229" t="s">
        <v>104</v>
      </c>
      <c r="G1229">
        <v>6</v>
      </c>
      <c r="H1229" t="s">
        <v>37</v>
      </c>
      <c r="I1229" t="s">
        <v>22</v>
      </c>
      <c r="J1229" t="s">
        <v>23</v>
      </c>
      <c r="K1229" s="2">
        <v>31324</v>
      </c>
      <c r="L1229" s="2">
        <v>35271</v>
      </c>
      <c r="M1229" t="s">
        <v>32</v>
      </c>
      <c r="N1229">
        <v>53</v>
      </c>
      <c r="O1229" t="s">
        <v>23</v>
      </c>
      <c r="P1229">
        <v>7</v>
      </c>
      <c r="Q1229" s="1">
        <v>2.58</v>
      </c>
      <c r="R1229" s="2">
        <f t="shared" si="76"/>
        <v>3947</v>
      </c>
      <c r="S1229" s="1">
        <f t="shared" si="77"/>
        <v>12.60056186949304</v>
      </c>
      <c r="T1229" t="str">
        <f t="shared" si="78"/>
        <v>Intermediate</v>
      </c>
      <c r="U1229" t="str">
        <f t="shared" si="79"/>
        <v>Low Impact</v>
      </c>
    </row>
    <row r="1230" spans="1:21" x14ac:dyDescent="0.3">
      <c r="A1230" t="s">
        <v>140</v>
      </c>
      <c r="B1230">
        <v>22</v>
      </c>
      <c r="C1230" t="s">
        <v>27</v>
      </c>
      <c r="D1230" t="s">
        <v>19</v>
      </c>
      <c r="E1230" t="s">
        <v>20</v>
      </c>
      <c r="F1230" t="s">
        <v>118</v>
      </c>
      <c r="G1230">
        <v>0</v>
      </c>
      <c r="H1230" t="s">
        <v>37</v>
      </c>
      <c r="I1230" t="s">
        <v>22</v>
      </c>
      <c r="J1230" t="s">
        <v>23</v>
      </c>
      <c r="K1230" s="2">
        <v>110219</v>
      </c>
      <c r="L1230" s="2">
        <v>131012</v>
      </c>
      <c r="M1230" t="s">
        <v>32</v>
      </c>
      <c r="N1230">
        <v>51</v>
      </c>
      <c r="O1230" t="s">
        <v>23</v>
      </c>
      <c r="P1230">
        <v>3</v>
      </c>
      <c r="Q1230" s="1">
        <v>2.4900000000000002</v>
      </c>
      <c r="R1230" s="2">
        <f t="shared" si="76"/>
        <v>20793</v>
      </c>
      <c r="S1230" s="1">
        <f t="shared" si="77"/>
        <v>18.865168437383755</v>
      </c>
      <c r="T1230" t="str">
        <f t="shared" si="78"/>
        <v>Beginner</v>
      </c>
      <c r="U1230" t="str">
        <f t="shared" si="79"/>
        <v>Low Impact</v>
      </c>
    </row>
    <row r="1231" spans="1:21" x14ac:dyDescent="0.3">
      <c r="A1231" t="s">
        <v>857</v>
      </c>
      <c r="B1231">
        <v>44</v>
      </c>
      <c r="C1231" t="s">
        <v>18</v>
      </c>
      <c r="D1231" t="s">
        <v>34</v>
      </c>
      <c r="E1231" t="s">
        <v>44</v>
      </c>
      <c r="F1231" t="s">
        <v>45</v>
      </c>
      <c r="G1231">
        <v>18</v>
      </c>
      <c r="H1231" t="s">
        <v>22</v>
      </c>
      <c r="I1231" t="s">
        <v>22</v>
      </c>
      <c r="J1231" t="s">
        <v>23</v>
      </c>
      <c r="K1231" s="2">
        <v>47558</v>
      </c>
      <c r="L1231" s="2">
        <v>49059</v>
      </c>
      <c r="M1231" t="s">
        <v>24</v>
      </c>
      <c r="N1231">
        <v>39</v>
      </c>
      <c r="O1231" t="s">
        <v>25</v>
      </c>
      <c r="P1231">
        <v>9</v>
      </c>
      <c r="Q1231" s="1">
        <v>2.44</v>
      </c>
      <c r="R1231" s="2">
        <f t="shared" si="76"/>
        <v>1501</v>
      </c>
      <c r="S1231" s="1">
        <f t="shared" si="77"/>
        <v>3.1561461794019934</v>
      </c>
      <c r="T1231" t="str">
        <f t="shared" si="78"/>
        <v>Expert</v>
      </c>
      <c r="U1231" t="str">
        <f t="shared" si="79"/>
        <v>High Impact</v>
      </c>
    </row>
    <row r="1232" spans="1:21" x14ac:dyDescent="0.3">
      <c r="A1232" t="s">
        <v>213</v>
      </c>
      <c r="B1232">
        <v>29</v>
      </c>
      <c r="C1232" t="s">
        <v>54</v>
      </c>
      <c r="D1232" t="s">
        <v>19</v>
      </c>
      <c r="E1232" t="s">
        <v>35</v>
      </c>
      <c r="F1232" t="s">
        <v>98</v>
      </c>
      <c r="G1232">
        <v>3</v>
      </c>
      <c r="H1232" t="s">
        <v>22</v>
      </c>
      <c r="I1232" t="s">
        <v>31</v>
      </c>
      <c r="J1232" t="s">
        <v>23</v>
      </c>
      <c r="K1232" s="2">
        <v>42342</v>
      </c>
      <c r="L1232" s="2">
        <v>57909</v>
      </c>
      <c r="M1232" t="s">
        <v>32</v>
      </c>
      <c r="N1232">
        <v>44</v>
      </c>
      <c r="O1232" t="s">
        <v>25</v>
      </c>
      <c r="P1232">
        <v>5</v>
      </c>
      <c r="Q1232" s="1">
        <v>2.4</v>
      </c>
      <c r="R1232" s="2">
        <f t="shared" si="76"/>
        <v>15567</v>
      </c>
      <c r="S1232" s="1">
        <f t="shared" si="77"/>
        <v>36.764914269519629</v>
      </c>
      <c r="T1232" t="str">
        <f t="shared" si="78"/>
        <v>Beginner</v>
      </c>
      <c r="U1232" t="str">
        <f t="shared" si="79"/>
        <v>Low Impact</v>
      </c>
    </row>
    <row r="1233" spans="1:21" x14ac:dyDescent="0.3">
      <c r="A1233" t="s">
        <v>1223</v>
      </c>
      <c r="B1233">
        <v>50</v>
      </c>
      <c r="C1233" t="s">
        <v>27</v>
      </c>
      <c r="D1233" t="s">
        <v>40</v>
      </c>
      <c r="E1233" t="s">
        <v>20</v>
      </c>
      <c r="F1233" t="s">
        <v>88</v>
      </c>
      <c r="G1233">
        <v>24</v>
      </c>
      <c r="H1233" t="s">
        <v>22</v>
      </c>
      <c r="I1233" t="s">
        <v>31</v>
      </c>
      <c r="J1233" t="s">
        <v>23</v>
      </c>
      <c r="K1233" s="2">
        <v>34944</v>
      </c>
      <c r="L1233" s="2">
        <v>28293</v>
      </c>
      <c r="M1233" t="s">
        <v>32</v>
      </c>
      <c r="N1233">
        <v>45</v>
      </c>
      <c r="O1233" t="s">
        <v>23</v>
      </c>
      <c r="P1233">
        <v>5</v>
      </c>
      <c r="Q1233" s="1">
        <v>2.36</v>
      </c>
      <c r="R1233" s="2">
        <f t="shared" si="76"/>
        <v>-6651</v>
      </c>
      <c r="S1233" s="1">
        <f t="shared" si="77"/>
        <v>-19.033310439560438</v>
      </c>
      <c r="T1233" t="str">
        <f t="shared" si="78"/>
        <v>Expert</v>
      </c>
      <c r="U1233" t="str">
        <f t="shared" si="79"/>
        <v>Low Impact</v>
      </c>
    </row>
    <row r="1234" spans="1:21" x14ac:dyDescent="0.3">
      <c r="A1234" t="s">
        <v>1937</v>
      </c>
      <c r="B1234">
        <v>31</v>
      </c>
      <c r="C1234" t="s">
        <v>18</v>
      </c>
      <c r="D1234" t="s">
        <v>19</v>
      </c>
      <c r="E1234" t="s">
        <v>41</v>
      </c>
      <c r="F1234" t="s">
        <v>42</v>
      </c>
      <c r="G1234">
        <v>8</v>
      </c>
      <c r="H1234" t="s">
        <v>31</v>
      </c>
      <c r="I1234" t="s">
        <v>31</v>
      </c>
      <c r="J1234" t="s">
        <v>25</v>
      </c>
      <c r="K1234" s="2">
        <v>62286</v>
      </c>
      <c r="L1234" s="2">
        <v>61893</v>
      </c>
      <c r="M1234" t="s">
        <v>32</v>
      </c>
      <c r="N1234">
        <v>40</v>
      </c>
      <c r="O1234" t="s">
        <v>23</v>
      </c>
      <c r="P1234">
        <v>5</v>
      </c>
      <c r="Q1234" s="1">
        <v>2.34</v>
      </c>
      <c r="R1234" s="2">
        <f t="shared" si="76"/>
        <v>-393</v>
      </c>
      <c r="S1234" s="1">
        <f t="shared" si="77"/>
        <v>-0.63096040843849344</v>
      </c>
      <c r="T1234" t="str">
        <f t="shared" si="78"/>
        <v>Intermediate</v>
      </c>
      <c r="U1234" t="str">
        <f t="shared" si="79"/>
        <v>Low Impact</v>
      </c>
    </row>
    <row r="1235" spans="1:21" x14ac:dyDescent="0.3">
      <c r="A1235" t="s">
        <v>125</v>
      </c>
      <c r="B1235">
        <v>30</v>
      </c>
      <c r="C1235" t="s">
        <v>54</v>
      </c>
      <c r="D1235" t="s">
        <v>28</v>
      </c>
      <c r="E1235" t="s">
        <v>29</v>
      </c>
      <c r="F1235" t="s">
        <v>104</v>
      </c>
      <c r="G1235">
        <v>6</v>
      </c>
      <c r="H1235" t="s">
        <v>37</v>
      </c>
      <c r="I1235" t="s">
        <v>22</v>
      </c>
      <c r="J1235" t="s">
        <v>23</v>
      </c>
      <c r="K1235" s="2">
        <v>113042</v>
      </c>
      <c r="L1235" s="2">
        <v>115730</v>
      </c>
      <c r="M1235" t="s">
        <v>32</v>
      </c>
      <c r="N1235">
        <v>41</v>
      </c>
      <c r="O1235" t="s">
        <v>25</v>
      </c>
      <c r="P1235">
        <v>9</v>
      </c>
      <c r="Q1235" s="1">
        <v>2.3199999999999998</v>
      </c>
      <c r="R1235" s="2">
        <f t="shared" si="76"/>
        <v>2688</v>
      </c>
      <c r="S1235" s="1">
        <f t="shared" si="77"/>
        <v>2.3778772491640274</v>
      </c>
      <c r="T1235" t="str">
        <f t="shared" si="78"/>
        <v>Intermediate</v>
      </c>
      <c r="U1235" t="str">
        <f t="shared" si="79"/>
        <v>Low Impact</v>
      </c>
    </row>
    <row r="1236" spans="1:21" x14ac:dyDescent="0.3">
      <c r="A1236" t="s">
        <v>425</v>
      </c>
      <c r="B1236">
        <v>54</v>
      </c>
      <c r="C1236" t="s">
        <v>27</v>
      </c>
      <c r="D1236" t="s">
        <v>19</v>
      </c>
      <c r="E1236" t="s">
        <v>41</v>
      </c>
      <c r="F1236" t="s">
        <v>49</v>
      </c>
      <c r="G1236">
        <v>31</v>
      </c>
      <c r="H1236" t="s">
        <v>22</v>
      </c>
      <c r="I1236" t="s">
        <v>37</v>
      </c>
      <c r="J1236" t="s">
        <v>25</v>
      </c>
      <c r="K1236" s="2">
        <v>71971</v>
      </c>
      <c r="L1236" s="2">
        <v>92051</v>
      </c>
      <c r="M1236" t="s">
        <v>38</v>
      </c>
      <c r="N1236">
        <v>52</v>
      </c>
      <c r="O1236" t="s">
        <v>23</v>
      </c>
      <c r="P1236">
        <v>5</v>
      </c>
      <c r="Q1236" s="1">
        <v>2.3199999999999998</v>
      </c>
      <c r="R1236" s="2">
        <f t="shared" si="76"/>
        <v>20080</v>
      </c>
      <c r="S1236" s="1">
        <f t="shared" si="77"/>
        <v>27.900126439816038</v>
      </c>
      <c r="T1236" t="str">
        <f t="shared" si="78"/>
        <v>Expert</v>
      </c>
      <c r="U1236" t="str">
        <f t="shared" si="79"/>
        <v>Medium Impact</v>
      </c>
    </row>
    <row r="1237" spans="1:21" x14ac:dyDescent="0.3">
      <c r="A1237" t="s">
        <v>914</v>
      </c>
      <c r="B1237">
        <v>41</v>
      </c>
      <c r="C1237" t="s">
        <v>18</v>
      </c>
      <c r="D1237" t="s">
        <v>40</v>
      </c>
      <c r="E1237" t="s">
        <v>41</v>
      </c>
      <c r="F1237" t="s">
        <v>42</v>
      </c>
      <c r="G1237">
        <v>15</v>
      </c>
      <c r="H1237" t="s">
        <v>22</v>
      </c>
      <c r="I1237" t="s">
        <v>31</v>
      </c>
      <c r="J1237" t="s">
        <v>23</v>
      </c>
      <c r="K1237" s="2">
        <v>63324</v>
      </c>
      <c r="L1237" s="2">
        <v>63115</v>
      </c>
      <c r="M1237" t="s">
        <v>32</v>
      </c>
      <c r="N1237">
        <v>51</v>
      </c>
      <c r="O1237" t="s">
        <v>23</v>
      </c>
      <c r="P1237">
        <v>7</v>
      </c>
      <c r="Q1237" s="1">
        <v>2.3199999999999998</v>
      </c>
      <c r="R1237" s="2">
        <f t="shared" si="76"/>
        <v>-209</v>
      </c>
      <c r="S1237" s="1">
        <f t="shared" si="77"/>
        <v>-0.33004863874676266</v>
      </c>
      <c r="T1237" t="str">
        <f t="shared" si="78"/>
        <v>Expert</v>
      </c>
      <c r="U1237" t="str">
        <f t="shared" si="79"/>
        <v>Low Impact</v>
      </c>
    </row>
    <row r="1238" spans="1:21" x14ac:dyDescent="0.3">
      <c r="A1238" t="s">
        <v>2033</v>
      </c>
      <c r="B1238">
        <v>52</v>
      </c>
      <c r="C1238" t="s">
        <v>18</v>
      </c>
      <c r="D1238" t="s">
        <v>40</v>
      </c>
      <c r="E1238" t="s">
        <v>51</v>
      </c>
      <c r="F1238" t="s">
        <v>75</v>
      </c>
      <c r="G1238">
        <v>29</v>
      </c>
      <c r="H1238" t="s">
        <v>31</v>
      </c>
      <c r="I1238" t="s">
        <v>22</v>
      </c>
      <c r="J1238" t="s">
        <v>23</v>
      </c>
      <c r="K1238" s="2">
        <v>81843</v>
      </c>
      <c r="L1238" s="2">
        <v>87061</v>
      </c>
      <c r="M1238" t="s">
        <v>32</v>
      </c>
      <c r="N1238">
        <v>49</v>
      </c>
      <c r="O1238" t="s">
        <v>23</v>
      </c>
      <c r="P1238">
        <v>5</v>
      </c>
      <c r="Q1238" s="1">
        <v>2.31</v>
      </c>
      <c r="R1238" s="2">
        <f t="shared" si="76"/>
        <v>5218</v>
      </c>
      <c r="S1238" s="1">
        <f t="shared" si="77"/>
        <v>6.3756216169983988</v>
      </c>
      <c r="T1238" t="str">
        <f t="shared" si="78"/>
        <v>Expert</v>
      </c>
      <c r="U1238" t="str">
        <f t="shared" si="79"/>
        <v>Low Impact</v>
      </c>
    </row>
    <row r="1239" spans="1:21" x14ac:dyDescent="0.3">
      <c r="A1239" t="s">
        <v>523</v>
      </c>
      <c r="B1239">
        <v>58</v>
      </c>
      <c r="C1239" t="s">
        <v>27</v>
      </c>
      <c r="D1239" t="s">
        <v>34</v>
      </c>
      <c r="E1239" t="s">
        <v>59</v>
      </c>
      <c r="F1239" t="s">
        <v>60</v>
      </c>
      <c r="G1239">
        <v>32</v>
      </c>
      <c r="H1239" t="s">
        <v>37</v>
      </c>
      <c r="I1239" t="s">
        <v>31</v>
      </c>
      <c r="J1239" t="s">
        <v>25</v>
      </c>
      <c r="K1239" s="2">
        <v>56654</v>
      </c>
      <c r="L1239" s="2">
        <v>63219</v>
      </c>
      <c r="M1239" t="s">
        <v>32</v>
      </c>
      <c r="N1239">
        <v>40</v>
      </c>
      <c r="O1239" t="s">
        <v>23</v>
      </c>
      <c r="P1239">
        <v>5</v>
      </c>
      <c r="Q1239" s="1">
        <v>2.27</v>
      </c>
      <c r="R1239" s="2">
        <f t="shared" si="76"/>
        <v>6565</v>
      </c>
      <c r="S1239" s="1">
        <f t="shared" si="77"/>
        <v>11.58788435061955</v>
      </c>
      <c r="T1239" t="str">
        <f t="shared" si="78"/>
        <v>Expert</v>
      </c>
      <c r="U1239" t="str">
        <f t="shared" si="79"/>
        <v>Low Impact</v>
      </c>
    </row>
    <row r="1240" spans="1:21" x14ac:dyDescent="0.3">
      <c r="A1240" t="s">
        <v>1917</v>
      </c>
      <c r="B1240">
        <v>33</v>
      </c>
      <c r="C1240" t="s">
        <v>18</v>
      </c>
      <c r="D1240" t="s">
        <v>19</v>
      </c>
      <c r="E1240" t="s">
        <v>41</v>
      </c>
      <c r="F1240" t="s">
        <v>49</v>
      </c>
      <c r="G1240">
        <v>8</v>
      </c>
      <c r="H1240" t="s">
        <v>31</v>
      </c>
      <c r="I1240" t="s">
        <v>37</v>
      </c>
      <c r="J1240" t="s">
        <v>23</v>
      </c>
      <c r="K1240" s="2">
        <v>113766</v>
      </c>
      <c r="L1240" s="2">
        <v>120490</v>
      </c>
      <c r="M1240" t="s">
        <v>38</v>
      </c>
      <c r="N1240">
        <v>38</v>
      </c>
      <c r="O1240" t="s">
        <v>23</v>
      </c>
      <c r="P1240">
        <v>4</v>
      </c>
      <c r="Q1240" s="1">
        <v>2.2400000000000002</v>
      </c>
      <c r="R1240" s="2">
        <f t="shared" si="76"/>
        <v>6724</v>
      </c>
      <c r="S1240" s="1">
        <f t="shared" si="77"/>
        <v>5.910377441414834</v>
      </c>
      <c r="T1240" t="str">
        <f t="shared" si="78"/>
        <v>Intermediate</v>
      </c>
      <c r="U1240" t="str">
        <f t="shared" si="79"/>
        <v>Medium Impact</v>
      </c>
    </row>
    <row r="1241" spans="1:21" x14ac:dyDescent="0.3">
      <c r="A1241" t="s">
        <v>136</v>
      </c>
      <c r="B1241">
        <v>58</v>
      </c>
      <c r="C1241" t="s">
        <v>27</v>
      </c>
      <c r="D1241" t="s">
        <v>19</v>
      </c>
      <c r="E1241" t="s">
        <v>29</v>
      </c>
      <c r="F1241" t="s">
        <v>104</v>
      </c>
      <c r="G1241">
        <v>34</v>
      </c>
      <c r="H1241" t="s">
        <v>22</v>
      </c>
      <c r="I1241" t="s">
        <v>22</v>
      </c>
      <c r="J1241" t="s">
        <v>23</v>
      </c>
      <c r="K1241" s="2">
        <v>58295</v>
      </c>
      <c r="L1241" s="2">
        <v>59726</v>
      </c>
      <c r="M1241" t="s">
        <v>24</v>
      </c>
      <c r="N1241">
        <v>54</v>
      </c>
      <c r="O1241" t="s">
        <v>25</v>
      </c>
      <c r="P1241">
        <v>3</v>
      </c>
      <c r="Q1241" s="1">
        <v>2.2400000000000002</v>
      </c>
      <c r="R1241" s="2">
        <f t="shared" si="76"/>
        <v>1431</v>
      </c>
      <c r="S1241" s="1">
        <f t="shared" si="77"/>
        <v>2.4547559825027876</v>
      </c>
      <c r="T1241" t="str">
        <f t="shared" si="78"/>
        <v>Expert</v>
      </c>
      <c r="U1241" t="str">
        <f t="shared" si="79"/>
        <v>High Impact</v>
      </c>
    </row>
    <row r="1242" spans="1:21" x14ac:dyDescent="0.3">
      <c r="A1242" t="s">
        <v>1948</v>
      </c>
      <c r="B1242">
        <v>39</v>
      </c>
      <c r="C1242" t="s">
        <v>18</v>
      </c>
      <c r="D1242" t="s">
        <v>40</v>
      </c>
      <c r="E1242" t="s">
        <v>41</v>
      </c>
      <c r="F1242" t="s">
        <v>42</v>
      </c>
      <c r="G1242">
        <v>13</v>
      </c>
      <c r="H1242" t="s">
        <v>22</v>
      </c>
      <c r="I1242" t="s">
        <v>37</v>
      </c>
      <c r="J1242" t="s">
        <v>23</v>
      </c>
      <c r="K1242" s="2">
        <v>62735</v>
      </c>
      <c r="L1242" s="2">
        <v>69953</v>
      </c>
      <c r="M1242" t="s">
        <v>38</v>
      </c>
      <c r="N1242">
        <v>52</v>
      </c>
      <c r="O1242" t="s">
        <v>25</v>
      </c>
      <c r="P1242">
        <v>9</v>
      </c>
      <c r="Q1242" s="1">
        <v>2.12</v>
      </c>
      <c r="R1242" s="2">
        <f t="shared" si="76"/>
        <v>7218</v>
      </c>
      <c r="S1242" s="1">
        <f t="shared" si="77"/>
        <v>11.505539172710607</v>
      </c>
      <c r="T1242" t="str">
        <f t="shared" si="78"/>
        <v>Intermediate</v>
      </c>
      <c r="U1242" t="str">
        <f t="shared" si="79"/>
        <v>Medium Impact</v>
      </c>
    </row>
    <row r="1243" spans="1:21" x14ac:dyDescent="0.3">
      <c r="A1243" t="s">
        <v>1984</v>
      </c>
      <c r="B1243">
        <v>48</v>
      </c>
      <c r="C1243" t="s">
        <v>18</v>
      </c>
      <c r="D1243" t="s">
        <v>34</v>
      </c>
      <c r="E1243" t="s">
        <v>44</v>
      </c>
      <c r="F1243" t="s">
        <v>47</v>
      </c>
      <c r="G1243">
        <v>26</v>
      </c>
      <c r="H1243" t="s">
        <v>31</v>
      </c>
      <c r="I1243" t="s">
        <v>31</v>
      </c>
      <c r="J1243" t="s">
        <v>23</v>
      </c>
      <c r="K1243" s="2">
        <v>96836</v>
      </c>
      <c r="L1243" s="2">
        <v>105235</v>
      </c>
      <c r="M1243" t="s">
        <v>32</v>
      </c>
      <c r="N1243">
        <v>36</v>
      </c>
      <c r="O1243" t="s">
        <v>25</v>
      </c>
      <c r="P1243">
        <v>8</v>
      </c>
      <c r="Q1243" s="1">
        <v>2.1</v>
      </c>
      <c r="R1243" s="2">
        <f t="shared" si="76"/>
        <v>8399</v>
      </c>
      <c r="S1243" s="1">
        <f t="shared" si="77"/>
        <v>8.6734272378041233</v>
      </c>
      <c r="T1243" t="str">
        <f t="shared" si="78"/>
        <v>Expert</v>
      </c>
      <c r="U1243" t="str">
        <f t="shared" si="79"/>
        <v>Low Impact</v>
      </c>
    </row>
    <row r="1244" spans="1:21" x14ac:dyDescent="0.3">
      <c r="A1244" t="s">
        <v>1851</v>
      </c>
      <c r="B1244">
        <v>36</v>
      </c>
      <c r="C1244" t="s">
        <v>27</v>
      </c>
      <c r="D1244" t="s">
        <v>28</v>
      </c>
      <c r="E1244" t="s">
        <v>20</v>
      </c>
      <c r="F1244" t="s">
        <v>88</v>
      </c>
      <c r="G1244">
        <v>12</v>
      </c>
      <c r="H1244" t="s">
        <v>37</v>
      </c>
      <c r="I1244" t="s">
        <v>22</v>
      </c>
      <c r="J1244" t="s">
        <v>23</v>
      </c>
      <c r="K1244" s="2">
        <v>71751</v>
      </c>
      <c r="L1244" s="2">
        <v>70587</v>
      </c>
      <c r="M1244" t="s">
        <v>32</v>
      </c>
      <c r="N1244">
        <v>36</v>
      </c>
      <c r="O1244" t="s">
        <v>25</v>
      </c>
      <c r="P1244">
        <v>7</v>
      </c>
      <c r="Q1244" s="1">
        <v>2.08</v>
      </c>
      <c r="R1244" s="2">
        <f t="shared" si="76"/>
        <v>-1164</v>
      </c>
      <c r="S1244" s="1">
        <f t="shared" si="77"/>
        <v>-1.6222770414349625</v>
      </c>
      <c r="T1244" t="str">
        <f t="shared" si="78"/>
        <v>Intermediate</v>
      </c>
      <c r="U1244" t="str">
        <f t="shared" si="79"/>
        <v>Low Impact</v>
      </c>
    </row>
    <row r="1245" spans="1:21" x14ac:dyDescent="0.3">
      <c r="A1245" t="s">
        <v>1998</v>
      </c>
      <c r="B1245">
        <v>43</v>
      </c>
      <c r="C1245" t="s">
        <v>27</v>
      </c>
      <c r="D1245" t="s">
        <v>28</v>
      </c>
      <c r="E1245" t="s">
        <v>20</v>
      </c>
      <c r="F1245" t="s">
        <v>21</v>
      </c>
      <c r="G1245">
        <v>21</v>
      </c>
      <c r="H1245" t="s">
        <v>22</v>
      </c>
      <c r="I1245" t="s">
        <v>22</v>
      </c>
      <c r="J1245" t="s">
        <v>23</v>
      </c>
      <c r="K1245" s="2">
        <v>49727</v>
      </c>
      <c r="L1245" s="2">
        <v>57966</v>
      </c>
      <c r="M1245" t="s">
        <v>24</v>
      </c>
      <c r="N1245">
        <v>52</v>
      </c>
      <c r="O1245" t="s">
        <v>23</v>
      </c>
      <c r="P1245">
        <v>5</v>
      </c>
      <c r="Q1245" s="1">
        <v>2.0699999999999998</v>
      </c>
      <c r="R1245" s="2">
        <f t="shared" si="76"/>
        <v>8239</v>
      </c>
      <c r="S1245" s="1">
        <f t="shared" si="77"/>
        <v>16.568463812415789</v>
      </c>
      <c r="T1245" t="str">
        <f t="shared" si="78"/>
        <v>Expert</v>
      </c>
      <c r="U1245" t="str">
        <f t="shared" si="79"/>
        <v>High Impact</v>
      </c>
    </row>
    <row r="1246" spans="1:21" x14ac:dyDescent="0.3">
      <c r="A1246" t="s">
        <v>78</v>
      </c>
      <c r="B1246">
        <v>32</v>
      </c>
      <c r="C1246" t="s">
        <v>27</v>
      </c>
      <c r="D1246" t="s">
        <v>34</v>
      </c>
      <c r="E1246" t="s">
        <v>41</v>
      </c>
      <c r="F1246" t="s">
        <v>49</v>
      </c>
      <c r="G1246">
        <v>8</v>
      </c>
      <c r="H1246" t="s">
        <v>31</v>
      </c>
      <c r="I1246" t="s">
        <v>22</v>
      </c>
      <c r="J1246" t="s">
        <v>23</v>
      </c>
      <c r="K1246" s="2">
        <v>42688</v>
      </c>
      <c r="L1246" s="2">
        <v>45216</v>
      </c>
      <c r="M1246" t="s">
        <v>32</v>
      </c>
      <c r="N1246">
        <v>54</v>
      </c>
      <c r="O1246" t="s">
        <v>23</v>
      </c>
      <c r="P1246">
        <v>4</v>
      </c>
      <c r="Q1246" s="1">
        <v>2.0699999999999998</v>
      </c>
      <c r="R1246" s="2">
        <f t="shared" si="76"/>
        <v>2528</v>
      </c>
      <c r="S1246" s="1">
        <f t="shared" si="77"/>
        <v>5.9220389805097451</v>
      </c>
      <c r="T1246" t="str">
        <f t="shared" si="78"/>
        <v>Intermediate</v>
      </c>
      <c r="U1246" t="str">
        <f t="shared" si="79"/>
        <v>Low Impact</v>
      </c>
    </row>
    <row r="1247" spans="1:21" x14ac:dyDescent="0.3">
      <c r="A1247" t="s">
        <v>1208</v>
      </c>
      <c r="B1247">
        <v>38</v>
      </c>
      <c r="C1247" t="s">
        <v>54</v>
      </c>
      <c r="D1247" t="s">
        <v>34</v>
      </c>
      <c r="E1247" t="s">
        <v>35</v>
      </c>
      <c r="F1247" t="s">
        <v>132</v>
      </c>
      <c r="G1247">
        <v>16</v>
      </c>
      <c r="H1247" t="s">
        <v>37</v>
      </c>
      <c r="I1247" t="s">
        <v>31</v>
      </c>
      <c r="J1247" t="s">
        <v>23</v>
      </c>
      <c r="K1247" s="2">
        <v>33412</v>
      </c>
      <c r="L1247" s="2">
        <v>36048</v>
      </c>
      <c r="M1247" t="s">
        <v>32</v>
      </c>
      <c r="N1247">
        <v>45</v>
      </c>
      <c r="O1247" t="s">
        <v>23</v>
      </c>
      <c r="P1247">
        <v>3</v>
      </c>
      <c r="Q1247" s="1">
        <v>1.96</v>
      </c>
      <c r="R1247" s="2">
        <f t="shared" si="76"/>
        <v>2636</v>
      </c>
      <c r="S1247" s="1">
        <f t="shared" si="77"/>
        <v>7.8893810606967554</v>
      </c>
      <c r="T1247" t="str">
        <f t="shared" si="78"/>
        <v>Expert</v>
      </c>
      <c r="U1247" t="str">
        <f t="shared" si="79"/>
        <v>Low Impact</v>
      </c>
    </row>
    <row r="1248" spans="1:21" x14ac:dyDescent="0.3">
      <c r="A1248" t="s">
        <v>1996</v>
      </c>
      <c r="B1248">
        <v>23</v>
      </c>
      <c r="C1248" t="s">
        <v>18</v>
      </c>
      <c r="D1248" t="s">
        <v>34</v>
      </c>
      <c r="E1248" t="s">
        <v>41</v>
      </c>
      <c r="F1248" t="s">
        <v>42</v>
      </c>
      <c r="G1248">
        <v>0</v>
      </c>
      <c r="H1248" t="s">
        <v>22</v>
      </c>
      <c r="I1248" t="s">
        <v>22</v>
      </c>
      <c r="J1248" t="s">
        <v>25</v>
      </c>
      <c r="K1248" s="2">
        <v>115470</v>
      </c>
      <c r="L1248" s="2">
        <v>138147</v>
      </c>
      <c r="M1248" t="s">
        <v>38</v>
      </c>
      <c r="N1248">
        <v>40</v>
      </c>
      <c r="O1248" t="s">
        <v>25</v>
      </c>
      <c r="P1248">
        <v>9</v>
      </c>
      <c r="Q1248" s="1">
        <v>1.87</v>
      </c>
      <c r="R1248" s="2">
        <f t="shared" si="76"/>
        <v>22677</v>
      </c>
      <c r="S1248" s="1">
        <f t="shared" si="77"/>
        <v>19.638867238243698</v>
      </c>
      <c r="T1248" t="str">
        <f t="shared" si="78"/>
        <v>Beginner</v>
      </c>
      <c r="U1248" t="str">
        <f t="shared" si="79"/>
        <v>Medium Impact</v>
      </c>
    </row>
    <row r="1249" spans="1:21" x14ac:dyDescent="0.3">
      <c r="A1249" t="s">
        <v>165</v>
      </c>
      <c r="B1249">
        <v>26</v>
      </c>
      <c r="C1249" t="s">
        <v>54</v>
      </c>
      <c r="D1249" t="s">
        <v>34</v>
      </c>
      <c r="E1249" t="s">
        <v>51</v>
      </c>
      <c r="F1249" t="s">
        <v>75</v>
      </c>
      <c r="G1249">
        <v>4</v>
      </c>
      <c r="H1249" t="s">
        <v>22</v>
      </c>
      <c r="I1249" t="s">
        <v>22</v>
      </c>
      <c r="J1249" t="s">
        <v>23</v>
      </c>
      <c r="K1249" s="2">
        <v>46907</v>
      </c>
      <c r="L1249" s="2">
        <v>43332</v>
      </c>
      <c r="M1249" t="s">
        <v>24</v>
      </c>
      <c r="N1249">
        <v>48</v>
      </c>
      <c r="O1249" t="s">
        <v>25</v>
      </c>
      <c r="P1249">
        <v>4</v>
      </c>
      <c r="Q1249" s="1">
        <v>1.86</v>
      </c>
      <c r="R1249" s="2">
        <f t="shared" si="76"/>
        <v>-3575</v>
      </c>
      <c r="S1249" s="1">
        <f t="shared" si="77"/>
        <v>-7.6214637474150981</v>
      </c>
      <c r="T1249" t="str">
        <f t="shared" si="78"/>
        <v>Beginner</v>
      </c>
      <c r="U1249" t="str">
        <f t="shared" si="79"/>
        <v>High Impact</v>
      </c>
    </row>
    <row r="1250" spans="1:21" x14ac:dyDescent="0.3">
      <c r="A1250" t="s">
        <v>1906</v>
      </c>
      <c r="B1250">
        <v>36</v>
      </c>
      <c r="C1250" t="s">
        <v>54</v>
      </c>
      <c r="D1250" t="s">
        <v>28</v>
      </c>
      <c r="E1250" t="s">
        <v>35</v>
      </c>
      <c r="F1250" t="s">
        <v>98</v>
      </c>
      <c r="G1250">
        <v>10</v>
      </c>
      <c r="H1250" t="s">
        <v>37</v>
      </c>
      <c r="I1250" t="s">
        <v>31</v>
      </c>
      <c r="J1250" t="s">
        <v>25</v>
      </c>
      <c r="K1250" s="2">
        <v>98623</v>
      </c>
      <c r="L1250" s="2">
        <v>99657</v>
      </c>
      <c r="M1250" t="s">
        <v>32</v>
      </c>
      <c r="N1250">
        <v>43</v>
      </c>
      <c r="O1250" t="s">
        <v>25</v>
      </c>
      <c r="P1250">
        <v>8</v>
      </c>
      <c r="Q1250" s="1">
        <v>1.84</v>
      </c>
      <c r="R1250" s="2">
        <f t="shared" si="76"/>
        <v>1034</v>
      </c>
      <c r="S1250" s="1">
        <f t="shared" si="77"/>
        <v>1.0484369771757096</v>
      </c>
      <c r="T1250" t="str">
        <f t="shared" si="78"/>
        <v>Intermediate</v>
      </c>
      <c r="U1250" t="str">
        <f t="shared" si="79"/>
        <v>Low Impact</v>
      </c>
    </row>
    <row r="1251" spans="1:21" x14ac:dyDescent="0.3">
      <c r="A1251" t="s">
        <v>1441</v>
      </c>
      <c r="B1251">
        <v>40</v>
      </c>
      <c r="C1251" t="s">
        <v>18</v>
      </c>
      <c r="D1251" t="s">
        <v>28</v>
      </c>
      <c r="E1251" t="s">
        <v>29</v>
      </c>
      <c r="F1251" t="s">
        <v>104</v>
      </c>
      <c r="G1251">
        <v>14</v>
      </c>
      <c r="H1251" t="s">
        <v>22</v>
      </c>
      <c r="I1251" t="s">
        <v>31</v>
      </c>
      <c r="J1251" t="s">
        <v>25</v>
      </c>
      <c r="K1251" s="2">
        <v>107518</v>
      </c>
      <c r="L1251" s="2">
        <v>116680</v>
      </c>
      <c r="M1251" t="s">
        <v>32</v>
      </c>
      <c r="N1251">
        <v>44</v>
      </c>
      <c r="O1251" t="s">
        <v>25</v>
      </c>
      <c r="P1251">
        <v>8</v>
      </c>
      <c r="Q1251" s="1">
        <v>1.81</v>
      </c>
      <c r="R1251" s="2">
        <f t="shared" si="76"/>
        <v>9162</v>
      </c>
      <c r="S1251" s="1">
        <f t="shared" si="77"/>
        <v>8.5213638646552212</v>
      </c>
      <c r="T1251" t="str">
        <f t="shared" si="78"/>
        <v>Intermediate</v>
      </c>
      <c r="U1251" t="str">
        <f t="shared" si="79"/>
        <v>Low Impact</v>
      </c>
    </row>
    <row r="1252" spans="1:21" x14ac:dyDescent="0.3">
      <c r="A1252" t="s">
        <v>919</v>
      </c>
      <c r="B1252">
        <v>24</v>
      </c>
      <c r="C1252" t="s">
        <v>54</v>
      </c>
      <c r="D1252" t="s">
        <v>34</v>
      </c>
      <c r="E1252" t="s">
        <v>35</v>
      </c>
      <c r="F1252" t="s">
        <v>36</v>
      </c>
      <c r="G1252">
        <v>0</v>
      </c>
      <c r="H1252" t="s">
        <v>22</v>
      </c>
      <c r="I1252" t="s">
        <v>22</v>
      </c>
      <c r="J1252" t="s">
        <v>23</v>
      </c>
      <c r="K1252" s="2">
        <v>53600</v>
      </c>
      <c r="L1252" s="2">
        <v>70166</v>
      </c>
      <c r="M1252" t="s">
        <v>38</v>
      </c>
      <c r="N1252">
        <v>54</v>
      </c>
      <c r="O1252" t="s">
        <v>25</v>
      </c>
      <c r="P1252">
        <v>6</v>
      </c>
      <c r="Q1252" s="1">
        <v>1.8</v>
      </c>
      <c r="R1252" s="2">
        <f t="shared" si="76"/>
        <v>16566</v>
      </c>
      <c r="S1252" s="1">
        <f t="shared" si="77"/>
        <v>30.906716417910445</v>
      </c>
      <c r="T1252" t="str">
        <f t="shared" si="78"/>
        <v>Beginner</v>
      </c>
      <c r="U1252" t="str">
        <f t="shared" si="79"/>
        <v>Medium Impact</v>
      </c>
    </row>
    <row r="1253" spans="1:21" x14ac:dyDescent="0.3">
      <c r="A1253" t="s">
        <v>1157</v>
      </c>
      <c r="B1253">
        <v>59</v>
      </c>
      <c r="C1253" t="s">
        <v>54</v>
      </c>
      <c r="D1253" t="s">
        <v>40</v>
      </c>
      <c r="E1253" t="s">
        <v>29</v>
      </c>
      <c r="F1253" t="s">
        <v>102</v>
      </c>
      <c r="G1253">
        <v>33</v>
      </c>
      <c r="H1253" t="s">
        <v>22</v>
      </c>
      <c r="I1253" t="s">
        <v>31</v>
      </c>
      <c r="J1253" t="s">
        <v>23</v>
      </c>
      <c r="K1253" s="2">
        <v>31242</v>
      </c>
      <c r="L1253" s="2">
        <v>25246</v>
      </c>
      <c r="M1253" t="s">
        <v>32</v>
      </c>
      <c r="N1253">
        <v>49</v>
      </c>
      <c r="O1253" t="s">
        <v>25</v>
      </c>
      <c r="P1253">
        <v>6</v>
      </c>
      <c r="Q1253" s="1">
        <v>1.77</v>
      </c>
      <c r="R1253" s="2">
        <f t="shared" si="76"/>
        <v>-5996</v>
      </c>
      <c r="S1253" s="1">
        <f t="shared" si="77"/>
        <v>-19.192113180974328</v>
      </c>
      <c r="T1253" t="str">
        <f t="shared" si="78"/>
        <v>Expert</v>
      </c>
      <c r="U1253" t="str">
        <f t="shared" si="79"/>
        <v>Low Impact</v>
      </c>
    </row>
    <row r="1254" spans="1:21" x14ac:dyDescent="0.3">
      <c r="A1254" t="s">
        <v>1909</v>
      </c>
      <c r="B1254">
        <v>46</v>
      </c>
      <c r="C1254" t="s">
        <v>54</v>
      </c>
      <c r="D1254" t="s">
        <v>28</v>
      </c>
      <c r="E1254" t="s">
        <v>51</v>
      </c>
      <c r="F1254" t="s">
        <v>52</v>
      </c>
      <c r="G1254">
        <v>23</v>
      </c>
      <c r="H1254" t="s">
        <v>37</v>
      </c>
      <c r="I1254" t="s">
        <v>22</v>
      </c>
      <c r="J1254" t="s">
        <v>25</v>
      </c>
      <c r="K1254" s="2">
        <v>77940</v>
      </c>
      <c r="L1254" s="2">
        <v>79322</v>
      </c>
      <c r="M1254" t="s">
        <v>32</v>
      </c>
      <c r="N1254">
        <v>44</v>
      </c>
      <c r="O1254" t="s">
        <v>25</v>
      </c>
      <c r="P1254">
        <v>9</v>
      </c>
      <c r="Q1254" s="1">
        <v>1.74</v>
      </c>
      <c r="R1254" s="2">
        <f t="shared" si="76"/>
        <v>1382</v>
      </c>
      <c r="S1254" s="1">
        <f t="shared" si="77"/>
        <v>1.7731588401334362</v>
      </c>
      <c r="T1254" t="str">
        <f t="shared" si="78"/>
        <v>Expert</v>
      </c>
      <c r="U1254" t="str">
        <f t="shared" si="79"/>
        <v>Low Impact</v>
      </c>
    </row>
    <row r="1255" spans="1:21" x14ac:dyDescent="0.3">
      <c r="A1255" t="s">
        <v>1142</v>
      </c>
      <c r="B1255">
        <v>29</v>
      </c>
      <c r="C1255" t="s">
        <v>18</v>
      </c>
      <c r="D1255" t="s">
        <v>28</v>
      </c>
      <c r="E1255" t="s">
        <v>20</v>
      </c>
      <c r="F1255" t="s">
        <v>88</v>
      </c>
      <c r="G1255">
        <v>6</v>
      </c>
      <c r="H1255" t="s">
        <v>22</v>
      </c>
      <c r="I1255" t="s">
        <v>37</v>
      </c>
      <c r="J1255" t="s">
        <v>23</v>
      </c>
      <c r="K1255" s="2">
        <v>84712</v>
      </c>
      <c r="L1255" s="2">
        <v>107443</v>
      </c>
      <c r="M1255" t="s">
        <v>38</v>
      </c>
      <c r="N1255">
        <v>42</v>
      </c>
      <c r="O1255" t="s">
        <v>25</v>
      </c>
      <c r="P1255">
        <v>6</v>
      </c>
      <c r="Q1255" s="1">
        <v>1.7</v>
      </c>
      <c r="R1255" s="2">
        <f t="shared" si="76"/>
        <v>22731</v>
      </c>
      <c r="S1255" s="1">
        <f t="shared" si="77"/>
        <v>26.833270374917369</v>
      </c>
      <c r="T1255" t="str">
        <f t="shared" si="78"/>
        <v>Intermediate</v>
      </c>
      <c r="U1255" t="str">
        <f t="shared" si="79"/>
        <v>Medium Impact</v>
      </c>
    </row>
    <row r="1256" spans="1:21" x14ac:dyDescent="0.3">
      <c r="A1256" t="s">
        <v>718</v>
      </c>
      <c r="B1256">
        <v>26</v>
      </c>
      <c r="C1256" t="s">
        <v>27</v>
      </c>
      <c r="D1256" t="s">
        <v>28</v>
      </c>
      <c r="E1256" t="s">
        <v>44</v>
      </c>
      <c r="F1256" t="s">
        <v>57</v>
      </c>
      <c r="G1256">
        <v>3</v>
      </c>
      <c r="H1256" t="s">
        <v>37</v>
      </c>
      <c r="I1256" t="s">
        <v>22</v>
      </c>
      <c r="J1256" t="s">
        <v>25</v>
      </c>
      <c r="K1256" s="2">
        <v>90652</v>
      </c>
      <c r="L1256" s="2">
        <v>83644</v>
      </c>
      <c r="M1256" t="s">
        <v>32</v>
      </c>
      <c r="N1256">
        <v>47</v>
      </c>
      <c r="O1256" t="s">
        <v>25</v>
      </c>
      <c r="P1256">
        <v>8</v>
      </c>
      <c r="Q1256" s="1">
        <v>1.69</v>
      </c>
      <c r="R1256" s="2">
        <f t="shared" si="76"/>
        <v>-7008</v>
      </c>
      <c r="S1256" s="1">
        <f t="shared" si="77"/>
        <v>-7.7306623130212238</v>
      </c>
      <c r="T1256" t="str">
        <f t="shared" si="78"/>
        <v>Beginner</v>
      </c>
      <c r="U1256" t="str">
        <f t="shared" si="79"/>
        <v>Low Impact</v>
      </c>
    </row>
    <row r="1257" spans="1:21" x14ac:dyDescent="0.3">
      <c r="A1257" t="s">
        <v>970</v>
      </c>
      <c r="B1257">
        <v>45</v>
      </c>
      <c r="C1257" t="s">
        <v>54</v>
      </c>
      <c r="D1257" t="s">
        <v>34</v>
      </c>
      <c r="E1257" t="s">
        <v>20</v>
      </c>
      <c r="F1257" t="s">
        <v>118</v>
      </c>
      <c r="G1257">
        <v>21</v>
      </c>
      <c r="H1257" t="s">
        <v>22</v>
      </c>
      <c r="I1257" t="s">
        <v>31</v>
      </c>
      <c r="J1257" t="s">
        <v>23</v>
      </c>
      <c r="K1257" s="2">
        <v>107527</v>
      </c>
      <c r="L1257" s="2">
        <v>116142</v>
      </c>
      <c r="M1257" t="s">
        <v>32</v>
      </c>
      <c r="N1257">
        <v>49</v>
      </c>
      <c r="O1257" t="s">
        <v>23</v>
      </c>
      <c r="P1257">
        <v>7</v>
      </c>
      <c r="Q1257" s="1">
        <v>1.58</v>
      </c>
      <c r="R1257" s="2">
        <f t="shared" si="76"/>
        <v>8615</v>
      </c>
      <c r="S1257" s="1">
        <f t="shared" si="77"/>
        <v>8.0119411868646946</v>
      </c>
      <c r="T1257" t="str">
        <f t="shared" si="78"/>
        <v>Expert</v>
      </c>
      <c r="U1257" t="str">
        <f t="shared" si="79"/>
        <v>Low Impact</v>
      </c>
    </row>
    <row r="1258" spans="1:21" x14ac:dyDescent="0.3">
      <c r="A1258" t="s">
        <v>1489</v>
      </c>
      <c r="B1258">
        <v>56</v>
      </c>
      <c r="C1258" t="s">
        <v>18</v>
      </c>
      <c r="D1258" t="s">
        <v>40</v>
      </c>
      <c r="E1258" t="s">
        <v>44</v>
      </c>
      <c r="F1258" t="s">
        <v>47</v>
      </c>
      <c r="G1258">
        <v>34</v>
      </c>
      <c r="H1258" t="s">
        <v>37</v>
      </c>
      <c r="I1258" t="s">
        <v>37</v>
      </c>
      <c r="J1258" t="s">
        <v>25</v>
      </c>
      <c r="K1258" s="2">
        <v>103177</v>
      </c>
      <c r="L1258" s="2">
        <v>109924</v>
      </c>
      <c r="M1258" t="s">
        <v>38</v>
      </c>
      <c r="N1258">
        <v>49</v>
      </c>
      <c r="O1258" t="s">
        <v>23</v>
      </c>
      <c r="P1258">
        <v>8</v>
      </c>
      <c r="Q1258" s="1">
        <v>1.57</v>
      </c>
      <c r="R1258" s="2">
        <f t="shared" si="76"/>
        <v>6747</v>
      </c>
      <c r="S1258" s="1">
        <f t="shared" si="77"/>
        <v>6.5392480882367199</v>
      </c>
      <c r="T1258" t="str">
        <f t="shared" si="78"/>
        <v>Expert</v>
      </c>
      <c r="U1258" t="str">
        <f t="shared" si="79"/>
        <v>Medium Impact</v>
      </c>
    </row>
    <row r="1259" spans="1:21" x14ac:dyDescent="0.3">
      <c r="A1259" t="s">
        <v>723</v>
      </c>
      <c r="B1259">
        <v>22</v>
      </c>
      <c r="C1259" t="s">
        <v>18</v>
      </c>
      <c r="D1259" t="s">
        <v>19</v>
      </c>
      <c r="E1259" t="s">
        <v>20</v>
      </c>
      <c r="F1259" t="s">
        <v>118</v>
      </c>
      <c r="G1259">
        <v>0</v>
      </c>
      <c r="H1259" t="s">
        <v>31</v>
      </c>
      <c r="I1259" t="s">
        <v>31</v>
      </c>
      <c r="J1259" t="s">
        <v>23</v>
      </c>
      <c r="K1259" s="2">
        <v>59432</v>
      </c>
      <c r="L1259" s="2">
        <v>61609</v>
      </c>
      <c r="M1259" t="s">
        <v>32</v>
      </c>
      <c r="N1259">
        <v>49</v>
      </c>
      <c r="O1259" t="s">
        <v>23</v>
      </c>
      <c r="P1259">
        <v>3</v>
      </c>
      <c r="Q1259" s="1">
        <v>1.55</v>
      </c>
      <c r="R1259" s="2">
        <f t="shared" si="76"/>
        <v>2177</v>
      </c>
      <c r="S1259" s="1">
        <f t="shared" si="77"/>
        <v>3.6630098263561721</v>
      </c>
      <c r="T1259" t="str">
        <f t="shared" si="78"/>
        <v>Beginner</v>
      </c>
      <c r="U1259" t="str">
        <f t="shared" si="79"/>
        <v>Low Impact</v>
      </c>
    </row>
    <row r="1260" spans="1:21" x14ac:dyDescent="0.3">
      <c r="A1260" t="s">
        <v>1850</v>
      </c>
      <c r="B1260">
        <v>23</v>
      </c>
      <c r="C1260" t="s">
        <v>27</v>
      </c>
      <c r="D1260" t="s">
        <v>34</v>
      </c>
      <c r="E1260" t="s">
        <v>44</v>
      </c>
      <c r="F1260" t="s">
        <v>57</v>
      </c>
      <c r="G1260">
        <v>0</v>
      </c>
      <c r="H1260" t="s">
        <v>37</v>
      </c>
      <c r="I1260" t="s">
        <v>22</v>
      </c>
      <c r="J1260" t="s">
        <v>23</v>
      </c>
      <c r="K1260" s="2">
        <v>76326</v>
      </c>
      <c r="L1260" s="2">
        <v>88708</v>
      </c>
      <c r="M1260" t="s">
        <v>32</v>
      </c>
      <c r="N1260">
        <v>40</v>
      </c>
      <c r="O1260" t="s">
        <v>25</v>
      </c>
      <c r="P1260">
        <v>9</v>
      </c>
      <c r="Q1260" s="1">
        <v>1.54</v>
      </c>
      <c r="R1260" s="2">
        <f t="shared" si="76"/>
        <v>12382</v>
      </c>
      <c r="S1260" s="1">
        <f t="shared" si="77"/>
        <v>16.2225191939837</v>
      </c>
      <c r="T1260" t="str">
        <f t="shared" si="78"/>
        <v>Beginner</v>
      </c>
      <c r="U1260" t="str">
        <f t="shared" si="79"/>
        <v>Low Impact</v>
      </c>
    </row>
    <row r="1261" spans="1:21" x14ac:dyDescent="0.3">
      <c r="A1261" t="s">
        <v>1089</v>
      </c>
      <c r="B1261">
        <v>24</v>
      </c>
      <c r="C1261" t="s">
        <v>27</v>
      </c>
      <c r="D1261" t="s">
        <v>19</v>
      </c>
      <c r="E1261" t="s">
        <v>29</v>
      </c>
      <c r="F1261" t="s">
        <v>30</v>
      </c>
      <c r="G1261">
        <v>1</v>
      </c>
      <c r="H1261" t="s">
        <v>37</v>
      </c>
      <c r="I1261" t="s">
        <v>37</v>
      </c>
      <c r="J1261" t="s">
        <v>25</v>
      </c>
      <c r="K1261" s="2">
        <v>106407</v>
      </c>
      <c r="L1261" s="2">
        <v>123064</v>
      </c>
      <c r="M1261" t="s">
        <v>38</v>
      </c>
      <c r="N1261">
        <v>51</v>
      </c>
      <c r="O1261" t="s">
        <v>25</v>
      </c>
      <c r="P1261">
        <v>5</v>
      </c>
      <c r="Q1261" s="1">
        <v>1.53</v>
      </c>
      <c r="R1261" s="2">
        <f t="shared" si="76"/>
        <v>16657</v>
      </c>
      <c r="S1261" s="1">
        <f t="shared" si="77"/>
        <v>15.654045316567519</v>
      </c>
      <c r="T1261" t="str">
        <f t="shared" si="78"/>
        <v>Beginner</v>
      </c>
      <c r="U1261" t="str">
        <f t="shared" si="79"/>
        <v>Medium Impact</v>
      </c>
    </row>
    <row r="1262" spans="1:21" x14ac:dyDescent="0.3">
      <c r="A1262" t="s">
        <v>99</v>
      </c>
      <c r="B1262">
        <v>45</v>
      </c>
      <c r="C1262" t="s">
        <v>54</v>
      </c>
      <c r="D1262" t="s">
        <v>40</v>
      </c>
      <c r="E1262" t="s">
        <v>35</v>
      </c>
      <c r="F1262" t="s">
        <v>36</v>
      </c>
      <c r="G1262">
        <v>22</v>
      </c>
      <c r="H1262" t="s">
        <v>37</v>
      </c>
      <c r="I1262" t="s">
        <v>37</v>
      </c>
      <c r="J1262" t="s">
        <v>23</v>
      </c>
      <c r="K1262" s="2">
        <v>102991</v>
      </c>
      <c r="L1262" s="2">
        <v>113428</v>
      </c>
      <c r="M1262" t="s">
        <v>38</v>
      </c>
      <c r="N1262">
        <v>44</v>
      </c>
      <c r="O1262" t="s">
        <v>25</v>
      </c>
      <c r="P1262">
        <v>4</v>
      </c>
      <c r="Q1262" s="1">
        <v>1.52</v>
      </c>
      <c r="R1262" s="2">
        <f t="shared" si="76"/>
        <v>10437</v>
      </c>
      <c r="S1262" s="1">
        <f t="shared" si="77"/>
        <v>10.133895194725753</v>
      </c>
      <c r="T1262" t="str">
        <f t="shared" si="78"/>
        <v>Expert</v>
      </c>
      <c r="U1262" t="str">
        <f t="shared" si="79"/>
        <v>Medium Impact</v>
      </c>
    </row>
    <row r="1263" spans="1:21" x14ac:dyDescent="0.3">
      <c r="A1263" t="s">
        <v>1010</v>
      </c>
      <c r="B1263">
        <v>25</v>
      </c>
      <c r="C1263" t="s">
        <v>27</v>
      </c>
      <c r="D1263" t="s">
        <v>34</v>
      </c>
      <c r="E1263" t="s">
        <v>51</v>
      </c>
      <c r="F1263" t="s">
        <v>52</v>
      </c>
      <c r="G1263">
        <v>3</v>
      </c>
      <c r="H1263" t="s">
        <v>37</v>
      </c>
      <c r="I1263" t="s">
        <v>22</v>
      </c>
      <c r="J1263" t="s">
        <v>23</v>
      </c>
      <c r="K1263" s="2">
        <v>88535</v>
      </c>
      <c r="L1263" s="2">
        <v>98714</v>
      </c>
      <c r="M1263" t="s">
        <v>32</v>
      </c>
      <c r="N1263">
        <v>46</v>
      </c>
      <c r="O1263" t="s">
        <v>25</v>
      </c>
      <c r="P1263">
        <v>3</v>
      </c>
      <c r="Q1263" s="1">
        <v>1.52</v>
      </c>
      <c r="R1263" s="2">
        <f t="shared" si="76"/>
        <v>10179</v>
      </c>
      <c r="S1263" s="1">
        <f t="shared" si="77"/>
        <v>11.497148020556843</v>
      </c>
      <c r="T1263" t="str">
        <f t="shared" si="78"/>
        <v>Beginner</v>
      </c>
      <c r="U1263" t="str">
        <f t="shared" si="79"/>
        <v>Low Impact</v>
      </c>
    </row>
    <row r="1264" spans="1:21" x14ac:dyDescent="0.3">
      <c r="A1264" t="s">
        <v>1083</v>
      </c>
      <c r="B1264">
        <v>39</v>
      </c>
      <c r="C1264" t="s">
        <v>27</v>
      </c>
      <c r="D1264" t="s">
        <v>40</v>
      </c>
      <c r="E1264" t="s">
        <v>20</v>
      </c>
      <c r="F1264" t="s">
        <v>118</v>
      </c>
      <c r="G1264">
        <v>16</v>
      </c>
      <c r="H1264" t="s">
        <v>37</v>
      </c>
      <c r="I1264" t="s">
        <v>37</v>
      </c>
      <c r="J1264" t="s">
        <v>25</v>
      </c>
      <c r="K1264" s="2">
        <v>42404</v>
      </c>
      <c r="L1264" s="2">
        <v>46137</v>
      </c>
      <c r="M1264" t="s">
        <v>38</v>
      </c>
      <c r="N1264">
        <v>41</v>
      </c>
      <c r="O1264" t="s">
        <v>23</v>
      </c>
      <c r="P1264">
        <v>3</v>
      </c>
      <c r="Q1264" s="1">
        <v>1.52</v>
      </c>
      <c r="R1264" s="2">
        <f t="shared" si="76"/>
        <v>3733</v>
      </c>
      <c r="S1264" s="1">
        <f t="shared" si="77"/>
        <v>8.803414772191303</v>
      </c>
      <c r="T1264" t="str">
        <f t="shared" si="78"/>
        <v>Expert</v>
      </c>
      <c r="U1264" t="str">
        <f t="shared" si="79"/>
        <v>Medium Impact</v>
      </c>
    </row>
    <row r="1265" spans="1:21" x14ac:dyDescent="0.3">
      <c r="A1265" t="s">
        <v>725</v>
      </c>
      <c r="B1265">
        <v>47</v>
      </c>
      <c r="C1265" t="s">
        <v>27</v>
      </c>
      <c r="D1265" t="s">
        <v>40</v>
      </c>
      <c r="E1265" t="s">
        <v>41</v>
      </c>
      <c r="F1265" t="s">
        <v>42</v>
      </c>
      <c r="G1265">
        <v>21</v>
      </c>
      <c r="H1265" t="s">
        <v>31</v>
      </c>
      <c r="I1265" t="s">
        <v>37</v>
      </c>
      <c r="J1265" t="s">
        <v>23</v>
      </c>
      <c r="K1265" s="2">
        <v>38848</v>
      </c>
      <c r="L1265" s="2">
        <v>41768</v>
      </c>
      <c r="M1265" t="s">
        <v>38</v>
      </c>
      <c r="N1265">
        <v>47</v>
      </c>
      <c r="O1265" t="s">
        <v>25</v>
      </c>
      <c r="P1265">
        <v>8</v>
      </c>
      <c r="Q1265" s="1">
        <v>1.5</v>
      </c>
      <c r="R1265" s="2">
        <f t="shared" si="76"/>
        <v>2920</v>
      </c>
      <c r="S1265" s="1">
        <f t="shared" si="77"/>
        <v>7.5164744645799013</v>
      </c>
      <c r="T1265" t="str">
        <f t="shared" si="78"/>
        <v>Expert</v>
      </c>
      <c r="U1265" t="str">
        <f t="shared" si="79"/>
        <v>Medium Impact</v>
      </c>
    </row>
    <row r="1266" spans="1:21" x14ac:dyDescent="0.3">
      <c r="A1266" t="s">
        <v>1257</v>
      </c>
      <c r="B1266">
        <v>31</v>
      </c>
      <c r="C1266" t="s">
        <v>27</v>
      </c>
      <c r="D1266" t="s">
        <v>28</v>
      </c>
      <c r="E1266" t="s">
        <v>35</v>
      </c>
      <c r="F1266" t="s">
        <v>36</v>
      </c>
      <c r="G1266">
        <v>7</v>
      </c>
      <c r="H1266" t="s">
        <v>31</v>
      </c>
      <c r="I1266" t="s">
        <v>37</v>
      </c>
      <c r="J1266" t="s">
        <v>23</v>
      </c>
      <c r="K1266" s="2">
        <v>97853</v>
      </c>
      <c r="L1266" s="2">
        <v>95996</v>
      </c>
      <c r="M1266" t="s">
        <v>38</v>
      </c>
      <c r="N1266">
        <v>50</v>
      </c>
      <c r="O1266" t="s">
        <v>25</v>
      </c>
      <c r="P1266">
        <v>5</v>
      </c>
      <c r="Q1266" s="1">
        <v>1.49</v>
      </c>
      <c r="R1266" s="2">
        <f t="shared" si="76"/>
        <v>-1857</v>
      </c>
      <c r="S1266" s="1">
        <f t="shared" si="77"/>
        <v>-1.8977445760477452</v>
      </c>
      <c r="T1266" t="str">
        <f t="shared" si="78"/>
        <v>Intermediate</v>
      </c>
      <c r="U1266" t="str">
        <f t="shared" si="79"/>
        <v>Medium Impact</v>
      </c>
    </row>
    <row r="1267" spans="1:21" x14ac:dyDescent="0.3">
      <c r="A1267" t="s">
        <v>154</v>
      </c>
      <c r="B1267">
        <v>22</v>
      </c>
      <c r="C1267" t="s">
        <v>54</v>
      </c>
      <c r="D1267" t="s">
        <v>19</v>
      </c>
      <c r="E1267" t="s">
        <v>41</v>
      </c>
      <c r="F1267" t="s">
        <v>49</v>
      </c>
      <c r="G1267">
        <v>0</v>
      </c>
      <c r="H1267" t="s">
        <v>31</v>
      </c>
      <c r="I1267" t="s">
        <v>37</v>
      </c>
      <c r="J1267" t="s">
        <v>23</v>
      </c>
      <c r="K1267" s="2">
        <v>75543</v>
      </c>
      <c r="L1267" s="2">
        <v>78770</v>
      </c>
      <c r="M1267" t="s">
        <v>38</v>
      </c>
      <c r="N1267">
        <v>42</v>
      </c>
      <c r="O1267" t="s">
        <v>25</v>
      </c>
      <c r="P1267">
        <v>9</v>
      </c>
      <c r="Q1267" s="1">
        <v>1.49</v>
      </c>
      <c r="R1267" s="2">
        <f t="shared" si="76"/>
        <v>3227</v>
      </c>
      <c r="S1267" s="1">
        <f t="shared" si="77"/>
        <v>4.271739274320586</v>
      </c>
      <c r="T1267" t="str">
        <f t="shared" si="78"/>
        <v>Beginner</v>
      </c>
      <c r="U1267" t="str">
        <f t="shared" si="79"/>
        <v>Medium Impact</v>
      </c>
    </row>
    <row r="1268" spans="1:21" x14ac:dyDescent="0.3">
      <c r="A1268" t="s">
        <v>1560</v>
      </c>
      <c r="B1268">
        <v>40</v>
      </c>
      <c r="C1268" t="s">
        <v>27</v>
      </c>
      <c r="D1268" t="s">
        <v>28</v>
      </c>
      <c r="E1268" t="s">
        <v>29</v>
      </c>
      <c r="F1268" t="s">
        <v>30</v>
      </c>
      <c r="G1268">
        <v>17</v>
      </c>
      <c r="H1268" t="s">
        <v>22</v>
      </c>
      <c r="I1268" t="s">
        <v>37</v>
      </c>
      <c r="J1268" t="s">
        <v>23</v>
      </c>
      <c r="K1268" s="2">
        <v>55230</v>
      </c>
      <c r="L1268" s="2">
        <v>73580</v>
      </c>
      <c r="M1268" t="s">
        <v>38</v>
      </c>
      <c r="N1268">
        <v>47</v>
      </c>
      <c r="O1268" t="s">
        <v>23</v>
      </c>
      <c r="P1268">
        <v>7</v>
      </c>
      <c r="Q1268" s="1">
        <v>1.49</v>
      </c>
      <c r="R1268" s="2">
        <f t="shared" si="76"/>
        <v>18350</v>
      </c>
      <c r="S1268" s="1">
        <f t="shared" si="77"/>
        <v>33.224696722795585</v>
      </c>
      <c r="T1268" t="str">
        <f t="shared" si="78"/>
        <v>Expert</v>
      </c>
      <c r="U1268" t="str">
        <f t="shared" si="79"/>
        <v>Medium Impact</v>
      </c>
    </row>
    <row r="1269" spans="1:21" x14ac:dyDescent="0.3">
      <c r="A1269" t="s">
        <v>1973</v>
      </c>
      <c r="B1269">
        <v>44</v>
      </c>
      <c r="C1269" t="s">
        <v>18</v>
      </c>
      <c r="D1269" t="s">
        <v>28</v>
      </c>
      <c r="E1269" t="s">
        <v>35</v>
      </c>
      <c r="F1269" t="s">
        <v>98</v>
      </c>
      <c r="G1269">
        <v>20</v>
      </c>
      <c r="H1269" t="s">
        <v>22</v>
      </c>
      <c r="I1269" t="s">
        <v>31</v>
      </c>
      <c r="J1269" t="s">
        <v>25</v>
      </c>
      <c r="K1269" s="2">
        <v>111981</v>
      </c>
      <c r="L1269" s="2">
        <v>135008</v>
      </c>
      <c r="M1269" t="s">
        <v>32</v>
      </c>
      <c r="N1269">
        <v>54</v>
      </c>
      <c r="O1269" t="s">
        <v>25</v>
      </c>
      <c r="P1269">
        <v>4</v>
      </c>
      <c r="Q1269" s="1">
        <v>1.42</v>
      </c>
      <c r="R1269" s="2">
        <f t="shared" si="76"/>
        <v>23027</v>
      </c>
      <c r="S1269" s="1">
        <f t="shared" si="77"/>
        <v>20.563309847206224</v>
      </c>
      <c r="T1269" t="str">
        <f t="shared" si="78"/>
        <v>Expert</v>
      </c>
      <c r="U1269" t="str">
        <f t="shared" si="79"/>
        <v>Low Impact</v>
      </c>
    </row>
    <row r="1270" spans="1:21" x14ac:dyDescent="0.3">
      <c r="A1270" t="s">
        <v>1167</v>
      </c>
      <c r="B1270">
        <v>23</v>
      </c>
      <c r="C1270" t="s">
        <v>27</v>
      </c>
      <c r="D1270" t="s">
        <v>19</v>
      </c>
      <c r="E1270" t="s">
        <v>41</v>
      </c>
      <c r="F1270" t="s">
        <v>42</v>
      </c>
      <c r="G1270">
        <v>0</v>
      </c>
      <c r="H1270" t="s">
        <v>37</v>
      </c>
      <c r="I1270" t="s">
        <v>22</v>
      </c>
      <c r="J1270" t="s">
        <v>25</v>
      </c>
      <c r="K1270" s="2">
        <v>104353</v>
      </c>
      <c r="L1270" s="2">
        <v>112142</v>
      </c>
      <c r="M1270" t="s">
        <v>32</v>
      </c>
      <c r="N1270">
        <v>42</v>
      </c>
      <c r="O1270" t="s">
        <v>25</v>
      </c>
      <c r="P1270">
        <v>9</v>
      </c>
      <c r="Q1270" s="1">
        <v>1.41</v>
      </c>
      <c r="R1270" s="2">
        <f t="shared" si="76"/>
        <v>7789</v>
      </c>
      <c r="S1270" s="1">
        <f t="shared" si="77"/>
        <v>7.4640882389581513</v>
      </c>
      <c r="T1270" t="str">
        <f t="shared" si="78"/>
        <v>Beginner</v>
      </c>
      <c r="U1270" t="str">
        <f t="shared" si="79"/>
        <v>Low Impact</v>
      </c>
    </row>
    <row r="1271" spans="1:21" x14ac:dyDescent="0.3">
      <c r="A1271" t="s">
        <v>1544</v>
      </c>
      <c r="B1271">
        <v>42</v>
      </c>
      <c r="C1271" t="s">
        <v>18</v>
      </c>
      <c r="D1271" t="s">
        <v>28</v>
      </c>
      <c r="E1271" t="s">
        <v>20</v>
      </c>
      <c r="F1271" t="s">
        <v>118</v>
      </c>
      <c r="G1271">
        <v>19</v>
      </c>
      <c r="H1271" t="s">
        <v>22</v>
      </c>
      <c r="I1271" t="s">
        <v>22</v>
      </c>
      <c r="J1271" t="s">
        <v>23</v>
      </c>
      <c r="K1271" s="2">
        <v>102683</v>
      </c>
      <c r="L1271" s="2">
        <v>116833</v>
      </c>
      <c r="M1271" t="s">
        <v>38</v>
      </c>
      <c r="N1271">
        <v>38</v>
      </c>
      <c r="O1271" t="s">
        <v>23</v>
      </c>
      <c r="P1271">
        <v>5</v>
      </c>
      <c r="Q1271" s="1">
        <v>1.4</v>
      </c>
      <c r="R1271" s="2">
        <f t="shared" si="76"/>
        <v>14150</v>
      </c>
      <c r="S1271" s="1">
        <f t="shared" si="77"/>
        <v>13.780275215955903</v>
      </c>
      <c r="T1271" t="str">
        <f t="shared" si="78"/>
        <v>Expert</v>
      </c>
      <c r="U1271" t="str">
        <f t="shared" si="79"/>
        <v>Medium Impact</v>
      </c>
    </row>
    <row r="1272" spans="1:21" x14ac:dyDescent="0.3">
      <c r="A1272" t="s">
        <v>1938</v>
      </c>
      <c r="B1272">
        <v>23</v>
      </c>
      <c r="C1272" t="s">
        <v>18</v>
      </c>
      <c r="D1272" t="s">
        <v>19</v>
      </c>
      <c r="E1272" t="s">
        <v>44</v>
      </c>
      <c r="F1272" t="s">
        <v>47</v>
      </c>
      <c r="G1272">
        <v>0</v>
      </c>
      <c r="H1272" t="s">
        <v>22</v>
      </c>
      <c r="I1272" t="s">
        <v>31</v>
      </c>
      <c r="J1272" t="s">
        <v>23</v>
      </c>
      <c r="K1272" s="2">
        <v>105396</v>
      </c>
      <c r="L1272" s="2">
        <v>104631</v>
      </c>
      <c r="M1272" t="s">
        <v>32</v>
      </c>
      <c r="N1272">
        <v>37</v>
      </c>
      <c r="O1272" t="s">
        <v>23</v>
      </c>
      <c r="P1272">
        <v>8</v>
      </c>
      <c r="Q1272" s="1">
        <v>1.38</v>
      </c>
      <c r="R1272" s="2">
        <f t="shared" si="76"/>
        <v>-765</v>
      </c>
      <c r="S1272" s="1">
        <f t="shared" si="77"/>
        <v>-0.72583399749516109</v>
      </c>
      <c r="T1272" t="str">
        <f t="shared" si="78"/>
        <v>Beginner</v>
      </c>
      <c r="U1272" t="str">
        <f t="shared" si="79"/>
        <v>Low Impact</v>
      </c>
    </row>
    <row r="1273" spans="1:21" x14ac:dyDescent="0.3">
      <c r="A1273" t="s">
        <v>604</v>
      </c>
      <c r="B1273">
        <v>44</v>
      </c>
      <c r="C1273" t="s">
        <v>18</v>
      </c>
      <c r="D1273" t="s">
        <v>19</v>
      </c>
      <c r="E1273" t="s">
        <v>51</v>
      </c>
      <c r="F1273" t="s">
        <v>130</v>
      </c>
      <c r="G1273">
        <v>19</v>
      </c>
      <c r="H1273" t="s">
        <v>22</v>
      </c>
      <c r="I1273" t="s">
        <v>37</v>
      </c>
      <c r="J1273" t="s">
        <v>25</v>
      </c>
      <c r="K1273" s="2">
        <v>84318</v>
      </c>
      <c r="L1273" s="2">
        <v>68947</v>
      </c>
      <c r="M1273" t="s">
        <v>38</v>
      </c>
      <c r="N1273">
        <v>48</v>
      </c>
      <c r="O1273" t="s">
        <v>23</v>
      </c>
      <c r="P1273">
        <v>7</v>
      </c>
      <c r="Q1273" s="1">
        <v>1.36</v>
      </c>
      <c r="R1273" s="2">
        <f t="shared" si="76"/>
        <v>-15371</v>
      </c>
      <c r="S1273" s="1">
        <f t="shared" si="77"/>
        <v>-18.229796721933631</v>
      </c>
      <c r="T1273" t="str">
        <f t="shared" si="78"/>
        <v>Expert</v>
      </c>
      <c r="U1273" t="str">
        <f t="shared" si="79"/>
        <v>Medium Impact</v>
      </c>
    </row>
    <row r="1274" spans="1:21" x14ac:dyDescent="0.3">
      <c r="A1274" t="s">
        <v>397</v>
      </c>
      <c r="B1274">
        <v>42</v>
      </c>
      <c r="C1274" t="s">
        <v>27</v>
      </c>
      <c r="D1274" t="s">
        <v>40</v>
      </c>
      <c r="E1274" t="s">
        <v>59</v>
      </c>
      <c r="F1274" t="s">
        <v>77</v>
      </c>
      <c r="G1274">
        <v>16</v>
      </c>
      <c r="H1274" t="s">
        <v>37</v>
      </c>
      <c r="I1274" t="s">
        <v>22</v>
      </c>
      <c r="J1274" t="s">
        <v>25</v>
      </c>
      <c r="K1274" s="2">
        <v>110073</v>
      </c>
      <c r="L1274" s="2">
        <v>119525</v>
      </c>
      <c r="M1274" t="s">
        <v>32</v>
      </c>
      <c r="N1274">
        <v>47</v>
      </c>
      <c r="O1274" t="s">
        <v>25</v>
      </c>
      <c r="P1274">
        <v>6</v>
      </c>
      <c r="Q1274" s="1">
        <v>1.33</v>
      </c>
      <c r="R1274" s="2">
        <f t="shared" si="76"/>
        <v>9452</v>
      </c>
      <c r="S1274" s="1">
        <f t="shared" si="77"/>
        <v>8.5870286082872287</v>
      </c>
      <c r="T1274" t="str">
        <f t="shared" si="78"/>
        <v>Expert</v>
      </c>
      <c r="U1274" t="str">
        <f t="shared" si="79"/>
        <v>Low Impact</v>
      </c>
    </row>
    <row r="1275" spans="1:21" x14ac:dyDescent="0.3">
      <c r="A1275" t="s">
        <v>677</v>
      </c>
      <c r="B1275">
        <v>51</v>
      </c>
      <c r="C1275" t="s">
        <v>18</v>
      </c>
      <c r="D1275" t="s">
        <v>34</v>
      </c>
      <c r="E1275" t="s">
        <v>29</v>
      </c>
      <c r="F1275" t="s">
        <v>104</v>
      </c>
      <c r="G1275">
        <v>26</v>
      </c>
      <c r="H1275" t="s">
        <v>37</v>
      </c>
      <c r="I1275" t="s">
        <v>22</v>
      </c>
      <c r="J1275" t="s">
        <v>23</v>
      </c>
      <c r="K1275" s="2">
        <v>112569</v>
      </c>
      <c r="L1275" s="2">
        <v>109973</v>
      </c>
      <c r="M1275" t="s">
        <v>32</v>
      </c>
      <c r="N1275">
        <v>47</v>
      </c>
      <c r="O1275" t="s">
        <v>25</v>
      </c>
      <c r="P1275">
        <v>6</v>
      </c>
      <c r="Q1275" s="1">
        <v>1.32</v>
      </c>
      <c r="R1275" s="2">
        <f t="shared" si="76"/>
        <v>-2596</v>
      </c>
      <c r="S1275" s="1">
        <f t="shared" si="77"/>
        <v>-2.3061411223338575</v>
      </c>
      <c r="T1275" t="str">
        <f t="shared" si="78"/>
        <v>Expert</v>
      </c>
      <c r="U1275" t="str">
        <f t="shared" si="79"/>
        <v>Low Impact</v>
      </c>
    </row>
    <row r="1276" spans="1:21" x14ac:dyDescent="0.3">
      <c r="A1276" t="s">
        <v>732</v>
      </c>
      <c r="B1276">
        <v>38</v>
      </c>
      <c r="C1276" t="s">
        <v>54</v>
      </c>
      <c r="D1276" t="s">
        <v>19</v>
      </c>
      <c r="E1276" t="s">
        <v>51</v>
      </c>
      <c r="F1276" t="s">
        <v>52</v>
      </c>
      <c r="G1276">
        <v>14</v>
      </c>
      <c r="H1276" t="s">
        <v>22</v>
      </c>
      <c r="I1276" t="s">
        <v>22</v>
      </c>
      <c r="J1276" t="s">
        <v>25</v>
      </c>
      <c r="K1276" s="2">
        <v>80225</v>
      </c>
      <c r="L1276" s="2">
        <v>69276</v>
      </c>
      <c r="M1276" t="s">
        <v>24</v>
      </c>
      <c r="N1276">
        <v>47</v>
      </c>
      <c r="O1276" t="s">
        <v>23</v>
      </c>
      <c r="P1276">
        <v>8</v>
      </c>
      <c r="Q1276" s="1">
        <v>1.29</v>
      </c>
      <c r="R1276" s="2">
        <f t="shared" si="76"/>
        <v>-10949</v>
      </c>
      <c r="S1276" s="1">
        <f t="shared" si="77"/>
        <v>-13.647865378622623</v>
      </c>
      <c r="T1276" t="str">
        <f t="shared" si="78"/>
        <v>Intermediate</v>
      </c>
      <c r="U1276" t="str">
        <f t="shared" si="79"/>
        <v>High Impact</v>
      </c>
    </row>
    <row r="1277" spans="1:21" x14ac:dyDescent="0.3">
      <c r="A1277" t="s">
        <v>1002</v>
      </c>
      <c r="B1277">
        <v>59</v>
      </c>
      <c r="C1277" t="s">
        <v>18</v>
      </c>
      <c r="D1277" t="s">
        <v>28</v>
      </c>
      <c r="E1277" t="s">
        <v>44</v>
      </c>
      <c r="F1277" t="s">
        <v>47</v>
      </c>
      <c r="G1277">
        <v>34</v>
      </c>
      <c r="H1277" t="s">
        <v>37</v>
      </c>
      <c r="I1277" t="s">
        <v>31</v>
      </c>
      <c r="J1277" t="s">
        <v>25</v>
      </c>
      <c r="K1277" s="2">
        <v>54014</v>
      </c>
      <c r="L1277" s="2">
        <v>54872</v>
      </c>
      <c r="M1277" t="s">
        <v>32</v>
      </c>
      <c r="N1277">
        <v>46</v>
      </c>
      <c r="O1277" t="s">
        <v>25</v>
      </c>
      <c r="P1277">
        <v>4</v>
      </c>
      <c r="Q1277" s="1">
        <v>1.21</v>
      </c>
      <c r="R1277" s="2">
        <f t="shared" si="76"/>
        <v>858</v>
      </c>
      <c r="S1277" s="1">
        <f t="shared" si="77"/>
        <v>1.5884770615025734</v>
      </c>
      <c r="T1277" t="str">
        <f t="shared" si="78"/>
        <v>Expert</v>
      </c>
      <c r="U1277" t="str">
        <f t="shared" si="79"/>
        <v>Low Impact</v>
      </c>
    </row>
    <row r="1278" spans="1:21" x14ac:dyDescent="0.3">
      <c r="A1278" t="s">
        <v>1043</v>
      </c>
      <c r="B1278">
        <v>50</v>
      </c>
      <c r="C1278" t="s">
        <v>18</v>
      </c>
      <c r="D1278" t="s">
        <v>34</v>
      </c>
      <c r="E1278" t="s">
        <v>41</v>
      </c>
      <c r="F1278" t="s">
        <v>55</v>
      </c>
      <c r="G1278">
        <v>24</v>
      </c>
      <c r="H1278" t="s">
        <v>31</v>
      </c>
      <c r="I1278" t="s">
        <v>31</v>
      </c>
      <c r="J1278" t="s">
        <v>23</v>
      </c>
      <c r="K1278" s="2">
        <v>102233</v>
      </c>
      <c r="L1278" s="2">
        <v>100278</v>
      </c>
      <c r="M1278" t="s">
        <v>32</v>
      </c>
      <c r="N1278">
        <v>48</v>
      </c>
      <c r="O1278" t="s">
        <v>23</v>
      </c>
      <c r="P1278">
        <v>4</v>
      </c>
      <c r="Q1278" s="1">
        <v>1.1499999999999999</v>
      </c>
      <c r="R1278" s="2">
        <f t="shared" si="76"/>
        <v>-1955</v>
      </c>
      <c r="S1278" s="1">
        <f t="shared" si="77"/>
        <v>-1.9122983772363131</v>
      </c>
      <c r="T1278" t="str">
        <f t="shared" si="78"/>
        <v>Expert</v>
      </c>
      <c r="U1278" t="str">
        <f t="shared" si="79"/>
        <v>Low Impact</v>
      </c>
    </row>
    <row r="1279" spans="1:21" x14ac:dyDescent="0.3">
      <c r="A1279" t="s">
        <v>233</v>
      </c>
      <c r="B1279">
        <v>30</v>
      </c>
      <c r="C1279" t="s">
        <v>27</v>
      </c>
      <c r="D1279" t="s">
        <v>40</v>
      </c>
      <c r="E1279" t="s">
        <v>41</v>
      </c>
      <c r="F1279" t="s">
        <v>55</v>
      </c>
      <c r="G1279">
        <v>7</v>
      </c>
      <c r="H1279" t="s">
        <v>31</v>
      </c>
      <c r="I1279" t="s">
        <v>22</v>
      </c>
      <c r="J1279" t="s">
        <v>25</v>
      </c>
      <c r="K1279" s="2">
        <v>31524</v>
      </c>
      <c r="L1279" s="2">
        <v>31576</v>
      </c>
      <c r="M1279" t="s">
        <v>32</v>
      </c>
      <c r="N1279">
        <v>35</v>
      </c>
      <c r="O1279" t="s">
        <v>23</v>
      </c>
      <c r="P1279">
        <v>3</v>
      </c>
      <c r="Q1279" s="1">
        <v>1.0900000000000001</v>
      </c>
      <c r="R1279" s="2">
        <f t="shared" si="76"/>
        <v>52</v>
      </c>
      <c r="S1279" s="1">
        <f t="shared" si="77"/>
        <v>0.16495368608044664</v>
      </c>
      <c r="T1279" t="str">
        <f t="shared" si="78"/>
        <v>Intermediate</v>
      </c>
      <c r="U1279" t="str">
        <f t="shared" si="79"/>
        <v>Low Impact</v>
      </c>
    </row>
    <row r="1280" spans="1:21" x14ac:dyDescent="0.3">
      <c r="A1280" t="s">
        <v>1857</v>
      </c>
      <c r="B1280">
        <v>46</v>
      </c>
      <c r="C1280" t="s">
        <v>27</v>
      </c>
      <c r="D1280" t="s">
        <v>28</v>
      </c>
      <c r="E1280" t="s">
        <v>41</v>
      </c>
      <c r="F1280" t="s">
        <v>55</v>
      </c>
      <c r="G1280">
        <v>23</v>
      </c>
      <c r="H1280" t="s">
        <v>37</v>
      </c>
      <c r="I1280" t="s">
        <v>31</v>
      </c>
      <c r="J1280" t="s">
        <v>25</v>
      </c>
      <c r="K1280" s="2">
        <v>102717</v>
      </c>
      <c r="L1280" s="2">
        <v>105296</v>
      </c>
      <c r="M1280" t="s">
        <v>32</v>
      </c>
      <c r="N1280">
        <v>40</v>
      </c>
      <c r="O1280" t="s">
        <v>25</v>
      </c>
      <c r="P1280">
        <v>4</v>
      </c>
      <c r="Q1280" s="1">
        <v>1.03</v>
      </c>
      <c r="R1280" s="2">
        <f t="shared" si="76"/>
        <v>2579</v>
      </c>
      <c r="S1280" s="1">
        <f t="shared" si="77"/>
        <v>2.5107820516564927</v>
      </c>
      <c r="T1280" t="str">
        <f t="shared" si="78"/>
        <v>Expert</v>
      </c>
      <c r="U1280" t="str">
        <f t="shared" si="79"/>
        <v>Low Impact</v>
      </c>
    </row>
    <row r="1281" spans="1:21" x14ac:dyDescent="0.3">
      <c r="A1281" t="s">
        <v>874</v>
      </c>
      <c r="B1281">
        <v>35</v>
      </c>
      <c r="C1281" t="s">
        <v>18</v>
      </c>
      <c r="D1281" t="s">
        <v>28</v>
      </c>
      <c r="E1281" t="s">
        <v>44</v>
      </c>
      <c r="F1281" t="s">
        <v>47</v>
      </c>
      <c r="G1281">
        <v>12</v>
      </c>
      <c r="H1281" t="s">
        <v>22</v>
      </c>
      <c r="I1281" t="s">
        <v>31</v>
      </c>
      <c r="J1281" t="s">
        <v>25</v>
      </c>
      <c r="K1281" s="2">
        <v>100990</v>
      </c>
      <c r="L1281" s="2">
        <v>85089</v>
      </c>
      <c r="M1281" t="s">
        <v>32</v>
      </c>
      <c r="N1281">
        <v>52</v>
      </c>
      <c r="O1281" t="s">
        <v>25</v>
      </c>
      <c r="P1281">
        <v>6</v>
      </c>
      <c r="Q1281" s="1">
        <v>0.99</v>
      </c>
      <c r="R1281" s="2">
        <f t="shared" si="76"/>
        <v>-15901</v>
      </c>
      <c r="S1281" s="1">
        <f t="shared" si="77"/>
        <v>-15.745123279532628</v>
      </c>
      <c r="T1281" t="str">
        <f t="shared" si="78"/>
        <v>Intermediate</v>
      </c>
      <c r="U1281" t="str">
        <f t="shared" si="79"/>
        <v>Low Impact</v>
      </c>
    </row>
    <row r="1282" spans="1:21" x14ac:dyDescent="0.3">
      <c r="A1282" t="s">
        <v>2037</v>
      </c>
      <c r="B1282">
        <v>38</v>
      </c>
      <c r="C1282" t="s">
        <v>54</v>
      </c>
      <c r="D1282" t="s">
        <v>28</v>
      </c>
      <c r="E1282" t="s">
        <v>41</v>
      </c>
      <c r="F1282" t="s">
        <v>42</v>
      </c>
      <c r="G1282">
        <v>15</v>
      </c>
      <c r="H1282" t="s">
        <v>37</v>
      </c>
      <c r="I1282" t="s">
        <v>31</v>
      </c>
      <c r="J1282" t="s">
        <v>25</v>
      </c>
      <c r="K1282" s="2">
        <v>30594</v>
      </c>
      <c r="L1282" s="2">
        <v>34186</v>
      </c>
      <c r="M1282" t="s">
        <v>32</v>
      </c>
      <c r="N1282">
        <v>38</v>
      </c>
      <c r="O1282" t="s">
        <v>25</v>
      </c>
      <c r="P1282">
        <v>3</v>
      </c>
      <c r="Q1282" s="1">
        <v>0.99</v>
      </c>
      <c r="R1282" s="2">
        <f t="shared" ref="R1282:R1345" si="80">L1282-K1282</f>
        <v>3592</v>
      </c>
      <c r="S1282" s="1">
        <f t="shared" ref="S1282:S1345" si="81">(L1282-K1282)/K1282*100</f>
        <v>11.740864221742825</v>
      </c>
      <c r="T1282" t="str">
        <f t="shared" ref="T1282:T1345" si="82">IF(G1282&lt;5,"Beginner",IF(G1282&lt;15,"Intermediate","Expert"))</f>
        <v>Expert</v>
      </c>
      <c r="U1282" t="str">
        <f t="shared" ref="U1282:U1345" si="83">IF(M1282="Replaced","High Impact",IF(M1282="Modified","Medium Impact","Low Impact"))</f>
        <v>Low Impact</v>
      </c>
    </row>
    <row r="1283" spans="1:21" x14ac:dyDescent="0.3">
      <c r="A1283" t="s">
        <v>2034</v>
      </c>
      <c r="B1283">
        <v>59</v>
      </c>
      <c r="C1283" t="s">
        <v>18</v>
      </c>
      <c r="D1283" t="s">
        <v>34</v>
      </c>
      <c r="E1283" t="s">
        <v>35</v>
      </c>
      <c r="F1283" t="s">
        <v>132</v>
      </c>
      <c r="G1283">
        <v>37</v>
      </c>
      <c r="H1283" t="s">
        <v>31</v>
      </c>
      <c r="I1283" t="s">
        <v>37</v>
      </c>
      <c r="J1283" t="s">
        <v>23</v>
      </c>
      <c r="K1283" s="2">
        <v>68349</v>
      </c>
      <c r="L1283" s="2">
        <v>74992</v>
      </c>
      <c r="M1283" t="s">
        <v>38</v>
      </c>
      <c r="N1283">
        <v>42</v>
      </c>
      <c r="O1283" t="s">
        <v>25</v>
      </c>
      <c r="P1283">
        <v>4</v>
      </c>
      <c r="Q1283" s="1">
        <v>0.97</v>
      </c>
      <c r="R1283" s="2">
        <f t="shared" si="80"/>
        <v>6643</v>
      </c>
      <c r="S1283" s="1">
        <f t="shared" si="81"/>
        <v>9.7192351021960821</v>
      </c>
      <c r="T1283" t="str">
        <f t="shared" si="82"/>
        <v>Expert</v>
      </c>
      <c r="U1283" t="str">
        <f t="shared" si="83"/>
        <v>Medium Impact</v>
      </c>
    </row>
    <row r="1284" spans="1:21" x14ac:dyDescent="0.3">
      <c r="A1284" t="s">
        <v>210</v>
      </c>
      <c r="B1284">
        <v>51</v>
      </c>
      <c r="C1284" t="s">
        <v>54</v>
      </c>
      <c r="D1284" t="s">
        <v>19</v>
      </c>
      <c r="E1284" t="s">
        <v>29</v>
      </c>
      <c r="F1284" t="s">
        <v>104</v>
      </c>
      <c r="G1284">
        <v>27</v>
      </c>
      <c r="H1284" t="s">
        <v>31</v>
      </c>
      <c r="I1284" t="s">
        <v>22</v>
      </c>
      <c r="J1284" t="s">
        <v>25</v>
      </c>
      <c r="K1284" s="2">
        <v>54442</v>
      </c>
      <c r="L1284" s="2">
        <v>58251</v>
      </c>
      <c r="M1284" t="s">
        <v>32</v>
      </c>
      <c r="N1284">
        <v>51</v>
      </c>
      <c r="O1284" t="s">
        <v>23</v>
      </c>
      <c r="P1284">
        <v>7</v>
      </c>
      <c r="Q1284" s="1">
        <v>0.96</v>
      </c>
      <c r="R1284" s="2">
        <f t="shared" si="80"/>
        <v>3809</v>
      </c>
      <c r="S1284" s="1">
        <f t="shared" si="81"/>
        <v>6.9964365747033543</v>
      </c>
      <c r="T1284" t="str">
        <f t="shared" si="82"/>
        <v>Expert</v>
      </c>
      <c r="U1284" t="str">
        <f t="shared" si="83"/>
        <v>Low Impact</v>
      </c>
    </row>
    <row r="1285" spans="1:21" x14ac:dyDescent="0.3">
      <c r="A1285" t="s">
        <v>164</v>
      </c>
      <c r="B1285">
        <v>40</v>
      </c>
      <c r="C1285" t="s">
        <v>27</v>
      </c>
      <c r="D1285" t="s">
        <v>34</v>
      </c>
      <c r="E1285" t="s">
        <v>59</v>
      </c>
      <c r="F1285" t="s">
        <v>93</v>
      </c>
      <c r="G1285">
        <v>14</v>
      </c>
      <c r="H1285" t="s">
        <v>31</v>
      </c>
      <c r="I1285" t="s">
        <v>37</v>
      </c>
      <c r="J1285" t="s">
        <v>25</v>
      </c>
      <c r="K1285" s="2">
        <v>117044</v>
      </c>
      <c r="L1285" s="2">
        <v>117250</v>
      </c>
      <c r="M1285" t="s">
        <v>38</v>
      </c>
      <c r="N1285">
        <v>40</v>
      </c>
      <c r="O1285" t="s">
        <v>25</v>
      </c>
      <c r="P1285">
        <v>3</v>
      </c>
      <c r="Q1285" s="1">
        <v>0.86</v>
      </c>
      <c r="R1285" s="2">
        <f t="shared" si="80"/>
        <v>206</v>
      </c>
      <c r="S1285" s="1">
        <f t="shared" si="81"/>
        <v>0.1760021872116469</v>
      </c>
      <c r="T1285" t="str">
        <f t="shared" si="82"/>
        <v>Intermediate</v>
      </c>
      <c r="U1285" t="str">
        <f t="shared" si="83"/>
        <v>Medium Impact</v>
      </c>
    </row>
    <row r="1286" spans="1:21" x14ac:dyDescent="0.3">
      <c r="A1286" t="s">
        <v>1678</v>
      </c>
      <c r="B1286">
        <v>43</v>
      </c>
      <c r="C1286" t="s">
        <v>27</v>
      </c>
      <c r="D1286" t="s">
        <v>34</v>
      </c>
      <c r="E1286" t="s">
        <v>20</v>
      </c>
      <c r="F1286" t="s">
        <v>118</v>
      </c>
      <c r="G1286">
        <v>21</v>
      </c>
      <c r="H1286" t="s">
        <v>22</v>
      </c>
      <c r="I1286" t="s">
        <v>22</v>
      </c>
      <c r="J1286" t="s">
        <v>25</v>
      </c>
      <c r="K1286" s="2">
        <v>60314</v>
      </c>
      <c r="L1286" s="2">
        <v>57975</v>
      </c>
      <c r="M1286" t="s">
        <v>24</v>
      </c>
      <c r="N1286">
        <v>45</v>
      </c>
      <c r="O1286" t="s">
        <v>25</v>
      </c>
      <c r="P1286">
        <v>3</v>
      </c>
      <c r="Q1286" s="1">
        <v>0.86</v>
      </c>
      <c r="R1286" s="2">
        <f t="shared" si="80"/>
        <v>-2339</v>
      </c>
      <c r="S1286" s="1">
        <f t="shared" si="81"/>
        <v>-3.8780382664058095</v>
      </c>
      <c r="T1286" t="str">
        <f t="shared" si="82"/>
        <v>Expert</v>
      </c>
      <c r="U1286" t="str">
        <f t="shared" si="83"/>
        <v>High Impact</v>
      </c>
    </row>
    <row r="1287" spans="1:21" x14ac:dyDescent="0.3">
      <c r="A1287" t="s">
        <v>994</v>
      </c>
      <c r="B1287">
        <v>38</v>
      </c>
      <c r="C1287" t="s">
        <v>27</v>
      </c>
      <c r="D1287" t="s">
        <v>28</v>
      </c>
      <c r="E1287" t="s">
        <v>35</v>
      </c>
      <c r="F1287" t="s">
        <v>132</v>
      </c>
      <c r="G1287">
        <v>14</v>
      </c>
      <c r="H1287" t="s">
        <v>22</v>
      </c>
      <c r="I1287" t="s">
        <v>37</v>
      </c>
      <c r="J1287" t="s">
        <v>23</v>
      </c>
      <c r="K1287" s="2">
        <v>117318</v>
      </c>
      <c r="L1287" s="2">
        <v>120920</v>
      </c>
      <c r="M1287" t="s">
        <v>38</v>
      </c>
      <c r="N1287">
        <v>43</v>
      </c>
      <c r="O1287" t="s">
        <v>23</v>
      </c>
      <c r="P1287">
        <v>9</v>
      </c>
      <c r="Q1287" s="1">
        <v>0.82</v>
      </c>
      <c r="R1287" s="2">
        <f t="shared" si="80"/>
        <v>3602</v>
      </c>
      <c r="S1287" s="1">
        <f t="shared" si="81"/>
        <v>3.0702875944015413</v>
      </c>
      <c r="T1287" t="str">
        <f t="shared" si="82"/>
        <v>Intermediate</v>
      </c>
      <c r="U1287" t="str">
        <f t="shared" si="83"/>
        <v>Medium Impact</v>
      </c>
    </row>
    <row r="1288" spans="1:21" x14ac:dyDescent="0.3">
      <c r="A1288" t="s">
        <v>205</v>
      </c>
      <c r="B1288">
        <v>47</v>
      </c>
      <c r="C1288" t="s">
        <v>18</v>
      </c>
      <c r="D1288" t="s">
        <v>19</v>
      </c>
      <c r="E1288" t="s">
        <v>35</v>
      </c>
      <c r="F1288" t="s">
        <v>98</v>
      </c>
      <c r="G1288">
        <v>23</v>
      </c>
      <c r="H1288" t="s">
        <v>22</v>
      </c>
      <c r="I1288" t="s">
        <v>31</v>
      </c>
      <c r="J1288" t="s">
        <v>23</v>
      </c>
      <c r="K1288" s="2">
        <v>103509</v>
      </c>
      <c r="L1288" s="2">
        <v>104317</v>
      </c>
      <c r="M1288" t="s">
        <v>32</v>
      </c>
      <c r="N1288">
        <v>36</v>
      </c>
      <c r="O1288" t="s">
        <v>25</v>
      </c>
      <c r="P1288">
        <v>5</v>
      </c>
      <c r="Q1288" s="1">
        <v>0.82</v>
      </c>
      <c r="R1288" s="2">
        <f t="shared" si="80"/>
        <v>808</v>
      </c>
      <c r="S1288" s="1">
        <f t="shared" si="81"/>
        <v>0.78060844950680619</v>
      </c>
      <c r="T1288" t="str">
        <f t="shared" si="82"/>
        <v>Expert</v>
      </c>
      <c r="U1288" t="str">
        <f t="shared" si="83"/>
        <v>Low Impact</v>
      </c>
    </row>
    <row r="1289" spans="1:21" x14ac:dyDescent="0.3">
      <c r="A1289" t="s">
        <v>1717</v>
      </c>
      <c r="B1289">
        <v>30</v>
      </c>
      <c r="C1289" t="s">
        <v>18</v>
      </c>
      <c r="D1289" t="s">
        <v>34</v>
      </c>
      <c r="E1289" t="s">
        <v>35</v>
      </c>
      <c r="F1289" t="s">
        <v>36</v>
      </c>
      <c r="G1289">
        <v>6</v>
      </c>
      <c r="H1289" t="s">
        <v>22</v>
      </c>
      <c r="I1289" t="s">
        <v>37</v>
      </c>
      <c r="J1289" t="s">
        <v>23</v>
      </c>
      <c r="K1289" s="2">
        <v>99852</v>
      </c>
      <c r="L1289" s="2">
        <v>91068</v>
      </c>
      <c r="M1289" t="s">
        <v>38</v>
      </c>
      <c r="N1289">
        <v>46</v>
      </c>
      <c r="O1289" t="s">
        <v>25</v>
      </c>
      <c r="P1289">
        <v>8</v>
      </c>
      <c r="Q1289" s="1">
        <v>0.76</v>
      </c>
      <c r="R1289" s="2">
        <f t="shared" si="80"/>
        <v>-8784</v>
      </c>
      <c r="S1289" s="1">
        <f t="shared" si="81"/>
        <v>-8.7970195889917076</v>
      </c>
      <c r="T1289" t="str">
        <f t="shared" si="82"/>
        <v>Intermediate</v>
      </c>
      <c r="U1289" t="str">
        <f t="shared" si="83"/>
        <v>Medium Impact</v>
      </c>
    </row>
    <row r="1290" spans="1:21" x14ac:dyDescent="0.3">
      <c r="A1290" t="s">
        <v>412</v>
      </c>
      <c r="B1290">
        <v>41</v>
      </c>
      <c r="C1290" t="s">
        <v>18</v>
      </c>
      <c r="D1290" t="s">
        <v>19</v>
      </c>
      <c r="E1290" t="s">
        <v>20</v>
      </c>
      <c r="F1290" t="s">
        <v>118</v>
      </c>
      <c r="G1290">
        <v>18</v>
      </c>
      <c r="H1290" t="s">
        <v>22</v>
      </c>
      <c r="I1290" t="s">
        <v>22</v>
      </c>
      <c r="J1290" t="s">
        <v>25</v>
      </c>
      <c r="K1290" s="2">
        <v>48681</v>
      </c>
      <c r="L1290" s="2">
        <v>55359</v>
      </c>
      <c r="M1290" t="s">
        <v>24</v>
      </c>
      <c r="N1290">
        <v>52</v>
      </c>
      <c r="O1290" t="s">
        <v>23</v>
      </c>
      <c r="P1290">
        <v>3</v>
      </c>
      <c r="Q1290" s="1">
        <v>0.76</v>
      </c>
      <c r="R1290" s="2">
        <f t="shared" si="80"/>
        <v>6678</v>
      </c>
      <c r="S1290" s="1">
        <f t="shared" si="81"/>
        <v>13.717877611388426</v>
      </c>
      <c r="T1290" t="str">
        <f t="shared" si="82"/>
        <v>Expert</v>
      </c>
      <c r="U1290" t="str">
        <f t="shared" si="83"/>
        <v>High Impact</v>
      </c>
    </row>
    <row r="1291" spans="1:21" x14ac:dyDescent="0.3">
      <c r="A1291" t="s">
        <v>801</v>
      </c>
      <c r="B1291">
        <v>44</v>
      </c>
      <c r="C1291" t="s">
        <v>18</v>
      </c>
      <c r="D1291" t="s">
        <v>19</v>
      </c>
      <c r="E1291" t="s">
        <v>35</v>
      </c>
      <c r="F1291" t="s">
        <v>36</v>
      </c>
      <c r="G1291">
        <v>21</v>
      </c>
      <c r="H1291" t="s">
        <v>31</v>
      </c>
      <c r="I1291" t="s">
        <v>37</v>
      </c>
      <c r="J1291" t="s">
        <v>25</v>
      </c>
      <c r="K1291" s="2">
        <v>70475</v>
      </c>
      <c r="L1291" s="2">
        <v>73079</v>
      </c>
      <c r="M1291" t="s">
        <v>38</v>
      </c>
      <c r="N1291">
        <v>53</v>
      </c>
      <c r="O1291" t="s">
        <v>23</v>
      </c>
      <c r="P1291">
        <v>3</v>
      </c>
      <c r="Q1291" s="1">
        <v>0.74</v>
      </c>
      <c r="R1291" s="2">
        <f t="shared" si="80"/>
        <v>2604</v>
      </c>
      <c r="S1291" s="1">
        <f t="shared" si="81"/>
        <v>3.6949272791770134</v>
      </c>
      <c r="T1291" t="str">
        <f t="shared" si="82"/>
        <v>Expert</v>
      </c>
      <c r="U1291" t="str">
        <f t="shared" si="83"/>
        <v>Medium Impact</v>
      </c>
    </row>
    <row r="1292" spans="1:21" x14ac:dyDescent="0.3">
      <c r="A1292" t="s">
        <v>1753</v>
      </c>
      <c r="B1292">
        <v>35</v>
      </c>
      <c r="C1292" t="s">
        <v>27</v>
      </c>
      <c r="D1292" t="s">
        <v>40</v>
      </c>
      <c r="E1292" t="s">
        <v>59</v>
      </c>
      <c r="F1292" t="s">
        <v>60</v>
      </c>
      <c r="G1292">
        <v>9</v>
      </c>
      <c r="H1292" t="s">
        <v>22</v>
      </c>
      <c r="I1292" t="s">
        <v>22</v>
      </c>
      <c r="J1292" t="s">
        <v>25</v>
      </c>
      <c r="K1292" s="2">
        <v>113816</v>
      </c>
      <c r="L1292" s="2">
        <v>154751</v>
      </c>
      <c r="M1292" t="s">
        <v>24</v>
      </c>
      <c r="N1292">
        <v>38</v>
      </c>
      <c r="O1292" t="s">
        <v>23</v>
      </c>
      <c r="P1292">
        <v>4</v>
      </c>
      <c r="Q1292" s="1">
        <v>0.71</v>
      </c>
      <c r="R1292" s="2">
        <f t="shared" si="80"/>
        <v>40935</v>
      </c>
      <c r="S1292" s="1">
        <f t="shared" si="81"/>
        <v>35.965945034090105</v>
      </c>
      <c r="T1292" t="str">
        <f t="shared" si="82"/>
        <v>Intermediate</v>
      </c>
      <c r="U1292" t="str">
        <f t="shared" si="83"/>
        <v>High Impact</v>
      </c>
    </row>
    <row r="1293" spans="1:21" x14ac:dyDescent="0.3">
      <c r="A1293" t="s">
        <v>1548</v>
      </c>
      <c r="B1293">
        <v>42</v>
      </c>
      <c r="C1293" t="s">
        <v>18</v>
      </c>
      <c r="D1293" t="s">
        <v>19</v>
      </c>
      <c r="E1293" t="s">
        <v>35</v>
      </c>
      <c r="F1293" t="s">
        <v>36</v>
      </c>
      <c r="G1293">
        <v>18</v>
      </c>
      <c r="H1293" t="s">
        <v>31</v>
      </c>
      <c r="I1293" t="s">
        <v>31</v>
      </c>
      <c r="J1293" t="s">
        <v>25</v>
      </c>
      <c r="K1293" s="2">
        <v>53284</v>
      </c>
      <c r="L1293" s="2">
        <v>52001</v>
      </c>
      <c r="M1293" t="s">
        <v>32</v>
      </c>
      <c r="N1293">
        <v>54</v>
      </c>
      <c r="O1293" t="s">
        <v>25</v>
      </c>
      <c r="P1293">
        <v>6</v>
      </c>
      <c r="Q1293" s="1">
        <v>0.67</v>
      </c>
      <c r="R1293" s="2">
        <f t="shared" si="80"/>
        <v>-1283</v>
      </c>
      <c r="S1293" s="1">
        <f t="shared" si="81"/>
        <v>-2.4078522633435928</v>
      </c>
      <c r="T1293" t="str">
        <f t="shared" si="82"/>
        <v>Expert</v>
      </c>
      <c r="U1293" t="str">
        <f t="shared" si="83"/>
        <v>Low Impact</v>
      </c>
    </row>
    <row r="1294" spans="1:21" x14ac:dyDescent="0.3">
      <c r="A1294" t="s">
        <v>1875</v>
      </c>
      <c r="B1294">
        <v>37</v>
      </c>
      <c r="C1294" t="s">
        <v>27</v>
      </c>
      <c r="D1294" t="s">
        <v>19</v>
      </c>
      <c r="E1294" t="s">
        <v>20</v>
      </c>
      <c r="F1294" t="s">
        <v>88</v>
      </c>
      <c r="G1294">
        <v>14</v>
      </c>
      <c r="H1294" t="s">
        <v>37</v>
      </c>
      <c r="I1294" t="s">
        <v>31</v>
      </c>
      <c r="J1294" t="s">
        <v>25</v>
      </c>
      <c r="K1294" s="2">
        <v>72213</v>
      </c>
      <c r="L1294" s="2">
        <v>78497</v>
      </c>
      <c r="M1294" t="s">
        <v>32</v>
      </c>
      <c r="N1294">
        <v>42</v>
      </c>
      <c r="O1294" t="s">
        <v>23</v>
      </c>
      <c r="P1294">
        <v>8</v>
      </c>
      <c r="Q1294" s="1">
        <v>0.62</v>
      </c>
      <c r="R1294" s="2">
        <f t="shared" si="80"/>
        <v>6284</v>
      </c>
      <c r="S1294" s="1">
        <f t="shared" si="81"/>
        <v>8.7020342597593228</v>
      </c>
      <c r="T1294" t="str">
        <f t="shared" si="82"/>
        <v>Intermediate</v>
      </c>
      <c r="U1294" t="str">
        <f t="shared" si="83"/>
        <v>Low Impact</v>
      </c>
    </row>
    <row r="1295" spans="1:21" x14ac:dyDescent="0.3">
      <c r="A1295" t="s">
        <v>1780</v>
      </c>
      <c r="B1295">
        <v>35</v>
      </c>
      <c r="C1295" t="s">
        <v>27</v>
      </c>
      <c r="D1295" t="s">
        <v>19</v>
      </c>
      <c r="E1295" t="s">
        <v>44</v>
      </c>
      <c r="F1295" t="s">
        <v>57</v>
      </c>
      <c r="G1295">
        <v>11</v>
      </c>
      <c r="H1295" t="s">
        <v>22</v>
      </c>
      <c r="I1295" t="s">
        <v>37</v>
      </c>
      <c r="J1295" t="s">
        <v>25</v>
      </c>
      <c r="K1295" s="2">
        <v>48676</v>
      </c>
      <c r="L1295" s="2">
        <v>66100</v>
      </c>
      <c r="M1295" t="s">
        <v>38</v>
      </c>
      <c r="N1295">
        <v>37</v>
      </c>
      <c r="O1295" t="s">
        <v>25</v>
      </c>
      <c r="P1295">
        <v>4</v>
      </c>
      <c r="Q1295" s="1">
        <v>0.61</v>
      </c>
      <c r="R1295" s="2">
        <f t="shared" si="80"/>
        <v>17424</v>
      </c>
      <c r="S1295" s="1">
        <f t="shared" si="81"/>
        <v>35.795874763743939</v>
      </c>
      <c r="T1295" t="str">
        <f t="shared" si="82"/>
        <v>Intermediate</v>
      </c>
      <c r="U1295" t="str">
        <f t="shared" si="83"/>
        <v>Medium Impact</v>
      </c>
    </row>
    <row r="1296" spans="1:21" x14ac:dyDescent="0.3">
      <c r="A1296" t="s">
        <v>707</v>
      </c>
      <c r="B1296">
        <v>56</v>
      </c>
      <c r="C1296" t="s">
        <v>27</v>
      </c>
      <c r="D1296" t="s">
        <v>19</v>
      </c>
      <c r="E1296" t="s">
        <v>29</v>
      </c>
      <c r="F1296" t="s">
        <v>104</v>
      </c>
      <c r="G1296">
        <v>32</v>
      </c>
      <c r="H1296" t="s">
        <v>22</v>
      </c>
      <c r="I1296" t="s">
        <v>31</v>
      </c>
      <c r="J1296" t="s">
        <v>23</v>
      </c>
      <c r="K1296" s="2">
        <v>100427</v>
      </c>
      <c r="L1296" s="2">
        <v>96071</v>
      </c>
      <c r="M1296" t="s">
        <v>32</v>
      </c>
      <c r="N1296">
        <v>42</v>
      </c>
      <c r="O1296" t="s">
        <v>25</v>
      </c>
      <c r="P1296">
        <v>3</v>
      </c>
      <c r="Q1296" s="1">
        <v>0.6</v>
      </c>
      <c r="R1296" s="2">
        <f t="shared" si="80"/>
        <v>-4356</v>
      </c>
      <c r="S1296" s="1">
        <f t="shared" si="81"/>
        <v>-4.3374789648202174</v>
      </c>
      <c r="T1296" t="str">
        <f t="shared" si="82"/>
        <v>Expert</v>
      </c>
      <c r="U1296" t="str">
        <f t="shared" si="83"/>
        <v>Low Impact</v>
      </c>
    </row>
    <row r="1297" spans="1:21" x14ac:dyDescent="0.3">
      <c r="A1297" t="s">
        <v>909</v>
      </c>
      <c r="B1297">
        <v>23</v>
      </c>
      <c r="C1297" t="s">
        <v>18</v>
      </c>
      <c r="D1297" t="s">
        <v>40</v>
      </c>
      <c r="E1297" t="s">
        <v>35</v>
      </c>
      <c r="F1297" t="s">
        <v>36</v>
      </c>
      <c r="G1297">
        <v>0</v>
      </c>
      <c r="H1297" t="s">
        <v>31</v>
      </c>
      <c r="I1297" t="s">
        <v>31</v>
      </c>
      <c r="J1297" t="s">
        <v>25</v>
      </c>
      <c r="K1297" s="2">
        <v>118177</v>
      </c>
      <c r="L1297" s="2">
        <v>127932</v>
      </c>
      <c r="M1297" t="s">
        <v>32</v>
      </c>
      <c r="N1297">
        <v>35</v>
      </c>
      <c r="O1297" t="s">
        <v>25</v>
      </c>
      <c r="P1297">
        <v>5</v>
      </c>
      <c r="Q1297" s="1">
        <v>0.57999999999999996</v>
      </c>
      <c r="R1297" s="2">
        <f t="shared" si="80"/>
        <v>9755</v>
      </c>
      <c r="S1297" s="1">
        <f t="shared" si="81"/>
        <v>8.2545673015899883</v>
      </c>
      <c r="T1297" t="str">
        <f t="shared" si="82"/>
        <v>Beginner</v>
      </c>
      <c r="U1297" t="str">
        <f t="shared" si="83"/>
        <v>Low Impact</v>
      </c>
    </row>
    <row r="1298" spans="1:21" x14ac:dyDescent="0.3">
      <c r="A1298" t="s">
        <v>268</v>
      </c>
      <c r="B1298">
        <v>40</v>
      </c>
      <c r="C1298" t="s">
        <v>27</v>
      </c>
      <c r="D1298" t="s">
        <v>19</v>
      </c>
      <c r="E1298" t="s">
        <v>41</v>
      </c>
      <c r="F1298" t="s">
        <v>49</v>
      </c>
      <c r="G1298">
        <v>17</v>
      </c>
      <c r="H1298" t="s">
        <v>22</v>
      </c>
      <c r="I1298" t="s">
        <v>22</v>
      </c>
      <c r="J1298" t="s">
        <v>23</v>
      </c>
      <c r="K1298" s="2">
        <v>117272</v>
      </c>
      <c r="L1298" s="2">
        <v>161576</v>
      </c>
      <c r="M1298" t="s">
        <v>24</v>
      </c>
      <c r="N1298">
        <v>49</v>
      </c>
      <c r="O1298" t="s">
        <v>23</v>
      </c>
      <c r="P1298">
        <v>8</v>
      </c>
      <c r="Q1298" s="1">
        <v>0.51</v>
      </c>
      <c r="R1298" s="2">
        <f t="shared" si="80"/>
        <v>44304</v>
      </c>
      <c r="S1298" s="1">
        <f t="shared" si="81"/>
        <v>37.778838938536055</v>
      </c>
      <c r="T1298" t="str">
        <f t="shared" si="82"/>
        <v>Expert</v>
      </c>
      <c r="U1298" t="str">
        <f t="shared" si="83"/>
        <v>High Impact</v>
      </c>
    </row>
    <row r="1299" spans="1:21" x14ac:dyDescent="0.3">
      <c r="A1299" t="s">
        <v>113</v>
      </c>
      <c r="B1299">
        <v>47</v>
      </c>
      <c r="C1299" t="s">
        <v>27</v>
      </c>
      <c r="D1299" t="s">
        <v>40</v>
      </c>
      <c r="E1299" t="s">
        <v>20</v>
      </c>
      <c r="F1299" t="s">
        <v>21</v>
      </c>
      <c r="G1299">
        <v>23</v>
      </c>
      <c r="H1299" t="s">
        <v>37</v>
      </c>
      <c r="I1299" t="s">
        <v>31</v>
      </c>
      <c r="J1299" t="s">
        <v>25</v>
      </c>
      <c r="K1299" s="2">
        <v>43284</v>
      </c>
      <c r="L1299" s="2">
        <v>40515</v>
      </c>
      <c r="M1299" t="s">
        <v>32</v>
      </c>
      <c r="N1299">
        <v>39</v>
      </c>
      <c r="O1299" t="s">
        <v>23</v>
      </c>
      <c r="P1299">
        <v>9</v>
      </c>
      <c r="Q1299" s="1">
        <v>0.51</v>
      </c>
      <c r="R1299" s="2">
        <f t="shared" si="80"/>
        <v>-2769</v>
      </c>
      <c r="S1299" s="1">
        <f t="shared" si="81"/>
        <v>-6.3972830607152753</v>
      </c>
      <c r="T1299" t="str">
        <f t="shared" si="82"/>
        <v>Expert</v>
      </c>
      <c r="U1299" t="str">
        <f t="shared" si="83"/>
        <v>Low Impact</v>
      </c>
    </row>
    <row r="1300" spans="1:21" x14ac:dyDescent="0.3">
      <c r="A1300" t="s">
        <v>1150</v>
      </c>
      <c r="B1300">
        <v>23</v>
      </c>
      <c r="C1300" t="s">
        <v>18</v>
      </c>
      <c r="D1300" t="s">
        <v>40</v>
      </c>
      <c r="E1300" t="s">
        <v>44</v>
      </c>
      <c r="F1300" t="s">
        <v>45</v>
      </c>
      <c r="G1300">
        <v>0</v>
      </c>
      <c r="H1300" t="s">
        <v>37</v>
      </c>
      <c r="I1300" t="s">
        <v>37</v>
      </c>
      <c r="J1300" t="s">
        <v>23</v>
      </c>
      <c r="K1300" s="2">
        <v>58469</v>
      </c>
      <c r="L1300" s="2">
        <v>67769</v>
      </c>
      <c r="M1300" t="s">
        <v>38</v>
      </c>
      <c r="N1300">
        <v>46</v>
      </c>
      <c r="O1300" t="s">
        <v>25</v>
      </c>
      <c r="P1300">
        <v>7</v>
      </c>
      <c r="Q1300" s="1">
        <v>0.46</v>
      </c>
      <c r="R1300" s="2">
        <f t="shared" si="80"/>
        <v>9300</v>
      </c>
      <c r="S1300" s="1">
        <f t="shared" si="81"/>
        <v>15.905864646222783</v>
      </c>
      <c r="T1300" t="str">
        <f t="shared" si="82"/>
        <v>Beginner</v>
      </c>
      <c r="U1300" t="str">
        <f t="shared" si="83"/>
        <v>Medium Impact</v>
      </c>
    </row>
    <row r="1301" spans="1:21" x14ac:dyDescent="0.3">
      <c r="A1301" t="s">
        <v>84</v>
      </c>
      <c r="B1301">
        <v>33</v>
      </c>
      <c r="C1301" t="s">
        <v>18</v>
      </c>
      <c r="D1301" t="s">
        <v>40</v>
      </c>
      <c r="E1301" t="s">
        <v>29</v>
      </c>
      <c r="F1301" t="s">
        <v>30</v>
      </c>
      <c r="G1301">
        <v>7</v>
      </c>
      <c r="H1301" t="s">
        <v>37</v>
      </c>
      <c r="I1301" t="s">
        <v>22</v>
      </c>
      <c r="J1301" t="s">
        <v>23</v>
      </c>
      <c r="K1301" s="2">
        <v>59855</v>
      </c>
      <c r="L1301" s="2">
        <v>65237</v>
      </c>
      <c r="M1301" t="s">
        <v>32</v>
      </c>
      <c r="N1301">
        <v>37</v>
      </c>
      <c r="O1301" t="s">
        <v>23</v>
      </c>
      <c r="P1301">
        <v>5</v>
      </c>
      <c r="Q1301" s="1">
        <v>0.34</v>
      </c>
      <c r="R1301" s="2">
        <f t="shared" si="80"/>
        <v>5382</v>
      </c>
      <c r="S1301" s="1">
        <f t="shared" si="81"/>
        <v>8.9917300142009857</v>
      </c>
      <c r="T1301" t="str">
        <f t="shared" si="82"/>
        <v>Intermediate</v>
      </c>
      <c r="U1301" t="str">
        <f t="shared" si="83"/>
        <v>Low Impact</v>
      </c>
    </row>
    <row r="1302" spans="1:21" x14ac:dyDescent="0.3">
      <c r="A1302" t="s">
        <v>1585</v>
      </c>
      <c r="B1302">
        <v>26</v>
      </c>
      <c r="C1302" t="s">
        <v>54</v>
      </c>
      <c r="D1302" t="s">
        <v>40</v>
      </c>
      <c r="E1302" t="s">
        <v>35</v>
      </c>
      <c r="F1302" t="s">
        <v>98</v>
      </c>
      <c r="G1302">
        <v>4</v>
      </c>
      <c r="H1302" t="s">
        <v>31</v>
      </c>
      <c r="I1302" t="s">
        <v>31</v>
      </c>
      <c r="J1302" t="s">
        <v>25</v>
      </c>
      <c r="K1302" s="2">
        <v>45021</v>
      </c>
      <c r="L1302" s="2">
        <v>47989</v>
      </c>
      <c r="M1302" t="s">
        <v>32</v>
      </c>
      <c r="N1302">
        <v>44</v>
      </c>
      <c r="O1302" t="s">
        <v>23</v>
      </c>
      <c r="P1302">
        <v>8</v>
      </c>
      <c r="Q1302" s="1">
        <v>0.34</v>
      </c>
      <c r="R1302" s="2">
        <f t="shared" si="80"/>
        <v>2968</v>
      </c>
      <c r="S1302" s="1">
        <f t="shared" si="81"/>
        <v>6.5924790653250698</v>
      </c>
      <c r="T1302" t="str">
        <f t="shared" si="82"/>
        <v>Beginner</v>
      </c>
      <c r="U1302" t="str">
        <f t="shared" si="83"/>
        <v>Low Impact</v>
      </c>
    </row>
    <row r="1303" spans="1:21" x14ac:dyDescent="0.3">
      <c r="A1303" t="s">
        <v>1168</v>
      </c>
      <c r="B1303">
        <v>54</v>
      </c>
      <c r="C1303" t="s">
        <v>18</v>
      </c>
      <c r="D1303" t="s">
        <v>19</v>
      </c>
      <c r="E1303" t="s">
        <v>20</v>
      </c>
      <c r="F1303" t="s">
        <v>21</v>
      </c>
      <c r="G1303">
        <v>29</v>
      </c>
      <c r="H1303" t="s">
        <v>31</v>
      </c>
      <c r="I1303" t="s">
        <v>31</v>
      </c>
      <c r="J1303" t="s">
        <v>25</v>
      </c>
      <c r="K1303" s="2">
        <v>76761</v>
      </c>
      <c r="L1303" s="2">
        <v>80568</v>
      </c>
      <c r="M1303" t="s">
        <v>32</v>
      </c>
      <c r="N1303">
        <v>42</v>
      </c>
      <c r="O1303" t="s">
        <v>25</v>
      </c>
      <c r="P1303">
        <v>8</v>
      </c>
      <c r="Q1303" s="1">
        <v>0.3</v>
      </c>
      <c r="R1303" s="2">
        <f t="shared" si="80"/>
        <v>3807</v>
      </c>
      <c r="S1303" s="1">
        <f t="shared" si="81"/>
        <v>4.9595497713682724</v>
      </c>
      <c r="T1303" t="str">
        <f t="shared" si="82"/>
        <v>Expert</v>
      </c>
      <c r="U1303" t="str">
        <f t="shared" si="83"/>
        <v>Low Impact</v>
      </c>
    </row>
    <row r="1304" spans="1:21" x14ac:dyDescent="0.3">
      <c r="A1304" t="s">
        <v>2017</v>
      </c>
      <c r="B1304">
        <v>51</v>
      </c>
      <c r="C1304" t="s">
        <v>54</v>
      </c>
      <c r="D1304" t="s">
        <v>34</v>
      </c>
      <c r="E1304" t="s">
        <v>41</v>
      </c>
      <c r="F1304" t="s">
        <v>42</v>
      </c>
      <c r="G1304">
        <v>27</v>
      </c>
      <c r="H1304" t="s">
        <v>37</v>
      </c>
      <c r="I1304" t="s">
        <v>31</v>
      </c>
      <c r="J1304" t="s">
        <v>23</v>
      </c>
      <c r="K1304" s="2">
        <v>72864</v>
      </c>
      <c r="L1304" s="2">
        <v>77509</v>
      </c>
      <c r="M1304" t="s">
        <v>32</v>
      </c>
      <c r="N1304">
        <v>49</v>
      </c>
      <c r="O1304" t="s">
        <v>25</v>
      </c>
      <c r="P1304">
        <v>6</v>
      </c>
      <c r="Q1304" s="1">
        <v>0.28999999999999998</v>
      </c>
      <c r="R1304" s="2">
        <f t="shared" si="80"/>
        <v>4645</v>
      </c>
      <c r="S1304" s="1">
        <f t="shared" si="81"/>
        <v>6.3748902064119459</v>
      </c>
      <c r="T1304" t="str">
        <f t="shared" si="82"/>
        <v>Expert</v>
      </c>
      <c r="U1304" t="str">
        <f t="shared" si="83"/>
        <v>Low Impact</v>
      </c>
    </row>
    <row r="1305" spans="1:21" x14ac:dyDescent="0.3">
      <c r="A1305" t="s">
        <v>1288</v>
      </c>
      <c r="B1305">
        <v>37</v>
      </c>
      <c r="C1305" t="s">
        <v>27</v>
      </c>
      <c r="D1305" t="s">
        <v>40</v>
      </c>
      <c r="E1305" t="s">
        <v>44</v>
      </c>
      <c r="F1305" t="s">
        <v>45</v>
      </c>
      <c r="G1305">
        <v>11</v>
      </c>
      <c r="H1305" t="s">
        <v>31</v>
      </c>
      <c r="I1305" t="s">
        <v>37</v>
      </c>
      <c r="J1305" t="s">
        <v>25</v>
      </c>
      <c r="K1305" s="2">
        <v>41415</v>
      </c>
      <c r="L1305" s="2">
        <v>42140</v>
      </c>
      <c r="M1305" t="s">
        <v>38</v>
      </c>
      <c r="N1305">
        <v>42</v>
      </c>
      <c r="O1305" t="s">
        <v>25</v>
      </c>
      <c r="P1305">
        <v>4</v>
      </c>
      <c r="Q1305" s="1">
        <v>0.27</v>
      </c>
      <c r="R1305" s="2">
        <f t="shared" si="80"/>
        <v>725</v>
      </c>
      <c r="S1305" s="1">
        <f t="shared" si="81"/>
        <v>1.7505734637208739</v>
      </c>
      <c r="T1305" t="str">
        <f t="shared" si="82"/>
        <v>Intermediate</v>
      </c>
      <c r="U1305" t="str">
        <f t="shared" si="83"/>
        <v>Medium Impact</v>
      </c>
    </row>
    <row r="1306" spans="1:21" x14ac:dyDescent="0.3">
      <c r="A1306" t="s">
        <v>1502</v>
      </c>
      <c r="B1306">
        <v>33</v>
      </c>
      <c r="C1306" t="s">
        <v>27</v>
      </c>
      <c r="D1306" t="s">
        <v>28</v>
      </c>
      <c r="E1306" t="s">
        <v>51</v>
      </c>
      <c r="F1306" t="s">
        <v>52</v>
      </c>
      <c r="G1306">
        <v>11</v>
      </c>
      <c r="H1306" t="s">
        <v>31</v>
      </c>
      <c r="I1306" t="s">
        <v>37</v>
      </c>
      <c r="J1306" t="s">
        <v>23</v>
      </c>
      <c r="K1306" s="2">
        <v>47045</v>
      </c>
      <c r="L1306" s="2">
        <v>45953</v>
      </c>
      <c r="M1306" t="s">
        <v>38</v>
      </c>
      <c r="N1306">
        <v>53</v>
      </c>
      <c r="O1306" t="s">
        <v>23</v>
      </c>
      <c r="P1306">
        <v>5</v>
      </c>
      <c r="Q1306" s="1">
        <v>0.26</v>
      </c>
      <c r="R1306" s="2">
        <f t="shared" si="80"/>
        <v>-1092</v>
      </c>
      <c r="S1306" s="1">
        <f t="shared" si="81"/>
        <v>-2.3211818471676056</v>
      </c>
      <c r="T1306" t="str">
        <f t="shared" si="82"/>
        <v>Intermediate</v>
      </c>
      <c r="U1306" t="str">
        <f t="shared" si="83"/>
        <v>Medium Impact</v>
      </c>
    </row>
    <row r="1307" spans="1:21" x14ac:dyDescent="0.3">
      <c r="A1307" t="s">
        <v>690</v>
      </c>
      <c r="B1307">
        <v>53</v>
      </c>
      <c r="C1307" t="s">
        <v>54</v>
      </c>
      <c r="D1307" t="s">
        <v>28</v>
      </c>
      <c r="E1307" t="s">
        <v>51</v>
      </c>
      <c r="F1307" t="s">
        <v>75</v>
      </c>
      <c r="G1307">
        <v>29</v>
      </c>
      <c r="H1307" t="s">
        <v>31</v>
      </c>
      <c r="I1307" t="s">
        <v>22</v>
      </c>
      <c r="J1307" t="s">
        <v>25</v>
      </c>
      <c r="K1307" s="2">
        <v>116402</v>
      </c>
      <c r="L1307" s="2">
        <v>126191</v>
      </c>
      <c r="M1307" t="s">
        <v>32</v>
      </c>
      <c r="N1307">
        <v>39</v>
      </c>
      <c r="O1307" t="s">
        <v>23</v>
      </c>
      <c r="P1307">
        <v>8</v>
      </c>
      <c r="Q1307" s="1">
        <v>0.25</v>
      </c>
      <c r="R1307" s="2">
        <f t="shared" si="80"/>
        <v>9789</v>
      </c>
      <c r="S1307" s="1">
        <f t="shared" si="81"/>
        <v>8.4096493187402288</v>
      </c>
      <c r="T1307" t="str">
        <f t="shared" si="82"/>
        <v>Expert</v>
      </c>
      <c r="U1307" t="str">
        <f t="shared" si="83"/>
        <v>Low Impact</v>
      </c>
    </row>
    <row r="1308" spans="1:21" x14ac:dyDescent="0.3">
      <c r="A1308" t="s">
        <v>942</v>
      </c>
      <c r="B1308">
        <v>59</v>
      </c>
      <c r="C1308" t="s">
        <v>54</v>
      </c>
      <c r="D1308" t="s">
        <v>40</v>
      </c>
      <c r="E1308" t="s">
        <v>35</v>
      </c>
      <c r="F1308" t="s">
        <v>98</v>
      </c>
      <c r="G1308">
        <v>35</v>
      </c>
      <c r="H1308" t="s">
        <v>31</v>
      </c>
      <c r="I1308" t="s">
        <v>37</v>
      </c>
      <c r="J1308" t="s">
        <v>25</v>
      </c>
      <c r="K1308" s="2">
        <v>93753</v>
      </c>
      <c r="L1308" s="2">
        <v>98526</v>
      </c>
      <c r="M1308" t="s">
        <v>38</v>
      </c>
      <c r="N1308">
        <v>40</v>
      </c>
      <c r="O1308" t="s">
        <v>25</v>
      </c>
      <c r="P1308">
        <v>7</v>
      </c>
      <c r="Q1308" s="1">
        <v>0.24</v>
      </c>
      <c r="R1308" s="2">
        <f t="shared" si="80"/>
        <v>4773</v>
      </c>
      <c r="S1308" s="1">
        <f t="shared" si="81"/>
        <v>5.0910370868132224</v>
      </c>
      <c r="T1308" t="str">
        <f t="shared" si="82"/>
        <v>Expert</v>
      </c>
      <c r="U1308" t="str">
        <f t="shared" si="83"/>
        <v>Medium Impact</v>
      </c>
    </row>
    <row r="1309" spans="1:21" x14ac:dyDescent="0.3">
      <c r="A1309" t="s">
        <v>1440</v>
      </c>
      <c r="B1309">
        <v>41</v>
      </c>
      <c r="C1309" t="s">
        <v>54</v>
      </c>
      <c r="D1309" t="s">
        <v>40</v>
      </c>
      <c r="E1309" t="s">
        <v>29</v>
      </c>
      <c r="F1309" t="s">
        <v>104</v>
      </c>
      <c r="G1309">
        <v>16</v>
      </c>
      <c r="H1309" t="s">
        <v>31</v>
      </c>
      <c r="I1309" t="s">
        <v>37</v>
      </c>
      <c r="J1309" t="s">
        <v>25</v>
      </c>
      <c r="K1309" s="2">
        <v>64262</v>
      </c>
      <c r="L1309" s="2">
        <v>66800</v>
      </c>
      <c r="M1309" t="s">
        <v>38</v>
      </c>
      <c r="N1309">
        <v>40</v>
      </c>
      <c r="O1309" t="s">
        <v>25</v>
      </c>
      <c r="P1309">
        <v>3</v>
      </c>
      <c r="Q1309" s="1">
        <v>0.23</v>
      </c>
      <c r="R1309" s="2">
        <f t="shared" si="80"/>
        <v>2538</v>
      </c>
      <c r="S1309" s="1">
        <f t="shared" si="81"/>
        <v>3.9494569107715289</v>
      </c>
      <c r="T1309" t="str">
        <f t="shared" si="82"/>
        <v>Expert</v>
      </c>
      <c r="U1309" t="str">
        <f t="shared" si="83"/>
        <v>Medium Impact</v>
      </c>
    </row>
    <row r="1310" spans="1:21" x14ac:dyDescent="0.3">
      <c r="A1310" t="s">
        <v>1809</v>
      </c>
      <c r="B1310">
        <v>58</v>
      </c>
      <c r="C1310" t="s">
        <v>27</v>
      </c>
      <c r="D1310" t="s">
        <v>34</v>
      </c>
      <c r="E1310" t="s">
        <v>41</v>
      </c>
      <c r="F1310" t="s">
        <v>55</v>
      </c>
      <c r="G1310">
        <v>35</v>
      </c>
      <c r="H1310" t="s">
        <v>22</v>
      </c>
      <c r="I1310" t="s">
        <v>22</v>
      </c>
      <c r="J1310" t="s">
        <v>25</v>
      </c>
      <c r="K1310" s="2">
        <v>46693</v>
      </c>
      <c r="L1310" s="2">
        <v>39784</v>
      </c>
      <c r="M1310" t="s">
        <v>38</v>
      </c>
      <c r="N1310">
        <v>53</v>
      </c>
      <c r="O1310" t="s">
        <v>25</v>
      </c>
      <c r="P1310">
        <v>9</v>
      </c>
      <c r="Q1310" s="1">
        <v>0.22</v>
      </c>
      <c r="R1310" s="2">
        <f t="shared" si="80"/>
        <v>-6909</v>
      </c>
      <c r="S1310" s="1">
        <f t="shared" si="81"/>
        <v>-14.796650461525282</v>
      </c>
      <c r="T1310" t="str">
        <f t="shared" si="82"/>
        <v>Expert</v>
      </c>
      <c r="U1310" t="str">
        <f t="shared" si="83"/>
        <v>Medium Impact</v>
      </c>
    </row>
    <row r="1311" spans="1:21" x14ac:dyDescent="0.3">
      <c r="A1311" t="s">
        <v>1772</v>
      </c>
      <c r="B1311">
        <v>59</v>
      </c>
      <c r="C1311" t="s">
        <v>27</v>
      </c>
      <c r="D1311" t="s">
        <v>28</v>
      </c>
      <c r="E1311" t="s">
        <v>29</v>
      </c>
      <c r="F1311" t="s">
        <v>104</v>
      </c>
      <c r="G1311">
        <v>33</v>
      </c>
      <c r="H1311" t="s">
        <v>37</v>
      </c>
      <c r="I1311" t="s">
        <v>22</v>
      </c>
      <c r="J1311" t="s">
        <v>23</v>
      </c>
      <c r="K1311" s="2">
        <v>53437</v>
      </c>
      <c r="L1311" s="2">
        <v>55841</v>
      </c>
      <c r="M1311" t="s">
        <v>32</v>
      </c>
      <c r="N1311">
        <v>40</v>
      </c>
      <c r="O1311" t="s">
        <v>23</v>
      </c>
      <c r="P1311">
        <v>7</v>
      </c>
      <c r="Q1311" s="1">
        <v>0.16</v>
      </c>
      <c r="R1311" s="2">
        <f t="shared" si="80"/>
        <v>2404</v>
      </c>
      <c r="S1311" s="1">
        <f t="shared" si="81"/>
        <v>4.4987555439115221</v>
      </c>
      <c r="T1311" t="str">
        <f t="shared" si="82"/>
        <v>Expert</v>
      </c>
      <c r="U1311" t="str">
        <f t="shared" si="83"/>
        <v>Low Impact</v>
      </c>
    </row>
    <row r="1312" spans="1:21" x14ac:dyDescent="0.3">
      <c r="A1312" t="s">
        <v>1483</v>
      </c>
      <c r="B1312">
        <v>31</v>
      </c>
      <c r="C1312" t="s">
        <v>27</v>
      </c>
      <c r="D1312" t="s">
        <v>34</v>
      </c>
      <c r="E1312" t="s">
        <v>20</v>
      </c>
      <c r="F1312" t="s">
        <v>21</v>
      </c>
      <c r="G1312">
        <v>6</v>
      </c>
      <c r="H1312" t="s">
        <v>31</v>
      </c>
      <c r="I1312" t="s">
        <v>31</v>
      </c>
      <c r="J1312" t="s">
        <v>23</v>
      </c>
      <c r="K1312" s="2">
        <v>118901</v>
      </c>
      <c r="L1312" s="2">
        <v>120000</v>
      </c>
      <c r="M1312" t="s">
        <v>32</v>
      </c>
      <c r="N1312">
        <v>51</v>
      </c>
      <c r="O1312" t="s">
        <v>25</v>
      </c>
      <c r="P1312">
        <v>8</v>
      </c>
      <c r="Q1312" s="1">
        <v>0.1</v>
      </c>
      <c r="R1312" s="2">
        <f t="shared" si="80"/>
        <v>1099</v>
      </c>
      <c r="S1312" s="1">
        <f t="shared" si="81"/>
        <v>0.92429836586740233</v>
      </c>
      <c r="T1312" t="str">
        <f t="shared" si="82"/>
        <v>Intermediate</v>
      </c>
      <c r="U1312" t="str">
        <f t="shared" si="83"/>
        <v>Low Impact</v>
      </c>
    </row>
    <row r="1313" spans="1:21" x14ac:dyDescent="0.3">
      <c r="A1313" t="s">
        <v>1983</v>
      </c>
      <c r="B1313">
        <v>36</v>
      </c>
      <c r="C1313" t="s">
        <v>54</v>
      </c>
      <c r="D1313" t="s">
        <v>40</v>
      </c>
      <c r="E1313" t="s">
        <v>59</v>
      </c>
      <c r="F1313" t="s">
        <v>60</v>
      </c>
      <c r="G1313">
        <v>13</v>
      </c>
      <c r="H1313" t="s">
        <v>22</v>
      </c>
      <c r="I1313" t="s">
        <v>22</v>
      </c>
      <c r="J1313" t="s">
        <v>25</v>
      </c>
      <c r="K1313" s="2">
        <v>50977</v>
      </c>
      <c r="L1313" s="2">
        <v>42284</v>
      </c>
      <c r="M1313" t="s">
        <v>38</v>
      </c>
      <c r="N1313">
        <v>40</v>
      </c>
      <c r="O1313" t="s">
        <v>23</v>
      </c>
      <c r="P1313">
        <v>4</v>
      </c>
      <c r="Q1313" s="1">
        <v>0.08</v>
      </c>
      <c r="R1313" s="2">
        <f t="shared" si="80"/>
        <v>-8693</v>
      </c>
      <c r="S1313" s="1">
        <f t="shared" si="81"/>
        <v>-17.052788512466407</v>
      </c>
      <c r="T1313" t="str">
        <f t="shared" si="82"/>
        <v>Intermediate</v>
      </c>
      <c r="U1313" t="str">
        <f t="shared" si="83"/>
        <v>Medium Impact</v>
      </c>
    </row>
    <row r="1314" spans="1:21" x14ac:dyDescent="0.3">
      <c r="A1314" t="s">
        <v>1116</v>
      </c>
      <c r="B1314">
        <v>27</v>
      </c>
      <c r="C1314" t="s">
        <v>54</v>
      </c>
      <c r="D1314" t="s">
        <v>19</v>
      </c>
      <c r="E1314" t="s">
        <v>35</v>
      </c>
      <c r="F1314" t="s">
        <v>36</v>
      </c>
      <c r="G1314">
        <v>3</v>
      </c>
      <c r="H1314" t="s">
        <v>22</v>
      </c>
      <c r="I1314" t="s">
        <v>22</v>
      </c>
      <c r="J1314" t="s">
        <v>23</v>
      </c>
      <c r="K1314" s="2">
        <v>119719</v>
      </c>
      <c r="L1314" s="2">
        <v>130719</v>
      </c>
      <c r="M1314" t="s">
        <v>38</v>
      </c>
      <c r="N1314">
        <v>38</v>
      </c>
      <c r="O1314" t="s">
        <v>23</v>
      </c>
      <c r="P1314">
        <v>4</v>
      </c>
      <c r="Q1314" s="1">
        <v>0.04</v>
      </c>
      <c r="R1314" s="2">
        <f t="shared" si="80"/>
        <v>11000</v>
      </c>
      <c r="S1314" s="1">
        <f t="shared" si="81"/>
        <v>9.1881823269489384</v>
      </c>
      <c r="T1314" t="str">
        <f t="shared" si="82"/>
        <v>Beginner</v>
      </c>
      <c r="U1314" t="str">
        <f t="shared" si="83"/>
        <v>Medium Impact</v>
      </c>
    </row>
    <row r="1315" spans="1:21" x14ac:dyDescent="0.3">
      <c r="A1315" t="s">
        <v>204</v>
      </c>
      <c r="B1315">
        <v>30</v>
      </c>
      <c r="C1315" t="s">
        <v>18</v>
      </c>
      <c r="D1315" t="s">
        <v>19</v>
      </c>
      <c r="E1315" t="s">
        <v>29</v>
      </c>
      <c r="F1315" t="s">
        <v>30</v>
      </c>
      <c r="G1315">
        <v>7</v>
      </c>
      <c r="H1315" t="s">
        <v>22</v>
      </c>
      <c r="I1315" t="s">
        <v>31</v>
      </c>
      <c r="J1315" t="s">
        <v>23</v>
      </c>
      <c r="K1315" s="2">
        <v>69224</v>
      </c>
      <c r="L1315" s="2">
        <v>55571</v>
      </c>
      <c r="M1315" t="s">
        <v>32</v>
      </c>
      <c r="N1315">
        <v>54</v>
      </c>
      <c r="O1315" t="s">
        <v>23</v>
      </c>
      <c r="P1315">
        <v>3</v>
      </c>
      <c r="Q1315" s="1">
        <v>0.01</v>
      </c>
      <c r="R1315" s="2">
        <f t="shared" si="80"/>
        <v>-13653</v>
      </c>
      <c r="S1315" s="1">
        <f t="shared" si="81"/>
        <v>-19.722928464116489</v>
      </c>
      <c r="T1315" t="str">
        <f t="shared" si="82"/>
        <v>Intermediate</v>
      </c>
      <c r="U1315" t="str">
        <f t="shared" si="83"/>
        <v>Low Impact</v>
      </c>
    </row>
    <row r="1316" spans="1:21" x14ac:dyDescent="0.3">
      <c r="A1316" t="s">
        <v>1515</v>
      </c>
      <c r="B1316">
        <v>51</v>
      </c>
      <c r="C1316" t="s">
        <v>27</v>
      </c>
      <c r="D1316" t="s">
        <v>19</v>
      </c>
      <c r="E1316" t="s">
        <v>59</v>
      </c>
      <c r="F1316" t="s">
        <v>60</v>
      </c>
      <c r="G1316">
        <v>26</v>
      </c>
      <c r="H1316" t="s">
        <v>37</v>
      </c>
      <c r="I1316" t="s">
        <v>37</v>
      </c>
      <c r="J1316" t="s">
        <v>25</v>
      </c>
      <c r="K1316" s="2">
        <v>115013</v>
      </c>
      <c r="L1316" s="2">
        <v>137171</v>
      </c>
      <c r="M1316" t="s">
        <v>38</v>
      </c>
      <c r="N1316">
        <v>46</v>
      </c>
      <c r="O1316" t="s">
        <v>25</v>
      </c>
      <c r="P1316">
        <v>5</v>
      </c>
      <c r="Q1316" s="1">
        <v>-0.01</v>
      </c>
      <c r="R1316" s="2">
        <f t="shared" si="80"/>
        <v>22158</v>
      </c>
      <c r="S1316" s="1">
        <f t="shared" si="81"/>
        <v>19.265648231069534</v>
      </c>
      <c r="T1316" t="str">
        <f t="shared" si="82"/>
        <v>Expert</v>
      </c>
      <c r="U1316" t="str">
        <f t="shared" si="83"/>
        <v>Medium Impact</v>
      </c>
    </row>
    <row r="1317" spans="1:21" x14ac:dyDescent="0.3">
      <c r="A1317" t="s">
        <v>1135</v>
      </c>
      <c r="B1317">
        <v>43</v>
      </c>
      <c r="C1317" t="s">
        <v>27</v>
      </c>
      <c r="D1317" t="s">
        <v>19</v>
      </c>
      <c r="E1317" t="s">
        <v>41</v>
      </c>
      <c r="F1317" t="s">
        <v>49</v>
      </c>
      <c r="G1317">
        <v>19</v>
      </c>
      <c r="H1317" t="s">
        <v>22</v>
      </c>
      <c r="I1317" t="s">
        <v>37</v>
      </c>
      <c r="J1317" t="s">
        <v>25</v>
      </c>
      <c r="K1317" s="2">
        <v>59283</v>
      </c>
      <c r="L1317" s="2">
        <v>67760</v>
      </c>
      <c r="M1317" t="s">
        <v>38</v>
      </c>
      <c r="N1317">
        <v>49</v>
      </c>
      <c r="O1317" t="s">
        <v>25</v>
      </c>
      <c r="P1317">
        <v>9</v>
      </c>
      <c r="Q1317" s="1">
        <v>-0.1</v>
      </c>
      <c r="R1317" s="2">
        <f t="shared" si="80"/>
        <v>8477</v>
      </c>
      <c r="S1317" s="1">
        <f t="shared" si="81"/>
        <v>14.299208879442673</v>
      </c>
      <c r="T1317" t="str">
        <f t="shared" si="82"/>
        <v>Expert</v>
      </c>
      <c r="U1317" t="str">
        <f t="shared" si="83"/>
        <v>Medium Impact</v>
      </c>
    </row>
    <row r="1318" spans="1:21" x14ac:dyDescent="0.3">
      <c r="A1318" t="s">
        <v>799</v>
      </c>
      <c r="B1318">
        <v>34</v>
      </c>
      <c r="C1318" t="s">
        <v>18</v>
      </c>
      <c r="D1318" t="s">
        <v>19</v>
      </c>
      <c r="E1318" t="s">
        <v>51</v>
      </c>
      <c r="F1318" t="s">
        <v>130</v>
      </c>
      <c r="G1318">
        <v>12</v>
      </c>
      <c r="H1318" t="s">
        <v>37</v>
      </c>
      <c r="I1318" t="s">
        <v>37</v>
      </c>
      <c r="J1318" t="s">
        <v>25</v>
      </c>
      <c r="K1318" s="2">
        <v>87724</v>
      </c>
      <c r="L1318" s="2">
        <v>97429</v>
      </c>
      <c r="M1318" t="s">
        <v>38</v>
      </c>
      <c r="N1318">
        <v>38</v>
      </c>
      <c r="O1318" t="s">
        <v>25</v>
      </c>
      <c r="P1318">
        <v>5</v>
      </c>
      <c r="Q1318" s="1">
        <v>-0.12</v>
      </c>
      <c r="R1318" s="2">
        <f t="shared" si="80"/>
        <v>9705</v>
      </c>
      <c r="S1318" s="1">
        <f t="shared" si="81"/>
        <v>11.063107017463864</v>
      </c>
      <c r="T1318" t="str">
        <f t="shared" si="82"/>
        <v>Intermediate</v>
      </c>
      <c r="U1318" t="str">
        <f t="shared" si="83"/>
        <v>Medium Impact</v>
      </c>
    </row>
    <row r="1319" spans="1:21" x14ac:dyDescent="0.3">
      <c r="A1319" t="s">
        <v>1250</v>
      </c>
      <c r="B1319">
        <v>31</v>
      </c>
      <c r="C1319" t="s">
        <v>54</v>
      </c>
      <c r="D1319" t="s">
        <v>34</v>
      </c>
      <c r="E1319" t="s">
        <v>51</v>
      </c>
      <c r="F1319" t="s">
        <v>75</v>
      </c>
      <c r="G1319">
        <v>8</v>
      </c>
      <c r="H1319" t="s">
        <v>31</v>
      </c>
      <c r="I1319" t="s">
        <v>37</v>
      </c>
      <c r="J1319" t="s">
        <v>25</v>
      </c>
      <c r="K1319" s="2">
        <v>117193</v>
      </c>
      <c r="L1319" s="2">
        <v>120376</v>
      </c>
      <c r="M1319" t="s">
        <v>38</v>
      </c>
      <c r="N1319">
        <v>44</v>
      </c>
      <c r="O1319" t="s">
        <v>25</v>
      </c>
      <c r="P1319">
        <v>9</v>
      </c>
      <c r="Q1319" s="1">
        <v>-0.14000000000000001</v>
      </c>
      <c r="R1319" s="2">
        <f t="shared" si="80"/>
        <v>3183</v>
      </c>
      <c r="S1319" s="1">
        <f t="shared" si="81"/>
        <v>2.7160325275400408</v>
      </c>
      <c r="T1319" t="str">
        <f t="shared" si="82"/>
        <v>Intermediate</v>
      </c>
      <c r="U1319" t="str">
        <f t="shared" si="83"/>
        <v>Medium Impact</v>
      </c>
    </row>
    <row r="1320" spans="1:21" x14ac:dyDescent="0.3">
      <c r="A1320" t="s">
        <v>1669</v>
      </c>
      <c r="B1320">
        <v>44</v>
      </c>
      <c r="C1320" t="s">
        <v>18</v>
      </c>
      <c r="D1320" t="s">
        <v>34</v>
      </c>
      <c r="E1320" t="s">
        <v>44</v>
      </c>
      <c r="F1320" t="s">
        <v>57</v>
      </c>
      <c r="G1320">
        <v>18</v>
      </c>
      <c r="H1320" t="s">
        <v>31</v>
      </c>
      <c r="I1320" t="s">
        <v>31</v>
      </c>
      <c r="J1320" t="s">
        <v>25</v>
      </c>
      <c r="K1320" s="2">
        <v>41278</v>
      </c>
      <c r="L1320" s="2">
        <v>41905</v>
      </c>
      <c r="M1320" t="s">
        <v>32</v>
      </c>
      <c r="N1320">
        <v>50</v>
      </c>
      <c r="O1320" t="s">
        <v>25</v>
      </c>
      <c r="P1320">
        <v>3</v>
      </c>
      <c r="Q1320" s="1">
        <v>-0.15</v>
      </c>
      <c r="R1320" s="2">
        <f t="shared" si="80"/>
        <v>627</v>
      </c>
      <c r="S1320" s="1">
        <f t="shared" si="81"/>
        <v>1.5189689422937158</v>
      </c>
      <c r="T1320" t="str">
        <f t="shared" si="82"/>
        <v>Expert</v>
      </c>
      <c r="U1320" t="str">
        <f t="shared" si="83"/>
        <v>Low Impact</v>
      </c>
    </row>
    <row r="1321" spans="1:21" x14ac:dyDescent="0.3">
      <c r="A1321" t="s">
        <v>2000</v>
      </c>
      <c r="B1321">
        <v>44</v>
      </c>
      <c r="C1321" t="s">
        <v>54</v>
      </c>
      <c r="D1321" t="s">
        <v>40</v>
      </c>
      <c r="E1321" t="s">
        <v>20</v>
      </c>
      <c r="F1321" t="s">
        <v>21</v>
      </c>
      <c r="G1321">
        <v>19</v>
      </c>
      <c r="H1321" t="s">
        <v>37</v>
      </c>
      <c r="I1321" t="s">
        <v>37</v>
      </c>
      <c r="J1321" t="s">
        <v>23</v>
      </c>
      <c r="K1321" s="2">
        <v>41202</v>
      </c>
      <c r="L1321" s="2">
        <v>46498</v>
      </c>
      <c r="M1321" t="s">
        <v>38</v>
      </c>
      <c r="N1321">
        <v>48</v>
      </c>
      <c r="O1321" t="s">
        <v>25</v>
      </c>
      <c r="P1321">
        <v>9</v>
      </c>
      <c r="Q1321" s="1">
        <v>-0.25</v>
      </c>
      <c r="R1321" s="2">
        <f t="shared" si="80"/>
        <v>5296</v>
      </c>
      <c r="S1321" s="1">
        <f t="shared" si="81"/>
        <v>12.853744963836707</v>
      </c>
      <c r="T1321" t="str">
        <f t="shared" si="82"/>
        <v>Expert</v>
      </c>
      <c r="U1321" t="str">
        <f t="shared" si="83"/>
        <v>Medium Impact</v>
      </c>
    </row>
    <row r="1322" spans="1:21" x14ac:dyDescent="0.3">
      <c r="A1322" t="s">
        <v>1593</v>
      </c>
      <c r="B1322">
        <v>59</v>
      </c>
      <c r="C1322" t="s">
        <v>18</v>
      </c>
      <c r="D1322" t="s">
        <v>28</v>
      </c>
      <c r="E1322" t="s">
        <v>41</v>
      </c>
      <c r="F1322" t="s">
        <v>49</v>
      </c>
      <c r="G1322">
        <v>36</v>
      </c>
      <c r="H1322" t="s">
        <v>22</v>
      </c>
      <c r="I1322" t="s">
        <v>31</v>
      </c>
      <c r="J1322" t="s">
        <v>25</v>
      </c>
      <c r="K1322" s="2">
        <v>63615</v>
      </c>
      <c r="L1322" s="2">
        <v>75713</v>
      </c>
      <c r="M1322" t="s">
        <v>32</v>
      </c>
      <c r="N1322">
        <v>40</v>
      </c>
      <c r="O1322" t="s">
        <v>23</v>
      </c>
      <c r="P1322">
        <v>3</v>
      </c>
      <c r="Q1322" s="1">
        <v>-0.26</v>
      </c>
      <c r="R1322" s="2">
        <f t="shared" si="80"/>
        <v>12098</v>
      </c>
      <c r="S1322" s="1">
        <f t="shared" si="81"/>
        <v>19.017527312740707</v>
      </c>
      <c r="T1322" t="str">
        <f t="shared" si="82"/>
        <v>Expert</v>
      </c>
      <c r="U1322" t="str">
        <f t="shared" si="83"/>
        <v>Low Impact</v>
      </c>
    </row>
    <row r="1323" spans="1:21" x14ac:dyDescent="0.3">
      <c r="A1323" t="s">
        <v>161</v>
      </c>
      <c r="B1323">
        <v>41</v>
      </c>
      <c r="C1323" t="s">
        <v>54</v>
      </c>
      <c r="D1323" t="s">
        <v>34</v>
      </c>
      <c r="E1323" t="s">
        <v>44</v>
      </c>
      <c r="F1323" t="s">
        <v>57</v>
      </c>
      <c r="G1323">
        <v>15</v>
      </c>
      <c r="H1323" t="s">
        <v>22</v>
      </c>
      <c r="I1323" t="s">
        <v>22</v>
      </c>
      <c r="J1323" t="s">
        <v>25</v>
      </c>
      <c r="K1323" s="2">
        <v>103477</v>
      </c>
      <c r="L1323" s="2">
        <v>113366</v>
      </c>
      <c r="M1323" t="s">
        <v>38</v>
      </c>
      <c r="N1323">
        <v>45</v>
      </c>
      <c r="O1323" t="s">
        <v>23</v>
      </c>
      <c r="P1323">
        <v>5</v>
      </c>
      <c r="Q1323" s="1">
        <v>-0.27</v>
      </c>
      <c r="R1323" s="2">
        <f t="shared" si="80"/>
        <v>9889</v>
      </c>
      <c r="S1323" s="1">
        <f t="shared" si="81"/>
        <v>9.5567130859997871</v>
      </c>
      <c r="T1323" t="str">
        <f t="shared" si="82"/>
        <v>Expert</v>
      </c>
      <c r="U1323" t="str">
        <f t="shared" si="83"/>
        <v>Medium Impact</v>
      </c>
    </row>
    <row r="1324" spans="1:21" x14ac:dyDescent="0.3">
      <c r="A1324" t="s">
        <v>1494</v>
      </c>
      <c r="B1324">
        <v>47</v>
      </c>
      <c r="C1324" t="s">
        <v>54</v>
      </c>
      <c r="D1324" t="s">
        <v>40</v>
      </c>
      <c r="E1324" t="s">
        <v>29</v>
      </c>
      <c r="F1324" t="s">
        <v>102</v>
      </c>
      <c r="G1324">
        <v>25</v>
      </c>
      <c r="H1324" t="s">
        <v>37</v>
      </c>
      <c r="I1324" t="s">
        <v>31</v>
      </c>
      <c r="J1324" t="s">
        <v>23</v>
      </c>
      <c r="K1324" s="2">
        <v>79063</v>
      </c>
      <c r="L1324" s="2">
        <v>74240</v>
      </c>
      <c r="M1324" t="s">
        <v>32</v>
      </c>
      <c r="N1324">
        <v>46</v>
      </c>
      <c r="O1324" t="s">
        <v>25</v>
      </c>
      <c r="P1324">
        <v>9</v>
      </c>
      <c r="Q1324" s="1">
        <v>-0.34</v>
      </c>
      <c r="R1324" s="2">
        <f t="shared" si="80"/>
        <v>-4823</v>
      </c>
      <c r="S1324" s="1">
        <f t="shared" si="81"/>
        <v>-6.1001985758192836</v>
      </c>
      <c r="T1324" t="str">
        <f t="shared" si="82"/>
        <v>Expert</v>
      </c>
      <c r="U1324" t="str">
        <f t="shared" si="83"/>
        <v>Low Impact</v>
      </c>
    </row>
    <row r="1325" spans="1:21" x14ac:dyDescent="0.3">
      <c r="A1325" t="s">
        <v>171</v>
      </c>
      <c r="B1325">
        <v>31</v>
      </c>
      <c r="C1325" t="s">
        <v>27</v>
      </c>
      <c r="D1325" t="s">
        <v>40</v>
      </c>
      <c r="E1325" t="s">
        <v>29</v>
      </c>
      <c r="F1325" t="s">
        <v>102</v>
      </c>
      <c r="G1325">
        <v>9</v>
      </c>
      <c r="H1325" t="s">
        <v>31</v>
      </c>
      <c r="I1325" t="s">
        <v>31</v>
      </c>
      <c r="J1325" t="s">
        <v>25</v>
      </c>
      <c r="K1325" s="2">
        <v>80448</v>
      </c>
      <c r="L1325" s="2">
        <v>78977</v>
      </c>
      <c r="M1325" t="s">
        <v>32</v>
      </c>
      <c r="N1325">
        <v>46</v>
      </c>
      <c r="O1325" t="s">
        <v>25</v>
      </c>
      <c r="P1325">
        <v>3</v>
      </c>
      <c r="Q1325" s="1">
        <v>-0.35</v>
      </c>
      <c r="R1325" s="2">
        <f t="shared" si="80"/>
        <v>-1471</v>
      </c>
      <c r="S1325" s="1">
        <f t="shared" si="81"/>
        <v>-1.8285103420843278</v>
      </c>
      <c r="T1325" t="str">
        <f t="shared" si="82"/>
        <v>Intermediate</v>
      </c>
      <c r="U1325" t="str">
        <f t="shared" si="83"/>
        <v>Low Impact</v>
      </c>
    </row>
    <row r="1326" spans="1:21" x14ac:dyDescent="0.3">
      <c r="A1326" t="s">
        <v>1877</v>
      </c>
      <c r="B1326">
        <v>44</v>
      </c>
      <c r="C1326" t="s">
        <v>18</v>
      </c>
      <c r="D1326" t="s">
        <v>34</v>
      </c>
      <c r="E1326" t="s">
        <v>51</v>
      </c>
      <c r="F1326" t="s">
        <v>75</v>
      </c>
      <c r="G1326">
        <v>20</v>
      </c>
      <c r="H1326" t="s">
        <v>31</v>
      </c>
      <c r="I1326" t="s">
        <v>37</v>
      </c>
      <c r="J1326" t="s">
        <v>25</v>
      </c>
      <c r="K1326" s="2">
        <v>66972</v>
      </c>
      <c r="L1326" s="2">
        <v>72469</v>
      </c>
      <c r="M1326" t="s">
        <v>38</v>
      </c>
      <c r="N1326">
        <v>44</v>
      </c>
      <c r="O1326" t="s">
        <v>25</v>
      </c>
      <c r="P1326">
        <v>4</v>
      </c>
      <c r="Q1326" s="1">
        <v>-0.36</v>
      </c>
      <c r="R1326" s="2">
        <f t="shared" si="80"/>
        <v>5497</v>
      </c>
      <c r="S1326" s="1">
        <f t="shared" si="81"/>
        <v>8.2079077823568056</v>
      </c>
      <c r="T1326" t="str">
        <f t="shared" si="82"/>
        <v>Expert</v>
      </c>
      <c r="U1326" t="str">
        <f t="shared" si="83"/>
        <v>Medium Impact</v>
      </c>
    </row>
    <row r="1327" spans="1:21" x14ac:dyDescent="0.3">
      <c r="A1327" t="s">
        <v>601</v>
      </c>
      <c r="B1327">
        <v>53</v>
      </c>
      <c r="C1327" t="s">
        <v>18</v>
      </c>
      <c r="D1327" t="s">
        <v>19</v>
      </c>
      <c r="E1327" t="s">
        <v>20</v>
      </c>
      <c r="F1327" t="s">
        <v>21</v>
      </c>
      <c r="G1327">
        <v>31</v>
      </c>
      <c r="H1327" t="s">
        <v>37</v>
      </c>
      <c r="I1327" t="s">
        <v>31</v>
      </c>
      <c r="J1327" t="s">
        <v>25</v>
      </c>
      <c r="K1327" s="2">
        <v>112289</v>
      </c>
      <c r="L1327" s="2">
        <v>126083</v>
      </c>
      <c r="M1327" t="s">
        <v>32</v>
      </c>
      <c r="N1327">
        <v>54</v>
      </c>
      <c r="O1327" t="s">
        <v>23</v>
      </c>
      <c r="P1327">
        <v>5</v>
      </c>
      <c r="Q1327" s="1">
        <v>-0.38</v>
      </c>
      <c r="R1327" s="2">
        <f t="shared" si="80"/>
        <v>13794</v>
      </c>
      <c r="S1327" s="1">
        <f t="shared" si="81"/>
        <v>12.284373358031509</v>
      </c>
      <c r="T1327" t="str">
        <f t="shared" si="82"/>
        <v>Expert</v>
      </c>
      <c r="U1327" t="str">
        <f t="shared" si="83"/>
        <v>Low Impact</v>
      </c>
    </row>
    <row r="1328" spans="1:21" x14ac:dyDescent="0.3">
      <c r="A1328" t="s">
        <v>489</v>
      </c>
      <c r="B1328">
        <v>38</v>
      </c>
      <c r="C1328" t="s">
        <v>54</v>
      </c>
      <c r="D1328" t="s">
        <v>40</v>
      </c>
      <c r="E1328" t="s">
        <v>29</v>
      </c>
      <c r="F1328" t="s">
        <v>30</v>
      </c>
      <c r="G1328">
        <v>14</v>
      </c>
      <c r="H1328" t="s">
        <v>22</v>
      </c>
      <c r="I1328" t="s">
        <v>37</v>
      </c>
      <c r="J1328" t="s">
        <v>23</v>
      </c>
      <c r="K1328" s="2">
        <v>50219</v>
      </c>
      <c r="L1328" s="2">
        <v>49229</v>
      </c>
      <c r="M1328" t="s">
        <v>38</v>
      </c>
      <c r="N1328">
        <v>53</v>
      </c>
      <c r="O1328" t="s">
        <v>25</v>
      </c>
      <c r="P1328">
        <v>7</v>
      </c>
      <c r="Q1328" s="1">
        <v>-0.45</v>
      </c>
      <c r="R1328" s="2">
        <f t="shared" si="80"/>
        <v>-990</v>
      </c>
      <c r="S1328" s="1">
        <f t="shared" si="81"/>
        <v>-1.971365419462753</v>
      </c>
      <c r="T1328" t="str">
        <f t="shared" si="82"/>
        <v>Intermediate</v>
      </c>
      <c r="U1328" t="str">
        <f t="shared" si="83"/>
        <v>Medium Impact</v>
      </c>
    </row>
    <row r="1329" spans="1:21" x14ac:dyDescent="0.3">
      <c r="A1329" t="s">
        <v>1566</v>
      </c>
      <c r="B1329">
        <v>25</v>
      </c>
      <c r="C1329" t="s">
        <v>27</v>
      </c>
      <c r="D1329" t="s">
        <v>34</v>
      </c>
      <c r="E1329" t="s">
        <v>20</v>
      </c>
      <c r="F1329" t="s">
        <v>118</v>
      </c>
      <c r="G1329">
        <v>2</v>
      </c>
      <c r="H1329" t="s">
        <v>22</v>
      </c>
      <c r="I1329" t="s">
        <v>37</v>
      </c>
      <c r="J1329" t="s">
        <v>25</v>
      </c>
      <c r="K1329" s="2">
        <v>117618</v>
      </c>
      <c r="L1329" s="2">
        <v>98333</v>
      </c>
      <c r="M1329" t="s">
        <v>38</v>
      </c>
      <c r="N1329">
        <v>44</v>
      </c>
      <c r="O1329" t="s">
        <v>23</v>
      </c>
      <c r="P1329">
        <v>5</v>
      </c>
      <c r="Q1329" s="1">
        <v>-0.47</v>
      </c>
      <c r="R1329" s="2">
        <f t="shared" si="80"/>
        <v>-19285</v>
      </c>
      <c r="S1329" s="1">
        <f t="shared" si="81"/>
        <v>-16.396299886071862</v>
      </c>
      <c r="T1329" t="str">
        <f t="shared" si="82"/>
        <v>Beginner</v>
      </c>
      <c r="U1329" t="str">
        <f t="shared" si="83"/>
        <v>Medium Impact</v>
      </c>
    </row>
    <row r="1330" spans="1:21" x14ac:dyDescent="0.3">
      <c r="A1330" t="s">
        <v>89</v>
      </c>
      <c r="B1330">
        <v>57</v>
      </c>
      <c r="C1330" t="s">
        <v>54</v>
      </c>
      <c r="D1330" t="s">
        <v>40</v>
      </c>
      <c r="E1330" t="s">
        <v>51</v>
      </c>
      <c r="F1330" t="s">
        <v>52</v>
      </c>
      <c r="G1330">
        <v>35</v>
      </c>
      <c r="H1330" t="s">
        <v>31</v>
      </c>
      <c r="I1330" t="s">
        <v>31</v>
      </c>
      <c r="J1330" t="s">
        <v>23</v>
      </c>
      <c r="K1330" s="2">
        <v>68467</v>
      </c>
      <c r="L1330" s="2">
        <v>67480</v>
      </c>
      <c r="M1330" t="s">
        <v>32</v>
      </c>
      <c r="N1330">
        <v>54</v>
      </c>
      <c r="O1330" t="s">
        <v>25</v>
      </c>
      <c r="P1330">
        <v>9</v>
      </c>
      <c r="Q1330" s="1">
        <v>-0.48</v>
      </c>
      <c r="R1330" s="2">
        <f t="shared" si="80"/>
        <v>-987</v>
      </c>
      <c r="S1330" s="1">
        <f t="shared" si="81"/>
        <v>-1.4415703915755034</v>
      </c>
      <c r="T1330" t="str">
        <f t="shared" si="82"/>
        <v>Expert</v>
      </c>
      <c r="U1330" t="str">
        <f t="shared" si="83"/>
        <v>Low Impact</v>
      </c>
    </row>
    <row r="1331" spans="1:21" x14ac:dyDescent="0.3">
      <c r="A1331" t="s">
        <v>740</v>
      </c>
      <c r="B1331">
        <v>53</v>
      </c>
      <c r="C1331" t="s">
        <v>54</v>
      </c>
      <c r="D1331" t="s">
        <v>28</v>
      </c>
      <c r="E1331" t="s">
        <v>20</v>
      </c>
      <c r="F1331" t="s">
        <v>118</v>
      </c>
      <c r="G1331">
        <v>31</v>
      </c>
      <c r="H1331" t="s">
        <v>22</v>
      </c>
      <c r="I1331" t="s">
        <v>22</v>
      </c>
      <c r="J1331" t="s">
        <v>25</v>
      </c>
      <c r="K1331" s="2">
        <v>39417</v>
      </c>
      <c r="L1331" s="2">
        <v>45086</v>
      </c>
      <c r="M1331" t="s">
        <v>24</v>
      </c>
      <c r="N1331">
        <v>37</v>
      </c>
      <c r="O1331" t="s">
        <v>25</v>
      </c>
      <c r="P1331">
        <v>4</v>
      </c>
      <c r="Q1331" s="1">
        <v>-0.49</v>
      </c>
      <c r="R1331" s="2">
        <f t="shared" si="80"/>
        <v>5669</v>
      </c>
      <c r="S1331" s="1">
        <f t="shared" si="81"/>
        <v>14.382119390110864</v>
      </c>
      <c r="T1331" t="str">
        <f t="shared" si="82"/>
        <v>Expert</v>
      </c>
      <c r="U1331" t="str">
        <f t="shared" si="83"/>
        <v>High Impact</v>
      </c>
    </row>
    <row r="1332" spans="1:21" x14ac:dyDescent="0.3">
      <c r="A1332" t="s">
        <v>832</v>
      </c>
      <c r="B1332">
        <v>33</v>
      </c>
      <c r="C1332" t="s">
        <v>18</v>
      </c>
      <c r="D1332" t="s">
        <v>19</v>
      </c>
      <c r="E1332" t="s">
        <v>44</v>
      </c>
      <c r="F1332" t="s">
        <v>45</v>
      </c>
      <c r="G1332">
        <v>7</v>
      </c>
      <c r="H1332" t="s">
        <v>22</v>
      </c>
      <c r="I1332" t="s">
        <v>37</v>
      </c>
      <c r="J1332" t="s">
        <v>23</v>
      </c>
      <c r="K1332" s="2">
        <v>99322</v>
      </c>
      <c r="L1332" s="2">
        <v>129739</v>
      </c>
      <c r="M1332" t="s">
        <v>38</v>
      </c>
      <c r="N1332">
        <v>48</v>
      </c>
      <c r="O1332" t="s">
        <v>25</v>
      </c>
      <c r="P1332">
        <v>8</v>
      </c>
      <c r="Q1332" s="1">
        <v>-0.5</v>
      </c>
      <c r="R1332" s="2">
        <f t="shared" si="80"/>
        <v>30417</v>
      </c>
      <c r="S1332" s="1">
        <f t="shared" si="81"/>
        <v>30.624635025472706</v>
      </c>
      <c r="T1332" t="str">
        <f t="shared" si="82"/>
        <v>Intermediate</v>
      </c>
      <c r="U1332" t="str">
        <f t="shared" si="83"/>
        <v>Medium Impact</v>
      </c>
    </row>
    <row r="1333" spans="1:21" x14ac:dyDescent="0.3">
      <c r="A1333" t="s">
        <v>1605</v>
      </c>
      <c r="B1333">
        <v>29</v>
      </c>
      <c r="C1333" t="s">
        <v>18</v>
      </c>
      <c r="D1333" t="s">
        <v>34</v>
      </c>
      <c r="E1333" t="s">
        <v>59</v>
      </c>
      <c r="F1333" t="s">
        <v>60</v>
      </c>
      <c r="G1333">
        <v>7</v>
      </c>
      <c r="H1333" t="s">
        <v>37</v>
      </c>
      <c r="I1333" t="s">
        <v>22</v>
      </c>
      <c r="J1333" t="s">
        <v>25</v>
      </c>
      <c r="K1333" s="2">
        <v>117638</v>
      </c>
      <c r="L1333" s="2">
        <v>124480</v>
      </c>
      <c r="M1333" t="s">
        <v>32</v>
      </c>
      <c r="N1333">
        <v>36</v>
      </c>
      <c r="O1333" t="s">
        <v>23</v>
      </c>
      <c r="P1333">
        <v>7</v>
      </c>
      <c r="Q1333" s="1">
        <v>-0.5</v>
      </c>
      <c r="R1333" s="2">
        <f t="shared" si="80"/>
        <v>6842</v>
      </c>
      <c r="S1333" s="1">
        <f t="shared" si="81"/>
        <v>5.8161478433839404</v>
      </c>
      <c r="T1333" t="str">
        <f t="shared" si="82"/>
        <v>Intermediate</v>
      </c>
      <c r="U1333" t="str">
        <f t="shared" si="83"/>
        <v>Low Impact</v>
      </c>
    </row>
    <row r="1334" spans="1:21" x14ac:dyDescent="0.3">
      <c r="A1334" t="s">
        <v>1412</v>
      </c>
      <c r="B1334">
        <v>44</v>
      </c>
      <c r="C1334" t="s">
        <v>27</v>
      </c>
      <c r="D1334" t="s">
        <v>19</v>
      </c>
      <c r="E1334" t="s">
        <v>29</v>
      </c>
      <c r="F1334" t="s">
        <v>104</v>
      </c>
      <c r="G1334">
        <v>18</v>
      </c>
      <c r="H1334" t="s">
        <v>31</v>
      </c>
      <c r="I1334" t="s">
        <v>31</v>
      </c>
      <c r="J1334" t="s">
        <v>23</v>
      </c>
      <c r="K1334" s="2">
        <v>59717</v>
      </c>
      <c r="L1334" s="2">
        <v>58961</v>
      </c>
      <c r="M1334" t="s">
        <v>32</v>
      </c>
      <c r="N1334">
        <v>37</v>
      </c>
      <c r="O1334" t="s">
        <v>25</v>
      </c>
      <c r="P1334">
        <v>9</v>
      </c>
      <c r="Q1334" s="1">
        <v>-0.53</v>
      </c>
      <c r="R1334" s="2">
        <f t="shared" si="80"/>
        <v>-756</v>
      </c>
      <c r="S1334" s="1">
        <f t="shared" si="81"/>
        <v>-1.2659711639901534</v>
      </c>
      <c r="T1334" t="str">
        <f t="shared" si="82"/>
        <v>Expert</v>
      </c>
      <c r="U1334" t="str">
        <f t="shared" si="83"/>
        <v>Low Impact</v>
      </c>
    </row>
    <row r="1335" spans="1:21" x14ac:dyDescent="0.3">
      <c r="A1335" t="s">
        <v>2057</v>
      </c>
      <c r="B1335">
        <v>43</v>
      </c>
      <c r="C1335" t="s">
        <v>18</v>
      </c>
      <c r="D1335" t="s">
        <v>19</v>
      </c>
      <c r="E1335" t="s">
        <v>59</v>
      </c>
      <c r="F1335" t="s">
        <v>93</v>
      </c>
      <c r="G1335">
        <v>17</v>
      </c>
      <c r="H1335" t="s">
        <v>22</v>
      </c>
      <c r="I1335" t="s">
        <v>22</v>
      </c>
      <c r="J1335" t="s">
        <v>25</v>
      </c>
      <c r="K1335" s="2">
        <v>53424</v>
      </c>
      <c r="L1335" s="2">
        <v>74715</v>
      </c>
      <c r="M1335" t="s">
        <v>38</v>
      </c>
      <c r="N1335">
        <v>49</v>
      </c>
      <c r="O1335" t="s">
        <v>23</v>
      </c>
      <c r="P1335">
        <v>6</v>
      </c>
      <c r="Q1335" s="1">
        <v>-0.56999999999999995</v>
      </c>
      <c r="R1335" s="2">
        <f t="shared" si="80"/>
        <v>21291</v>
      </c>
      <c r="S1335" s="1">
        <f t="shared" si="81"/>
        <v>39.852875112309071</v>
      </c>
      <c r="T1335" t="str">
        <f t="shared" si="82"/>
        <v>Expert</v>
      </c>
      <c r="U1335" t="str">
        <f t="shared" si="83"/>
        <v>Medium Impact</v>
      </c>
    </row>
    <row r="1336" spans="1:21" x14ac:dyDescent="0.3">
      <c r="A1336" t="s">
        <v>1961</v>
      </c>
      <c r="B1336">
        <v>57</v>
      </c>
      <c r="C1336" t="s">
        <v>27</v>
      </c>
      <c r="D1336" t="s">
        <v>19</v>
      </c>
      <c r="E1336" t="s">
        <v>29</v>
      </c>
      <c r="F1336" t="s">
        <v>102</v>
      </c>
      <c r="G1336">
        <v>31</v>
      </c>
      <c r="H1336" t="s">
        <v>37</v>
      </c>
      <c r="I1336" t="s">
        <v>31</v>
      </c>
      <c r="J1336" t="s">
        <v>25</v>
      </c>
      <c r="K1336" s="2">
        <v>33881</v>
      </c>
      <c r="L1336" s="2">
        <v>32960</v>
      </c>
      <c r="M1336" t="s">
        <v>32</v>
      </c>
      <c r="N1336">
        <v>52</v>
      </c>
      <c r="O1336" t="s">
        <v>25</v>
      </c>
      <c r="P1336">
        <v>5</v>
      </c>
      <c r="Q1336" s="1">
        <v>-0.56999999999999995</v>
      </c>
      <c r="R1336" s="2">
        <f t="shared" si="80"/>
        <v>-921</v>
      </c>
      <c r="S1336" s="1">
        <f t="shared" si="81"/>
        <v>-2.7183377114016705</v>
      </c>
      <c r="T1336" t="str">
        <f t="shared" si="82"/>
        <v>Expert</v>
      </c>
      <c r="U1336" t="str">
        <f t="shared" si="83"/>
        <v>Low Impact</v>
      </c>
    </row>
    <row r="1337" spans="1:21" x14ac:dyDescent="0.3">
      <c r="A1337" t="s">
        <v>342</v>
      </c>
      <c r="B1337">
        <v>57</v>
      </c>
      <c r="C1337" t="s">
        <v>27</v>
      </c>
      <c r="D1337" t="s">
        <v>34</v>
      </c>
      <c r="E1337" t="s">
        <v>41</v>
      </c>
      <c r="F1337" t="s">
        <v>55</v>
      </c>
      <c r="G1337">
        <v>31</v>
      </c>
      <c r="H1337" t="s">
        <v>31</v>
      </c>
      <c r="I1337" t="s">
        <v>31</v>
      </c>
      <c r="J1337" t="s">
        <v>25</v>
      </c>
      <c r="K1337" s="2">
        <v>103379</v>
      </c>
      <c r="L1337" s="2">
        <v>101185</v>
      </c>
      <c r="M1337" t="s">
        <v>32</v>
      </c>
      <c r="N1337">
        <v>40</v>
      </c>
      <c r="O1337" t="s">
        <v>25</v>
      </c>
      <c r="P1337">
        <v>3</v>
      </c>
      <c r="Q1337" s="1">
        <v>-0.6</v>
      </c>
      <c r="R1337" s="2">
        <f t="shared" si="80"/>
        <v>-2194</v>
      </c>
      <c r="S1337" s="1">
        <f t="shared" si="81"/>
        <v>-2.1222878921250929</v>
      </c>
      <c r="T1337" t="str">
        <f t="shared" si="82"/>
        <v>Expert</v>
      </c>
      <c r="U1337" t="str">
        <f t="shared" si="83"/>
        <v>Low Impact</v>
      </c>
    </row>
    <row r="1338" spans="1:21" x14ac:dyDescent="0.3">
      <c r="A1338" t="s">
        <v>1647</v>
      </c>
      <c r="B1338">
        <v>49</v>
      </c>
      <c r="C1338" t="s">
        <v>54</v>
      </c>
      <c r="D1338" t="s">
        <v>28</v>
      </c>
      <c r="E1338" t="s">
        <v>44</v>
      </c>
      <c r="F1338" t="s">
        <v>47</v>
      </c>
      <c r="G1338">
        <v>27</v>
      </c>
      <c r="H1338" t="s">
        <v>22</v>
      </c>
      <c r="I1338" t="s">
        <v>31</v>
      </c>
      <c r="J1338" t="s">
        <v>25</v>
      </c>
      <c r="K1338" s="2">
        <v>93146</v>
      </c>
      <c r="L1338" s="2">
        <v>111457</v>
      </c>
      <c r="M1338" t="s">
        <v>32</v>
      </c>
      <c r="N1338">
        <v>52</v>
      </c>
      <c r="O1338" t="s">
        <v>23</v>
      </c>
      <c r="P1338">
        <v>6</v>
      </c>
      <c r="Q1338" s="1">
        <v>-0.63</v>
      </c>
      <c r="R1338" s="2">
        <f t="shared" si="80"/>
        <v>18311</v>
      </c>
      <c r="S1338" s="1">
        <f t="shared" si="81"/>
        <v>19.658385759989695</v>
      </c>
      <c r="T1338" t="str">
        <f t="shared" si="82"/>
        <v>Expert</v>
      </c>
      <c r="U1338" t="str">
        <f t="shared" si="83"/>
        <v>Low Impact</v>
      </c>
    </row>
    <row r="1339" spans="1:21" x14ac:dyDescent="0.3">
      <c r="A1339" t="s">
        <v>1045</v>
      </c>
      <c r="B1339">
        <v>46</v>
      </c>
      <c r="C1339" t="s">
        <v>27</v>
      </c>
      <c r="D1339" t="s">
        <v>34</v>
      </c>
      <c r="E1339" t="s">
        <v>41</v>
      </c>
      <c r="F1339" t="s">
        <v>42</v>
      </c>
      <c r="G1339">
        <v>20</v>
      </c>
      <c r="H1339" t="s">
        <v>22</v>
      </c>
      <c r="I1339" t="s">
        <v>37</v>
      </c>
      <c r="J1339" t="s">
        <v>25</v>
      </c>
      <c r="K1339" s="2">
        <v>95602</v>
      </c>
      <c r="L1339" s="2">
        <v>111027</v>
      </c>
      <c r="M1339" t="s">
        <v>38</v>
      </c>
      <c r="N1339">
        <v>36</v>
      </c>
      <c r="O1339" t="s">
        <v>25</v>
      </c>
      <c r="P1339">
        <v>4</v>
      </c>
      <c r="Q1339" s="1">
        <v>-0.66</v>
      </c>
      <c r="R1339" s="2">
        <f t="shared" si="80"/>
        <v>15425</v>
      </c>
      <c r="S1339" s="1">
        <f t="shared" si="81"/>
        <v>16.134599694567058</v>
      </c>
      <c r="T1339" t="str">
        <f t="shared" si="82"/>
        <v>Expert</v>
      </c>
      <c r="U1339" t="str">
        <f t="shared" si="83"/>
        <v>Medium Impact</v>
      </c>
    </row>
    <row r="1340" spans="1:21" x14ac:dyDescent="0.3">
      <c r="A1340" t="s">
        <v>1883</v>
      </c>
      <c r="B1340">
        <v>29</v>
      </c>
      <c r="C1340" t="s">
        <v>54</v>
      </c>
      <c r="D1340" t="s">
        <v>19</v>
      </c>
      <c r="E1340" t="s">
        <v>35</v>
      </c>
      <c r="F1340" t="s">
        <v>132</v>
      </c>
      <c r="G1340">
        <v>6</v>
      </c>
      <c r="H1340" t="s">
        <v>31</v>
      </c>
      <c r="I1340" t="s">
        <v>22</v>
      </c>
      <c r="J1340" t="s">
        <v>25</v>
      </c>
      <c r="K1340" s="2">
        <v>69115</v>
      </c>
      <c r="L1340" s="2">
        <v>72165</v>
      </c>
      <c r="M1340" t="s">
        <v>32</v>
      </c>
      <c r="N1340">
        <v>44</v>
      </c>
      <c r="O1340" t="s">
        <v>25</v>
      </c>
      <c r="P1340">
        <v>5</v>
      </c>
      <c r="Q1340" s="1">
        <v>-0.69</v>
      </c>
      <c r="R1340" s="2">
        <f t="shared" si="80"/>
        <v>3050</v>
      </c>
      <c r="S1340" s="1">
        <f t="shared" si="81"/>
        <v>4.4129349634666859</v>
      </c>
      <c r="T1340" t="str">
        <f t="shared" si="82"/>
        <v>Intermediate</v>
      </c>
      <c r="U1340" t="str">
        <f t="shared" si="83"/>
        <v>Low Impact</v>
      </c>
    </row>
    <row r="1341" spans="1:21" x14ac:dyDescent="0.3">
      <c r="A1341" t="s">
        <v>1123</v>
      </c>
      <c r="B1341">
        <v>45</v>
      </c>
      <c r="C1341" t="s">
        <v>54</v>
      </c>
      <c r="D1341" t="s">
        <v>28</v>
      </c>
      <c r="E1341" t="s">
        <v>35</v>
      </c>
      <c r="F1341" t="s">
        <v>132</v>
      </c>
      <c r="G1341">
        <v>19</v>
      </c>
      <c r="H1341" t="s">
        <v>37</v>
      </c>
      <c r="I1341" t="s">
        <v>37</v>
      </c>
      <c r="J1341" t="s">
        <v>23</v>
      </c>
      <c r="K1341" s="2">
        <v>110373</v>
      </c>
      <c r="L1341" s="2">
        <v>123664</v>
      </c>
      <c r="M1341" t="s">
        <v>38</v>
      </c>
      <c r="N1341">
        <v>54</v>
      </c>
      <c r="O1341" t="s">
        <v>23</v>
      </c>
      <c r="P1341">
        <v>4</v>
      </c>
      <c r="Q1341" s="1">
        <v>-0.71</v>
      </c>
      <c r="R1341" s="2">
        <f t="shared" si="80"/>
        <v>13291</v>
      </c>
      <c r="S1341" s="1">
        <f t="shared" si="81"/>
        <v>12.041894303860545</v>
      </c>
      <c r="T1341" t="str">
        <f t="shared" si="82"/>
        <v>Expert</v>
      </c>
      <c r="U1341" t="str">
        <f t="shared" si="83"/>
        <v>Medium Impact</v>
      </c>
    </row>
    <row r="1342" spans="1:21" x14ac:dyDescent="0.3">
      <c r="A1342" t="s">
        <v>1110</v>
      </c>
      <c r="B1342">
        <v>57</v>
      </c>
      <c r="C1342" t="s">
        <v>27</v>
      </c>
      <c r="D1342" t="s">
        <v>34</v>
      </c>
      <c r="E1342" t="s">
        <v>35</v>
      </c>
      <c r="F1342" t="s">
        <v>36</v>
      </c>
      <c r="G1342">
        <v>35</v>
      </c>
      <c r="H1342" t="s">
        <v>37</v>
      </c>
      <c r="I1342" t="s">
        <v>22</v>
      </c>
      <c r="J1342" t="s">
        <v>23</v>
      </c>
      <c r="K1342" s="2">
        <v>77934</v>
      </c>
      <c r="L1342" s="2">
        <v>76550</v>
      </c>
      <c r="M1342" t="s">
        <v>32</v>
      </c>
      <c r="N1342">
        <v>44</v>
      </c>
      <c r="O1342" t="s">
        <v>23</v>
      </c>
      <c r="P1342">
        <v>4</v>
      </c>
      <c r="Q1342" s="1">
        <v>-0.8</v>
      </c>
      <c r="R1342" s="2">
        <f t="shared" si="80"/>
        <v>-1384</v>
      </c>
      <c r="S1342" s="1">
        <f t="shared" si="81"/>
        <v>-1.7758616265044782</v>
      </c>
      <c r="T1342" t="str">
        <f t="shared" si="82"/>
        <v>Expert</v>
      </c>
      <c r="U1342" t="str">
        <f t="shared" si="83"/>
        <v>Low Impact</v>
      </c>
    </row>
    <row r="1343" spans="1:21" x14ac:dyDescent="0.3">
      <c r="A1343" t="s">
        <v>431</v>
      </c>
      <c r="B1343">
        <v>40</v>
      </c>
      <c r="C1343" t="s">
        <v>54</v>
      </c>
      <c r="D1343" t="s">
        <v>19</v>
      </c>
      <c r="E1343" t="s">
        <v>59</v>
      </c>
      <c r="F1343" t="s">
        <v>77</v>
      </c>
      <c r="G1343">
        <v>18</v>
      </c>
      <c r="H1343" t="s">
        <v>37</v>
      </c>
      <c r="I1343" t="s">
        <v>37</v>
      </c>
      <c r="J1343" t="s">
        <v>25</v>
      </c>
      <c r="K1343" s="2">
        <v>92987</v>
      </c>
      <c r="L1343" s="2">
        <v>104323</v>
      </c>
      <c r="M1343" t="s">
        <v>38</v>
      </c>
      <c r="N1343">
        <v>35</v>
      </c>
      <c r="O1343" t="s">
        <v>25</v>
      </c>
      <c r="P1343">
        <v>9</v>
      </c>
      <c r="Q1343" s="1">
        <v>-0.82</v>
      </c>
      <c r="R1343" s="2">
        <f t="shared" si="80"/>
        <v>11336</v>
      </c>
      <c r="S1343" s="1">
        <f t="shared" si="81"/>
        <v>12.190951423317237</v>
      </c>
      <c r="T1343" t="str">
        <f t="shared" si="82"/>
        <v>Expert</v>
      </c>
      <c r="U1343" t="str">
        <f t="shared" si="83"/>
        <v>Medium Impact</v>
      </c>
    </row>
    <row r="1344" spans="1:21" x14ac:dyDescent="0.3">
      <c r="A1344" t="s">
        <v>122</v>
      </c>
      <c r="B1344">
        <v>23</v>
      </c>
      <c r="C1344" t="s">
        <v>27</v>
      </c>
      <c r="D1344" t="s">
        <v>19</v>
      </c>
      <c r="E1344" t="s">
        <v>51</v>
      </c>
      <c r="F1344" t="s">
        <v>75</v>
      </c>
      <c r="G1344">
        <v>0</v>
      </c>
      <c r="H1344" t="s">
        <v>22</v>
      </c>
      <c r="I1344" t="s">
        <v>31</v>
      </c>
      <c r="J1344" t="s">
        <v>25</v>
      </c>
      <c r="K1344" s="2">
        <v>57350</v>
      </c>
      <c r="L1344" s="2">
        <v>48329</v>
      </c>
      <c r="M1344" t="s">
        <v>32</v>
      </c>
      <c r="N1344">
        <v>44</v>
      </c>
      <c r="O1344" t="s">
        <v>23</v>
      </c>
      <c r="P1344">
        <v>4</v>
      </c>
      <c r="Q1344" s="1">
        <v>-0.86</v>
      </c>
      <c r="R1344" s="2">
        <f t="shared" si="80"/>
        <v>-9021</v>
      </c>
      <c r="S1344" s="1">
        <f t="shared" si="81"/>
        <v>-15.72972972972973</v>
      </c>
      <c r="T1344" t="str">
        <f t="shared" si="82"/>
        <v>Beginner</v>
      </c>
      <c r="U1344" t="str">
        <f t="shared" si="83"/>
        <v>Low Impact</v>
      </c>
    </row>
    <row r="1345" spans="1:21" x14ac:dyDescent="0.3">
      <c r="A1345" t="s">
        <v>1702</v>
      </c>
      <c r="B1345">
        <v>53</v>
      </c>
      <c r="C1345" t="s">
        <v>18</v>
      </c>
      <c r="D1345" t="s">
        <v>40</v>
      </c>
      <c r="E1345" t="s">
        <v>59</v>
      </c>
      <c r="F1345" t="s">
        <v>60</v>
      </c>
      <c r="G1345">
        <v>30</v>
      </c>
      <c r="H1345" t="s">
        <v>37</v>
      </c>
      <c r="I1345" t="s">
        <v>22</v>
      </c>
      <c r="J1345" t="s">
        <v>25</v>
      </c>
      <c r="K1345" s="2">
        <v>77857</v>
      </c>
      <c r="L1345" s="2">
        <v>77620</v>
      </c>
      <c r="M1345" t="s">
        <v>32</v>
      </c>
      <c r="N1345">
        <v>38</v>
      </c>
      <c r="O1345" t="s">
        <v>23</v>
      </c>
      <c r="P1345">
        <v>8</v>
      </c>
      <c r="Q1345" s="1">
        <v>-0.88</v>
      </c>
      <c r="R1345" s="2">
        <f t="shared" si="80"/>
        <v>-237</v>
      </c>
      <c r="S1345" s="1">
        <f t="shared" si="81"/>
        <v>-0.30440422826463903</v>
      </c>
      <c r="T1345" t="str">
        <f t="shared" si="82"/>
        <v>Expert</v>
      </c>
      <c r="U1345" t="str">
        <f t="shared" si="83"/>
        <v>Low Impact</v>
      </c>
    </row>
    <row r="1346" spans="1:21" x14ac:dyDescent="0.3">
      <c r="A1346" t="s">
        <v>654</v>
      </c>
      <c r="B1346">
        <v>48</v>
      </c>
      <c r="C1346" t="s">
        <v>54</v>
      </c>
      <c r="D1346" t="s">
        <v>40</v>
      </c>
      <c r="E1346" t="s">
        <v>29</v>
      </c>
      <c r="F1346" t="s">
        <v>104</v>
      </c>
      <c r="G1346">
        <v>24</v>
      </c>
      <c r="H1346" t="s">
        <v>37</v>
      </c>
      <c r="I1346" t="s">
        <v>37</v>
      </c>
      <c r="J1346" t="s">
        <v>25</v>
      </c>
      <c r="K1346" s="2">
        <v>58302</v>
      </c>
      <c r="L1346" s="2">
        <v>57789</v>
      </c>
      <c r="M1346" t="s">
        <v>38</v>
      </c>
      <c r="N1346">
        <v>37</v>
      </c>
      <c r="O1346" t="s">
        <v>25</v>
      </c>
      <c r="P1346">
        <v>6</v>
      </c>
      <c r="Q1346" s="1">
        <v>-0.91</v>
      </c>
      <c r="R1346" s="2">
        <f t="shared" ref="R1346:R1409" si="84">L1346-K1346</f>
        <v>-513</v>
      </c>
      <c r="S1346" s="1">
        <f t="shared" ref="S1346:S1409" si="85">(L1346-K1346)/K1346*100</f>
        <v>-0.8799012040753319</v>
      </c>
      <c r="T1346" t="str">
        <f t="shared" ref="T1346:T1409" si="86">IF(G1346&lt;5,"Beginner",IF(G1346&lt;15,"Intermediate","Expert"))</f>
        <v>Expert</v>
      </c>
      <c r="U1346" t="str">
        <f t="shared" ref="U1346:U1409" si="87">IF(M1346="Replaced","High Impact",IF(M1346="Modified","Medium Impact","Low Impact"))</f>
        <v>Medium Impact</v>
      </c>
    </row>
    <row r="1347" spans="1:21" x14ac:dyDescent="0.3">
      <c r="A1347" t="s">
        <v>1736</v>
      </c>
      <c r="B1347">
        <v>42</v>
      </c>
      <c r="C1347" t="s">
        <v>18</v>
      </c>
      <c r="D1347" t="s">
        <v>19</v>
      </c>
      <c r="E1347" t="s">
        <v>44</v>
      </c>
      <c r="F1347" t="s">
        <v>47</v>
      </c>
      <c r="G1347">
        <v>18</v>
      </c>
      <c r="H1347" t="s">
        <v>31</v>
      </c>
      <c r="I1347" t="s">
        <v>22</v>
      </c>
      <c r="J1347" t="s">
        <v>25</v>
      </c>
      <c r="K1347" s="2">
        <v>113312</v>
      </c>
      <c r="L1347" s="2">
        <v>124425</v>
      </c>
      <c r="M1347" t="s">
        <v>32</v>
      </c>
      <c r="N1347">
        <v>39</v>
      </c>
      <c r="O1347" t="s">
        <v>25</v>
      </c>
      <c r="P1347">
        <v>9</v>
      </c>
      <c r="Q1347" s="1">
        <v>-0.92</v>
      </c>
      <c r="R1347" s="2">
        <f t="shared" si="84"/>
        <v>11113</v>
      </c>
      <c r="S1347" s="1">
        <f t="shared" si="85"/>
        <v>9.8074343405817572</v>
      </c>
      <c r="T1347" t="str">
        <f t="shared" si="86"/>
        <v>Expert</v>
      </c>
      <c r="U1347" t="str">
        <f t="shared" si="87"/>
        <v>Low Impact</v>
      </c>
    </row>
    <row r="1348" spans="1:21" x14ac:dyDescent="0.3">
      <c r="A1348" t="s">
        <v>736</v>
      </c>
      <c r="B1348">
        <v>23</v>
      </c>
      <c r="C1348" t="s">
        <v>18</v>
      </c>
      <c r="D1348" t="s">
        <v>34</v>
      </c>
      <c r="E1348" t="s">
        <v>41</v>
      </c>
      <c r="F1348" t="s">
        <v>42</v>
      </c>
      <c r="G1348">
        <v>0</v>
      </c>
      <c r="H1348" t="s">
        <v>22</v>
      </c>
      <c r="I1348" t="s">
        <v>31</v>
      </c>
      <c r="J1348" t="s">
        <v>23</v>
      </c>
      <c r="K1348" s="2">
        <v>65186</v>
      </c>
      <c r="L1348" s="2">
        <v>66996</v>
      </c>
      <c r="M1348" t="s">
        <v>32</v>
      </c>
      <c r="N1348">
        <v>50</v>
      </c>
      <c r="O1348" t="s">
        <v>25</v>
      </c>
      <c r="P1348">
        <v>5</v>
      </c>
      <c r="Q1348" s="1">
        <v>-1</v>
      </c>
      <c r="R1348" s="2">
        <f t="shared" si="84"/>
        <v>1810</v>
      </c>
      <c r="S1348" s="1">
        <f t="shared" si="85"/>
        <v>2.7766698370815819</v>
      </c>
      <c r="T1348" t="str">
        <f t="shared" si="86"/>
        <v>Beginner</v>
      </c>
      <c r="U1348" t="str">
        <f t="shared" si="87"/>
        <v>Low Impact</v>
      </c>
    </row>
    <row r="1349" spans="1:21" x14ac:dyDescent="0.3">
      <c r="A1349" t="s">
        <v>1849</v>
      </c>
      <c r="B1349">
        <v>44</v>
      </c>
      <c r="C1349" t="s">
        <v>54</v>
      </c>
      <c r="D1349" t="s">
        <v>40</v>
      </c>
      <c r="E1349" t="s">
        <v>51</v>
      </c>
      <c r="F1349" t="s">
        <v>75</v>
      </c>
      <c r="G1349">
        <v>20</v>
      </c>
      <c r="H1349" t="s">
        <v>31</v>
      </c>
      <c r="I1349" t="s">
        <v>37</v>
      </c>
      <c r="J1349" t="s">
        <v>23</v>
      </c>
      <c r="K1349" s="2">
        <v>56014</v>
      </c>
      <c r="L1349" s="2">
        <v>53273</v>
      </c>
      <c r="M1349" t="s">
        <v>38</v>
      </c>
      <c r="N1349">
        <v>46</v>
      </c>
      <c r="O1349" t="s">
        <v>25</v>
      </c>
      <c r="P1349">
        <v>8</v>
      </c>
      <c r="Q1349" s="1">
        <v>-1</v>
      </c>
      <c r="R1349" s="2">
        <f t="shared" si="84"/>
        <v>-2741</v>
      </c>
      <c r="S1349" s="1">
        <f t="shared" si="85"/>
        <v>-4.8934195022672906</v>
      </c>
      <c r="T1349" t="str">
        <f t="shared" si="86"/>
        <v>Expert</v>
      </c>
      <c r="U1349" t="str">
        <f t="shared" si="87"/>
        <v>Medium Impact</v>
      </c>
    </row>
    <row r="1350" spans="1:21" x14ac:dyDescent="0.3">
      <c r="A1350" t="s">
        <v>1158</v>
      </c>
      <c r="B1350">
        <v>38</v>
      </c>
      <c r="C1350" t="s">
        <v>18</v>
      </c>
      <c r="D1350" t="s">
        <v>28</v>
      </c>
      <c r="E1350" t="s">
        <v>51</v>
      </c>
      <c r="F1350" t="s">
        <v>52</v>
      </c>
      <c r="G1350">
        <v>16</v>
      </c>
      <c r="H1350" t="s">
        <v>37</v>
      </c>
      <c r="I1350" t="s">
        <v>22</v>
      </c>
      <c r="J1350" t="s">
        <v>23</v>
      </c>
      <c r="K1350" s="2">
        <v>81507</v>
      </c>
      <c r="L1350" s="2">
        <v>91167</v>
      </c>
      <c r="M1350" t="s">
        <v>32</v>
      </c>
      <c r="N1350">
        <v>35</v>
      </c>
      <c r="O1350" t="s">
        <v>23</v>
      </c>
      <c r="P1350">
        <v>6</v>
      </c>
      <c r="Q1350" s="1">
        <v>-1.01</v>
      </c>
      <c r="R1350" s="2">
        <f t="shared" si="84"/>
        <v>9660</v>
      </c>
      <c r="S1350" s="1">
        <f t="shared" si="85"/>
        <v>11.851742795097353</v>
      </c>
      <c r="T1350" t="str">
        <f t="shared" si="86"/>
        <v>Expert</v>
      </c>
      <c r="U1350" t="str">
        <f t="shared" si="87"/>
        <v>Low Impact</v>
      </c>
    </row>
    <row r="1351" spans="1:21" x14ac:dyDescent="0.3">
      <c r="A1351" t="s">
        <v>515</v>
      </c>
      <c r="B1351">
        <v>27</v>
      </c>
      <c r="C1351" t="s">
        <v>54</v>
      </c>
      <c r="D1351" t="s">
        <v>28</v>
      </c>
      <c r="E1351" t="s">
        <v>35</v>
      </c>
      <c r="F1351" t="s">
        <v>98</v>
      </c>
      <c r="G1351">
        <v>1</v>
      </c>
      <c r="H1351" t="s">
        <v>37</v>
      </c>
      <c r="I1351" t="s">
        <v>31</v>
      </c>
      <c r="J1351" t="s">
        <v>23</v>
      </c>
      <c r="K1351" s="2">
        <v>110811</v>
      </c>
      <c r="L1351" s="2">
        <v>124359</v>
      </c>
      <c r="M1351" t="s">
        <v>32</v>
      </c>
      <c r="N1351">
        <v>45</v>
      </c>
      <c r="O1351" t="s">
        <v>23</v>
      </c>
      <c r="P1351">
        <v>3</v>
      </c>
      <c r="Q1351" s="1">
        <v>-1.02</v>
      </c>
      <c r="R1351" s="2">
        <f t="shared" si="84"/>
        <v>13548</v>
      </c>
      <c r="S1351" s="1">
        <f t="shared" si="85"/>
        <v>12.226223028399708</v>
      </c>
      <c r="T1351" t="str">
        <f t="shared" si="86"/>
        <v>Beginner</v>
      </c>
      <c r="U1351" t="str">
        <f t="shared" si="87"/>
        <v>Low Impact</v>
      </c>
    </row>
    <row r="1352" spans="1:21" x14ac:dyDescent="0.3">
      <c r="A1352" t="s">
        <v>1239</v>
      </c>
      <c r="B1352">
        <v>39</v>
      </c>
      <c r="C1352" t="s">
        <v>18</v>
      </c>
      <c r="D1352" t="s">
        <v>34</v>
      </c>
      <c r="E1352" t="s">
        <v>35</v>
      </c>
      <c r="F1352" t="s">
        <v>132</v>
      </c>
      <c r="G1352">
        <v>17</v>
      </c>
      <c r="H1352" t="s">
        <v>31</v>
      </c>
      <c r="I1352" t="s">
        <v>31</v>
      </c>
      <c r="J1352" t="s">
        <v>23</v>
      </c>
      <c r="K1352" s="2">
        <v>91716</v>
      </c>
      <c r="L1352" s="2">
        <v>94052</v>
      </c>
      <c r="M1352" t="s">
        <v>32</v>
      </c>
      <c r="N1352">
        <v>54</v>
      </c>
      <c r="O1352" t="s">
        <v>25</v>
      </c>
      <c r="P1352">
        <v>4</v>
      </c>
      <c r="Q1352" s="1">
        <v>-1.04</v>
      </c>
      <c r="R1352" s="2">
        <f t="shared" si="84"/>
        <v>2336</v>
      </c>
      <c r="S1352" s="1">
        <f t="shared" si="85"/>
        <v>2.5469928910986086</v>
      </c>
      <c r="T1352" t="str">
        <f t="shared" si="86"/>
        <v>Expert</v>
      </c>
      <c r="U1352" t="str">
        <f t="shared" si="87"/>
        <v>Low Impact</v>
      </c>
    </row>
    <row r="1353" spans="1:21" x14ac:dyDescent="0.3">
      <c r="A1353" t="s">
        <v>1140</v>
      </c>
      <c r="B1353">
        <v>50</v>
      </c>
      <c r="C1353" t="s">
        <v>27</v>
      </c>
      <c r="D1353" t="s">
        <v>40</v>
      </c>
      <c r="E1353" t="s">
        <v>41</v>
      </c>
      <c r="F1353" t="s">
        <v>42</v>
      </c>
      <c r="G1353">
        <v>27</v>
      </c>
      <c r="H1353" t="s">
        <v>37</v>
      </c>
      <c r="I1353" t="s">
        <v>22</v>
      </c>
      <c r="J1353" t="s">
        <v>23</v>
      </c>
      <c r="K1353" s="2">
        <v>83019</v>
      </c>
      <c r="L1353" s="2">
        <v>86763</v>
      </c>
      <c r="M1353" t="s">
        <v>32</v>
      </c>
      <c r="N1353">
        <v>42</v>
      </c>
      <c r="O1353" t="s">
        <v>23</v>
      </c>
      <c r="P1353">
        <v>4</v>
      </c>
      <c r="Q1353" s="1">
        <v>-1.07</v>
      </c>
      <c r="R1353" s="2">
        <f t="shared" si="84"/>
        <v>3744</v>
      </c>
      <c r="S1353" s="1">
        <f t="shared" si="85"/>
        <v>4.5098110071188522</v>
      </c>
      <c r="T1353" t="str">
        <f t="shared" si="86"/>
        <v>Expert</v>
      </c>
      <c r="U1353" t="str">
        <f t="shared" si="87"/>
        <v>Low Impact</v>
      </c>
    </row>
    <row r="1354" spans="1:21" x14ac:dyDescent="0.3">
      <c r="A1354" t="s">
        <v>1546</v>
      </c>
      <c r="B1354">
        <v>28</v>
      </c>
      <c r="C1354" t="s">
        <v>27</v>
      </c>
      <c r="D1354" t="s">
        <v>34</v>
      </c>
      <c r="E1354" t="s">
        <v>29</v>
      </c>
      <c r="F1354" t="s">
        <v>30</v>
      </c>
      <c r="G1354">
        <v>2</v>
      </c>
      <c r="H1354" t="s">
        <v>31</v>
      </c>
      <c r="I1354" t="s">
        <v>37</v>
      </c>
      <c r="J1354" t="s">
        <v>25</v>
      </c>
      <c r="K1354" s="2">
        <v>36057</v>
      </c>
      <c r="L1354" s="2">
        <v>36892</v>
      </c>
      <c r="M1354" t="s">
        <v>38</v>
      </c>
      <c r="N1354">
        <v>43</v>
      </c>
      <c r="O1354" t="s">
        <v>25</v>
      </c>
      <c r="P1354">
        <v>6</v>
      </c>
      <c r="Q1354" s="1">
        <v>-1.1299999999999999</v>
      </c>
      <c r="R1354" s="2">
        <f t="shared" si="84"/>
        <v>835</v>
      </c>
      <c r="S1354" s="1">
        <f t="shared" si="85"/>
        <v>2.3157777962670214</v>
      </c>
      <c r="T1354" t="str">
        <f t="shared" si="86"/>
        <v>Beginner</v>
      </c>
      <c r="U1354" t="str">
        <f t="shared" si="87"/>
        <v>Medium Impact</v>
      </c>
    </row>
    <row r="1355" spans="1:21" x14ac:dyDescent="0.3">
      <c r="A1355" t="s">
        <v>435</v>
      </c>
      <c r="B1355">
        <v>32</v>
      </c>
      <c r="C1355" t="s">
        <v>54</v>
      </c>
      <c r="D1355" t="s">
        <v>19</v>
      </c>
      <c r="E1355" t="s">
        <v>44</v>
      </c>
      <c r="F1355" t="s">
        <v>45</v>
      </c>
      <c r="G1355">
        <v>9</v>
      </c>
      <c r="H1355" t="s">
        <v>31</v>
      </c>
      <c r="I1355" t="s">
        <v>31</v>
      </c>
      <c r="J1355" t="s">
        <v>25</v>
      </c>
      <c r="K1355" s="2">
        <v>82142</v>
      </c>
      <c r="L1355" s="2">
        <v>86064</v>
      </c>
      <c r="M1355" t="s">
        <v>32</v>
      </c>
      <c r="N1355">
        <v>36</v>
      </c>
      <c r="O1355" t="s">
        <v>23</v>
      </c>
      <c r="P1355">
        <v>8</v>
      </c>
      <c r="Q1355" s="1">
        <v>-1.1599999999999999</v>
      </c>
      <c r="R1355" s="2">
        <f t="shared" si="84"/>
        <v>3922</v>
      </c>
      <c r="S1355" s="1">
        <f t="shared" si="85"/>
        <v>4.7746585181758414</v>
      </c>
      <c r="T1355" t="str">
        <f t="shared" si="86"/>
        <v>Intermediate</v>
      </c>
      <c r="U1355" t="str">
        <f t="shared" si="87"/>
        <v>Low Impact</v>
      </c>
    </row>
    <row r="1356" spans="1:21" x14ac:dyDescent="0.3">
      <c r="A1356" t="s">
        <v>712</v>
      </c>
      <c r="B1356">
        <v>55</v>
      </c>
      <c r="C1356" t="s">
        <v>18</v>
      </c>
      <c r="D1356" t="s">
        <v>19</v>
      </c>
      <c r="E1356" t="s">
        <v>35</v>
      </c>
      <c r="F1356" t="s">
        <v>36</v>
      </c>
      <c r="G1356">
        <v>32</v>
      </c>
      <c r="H1356" t="s">
        <v>31</v>
      </c>
      <c r="I1356" t="s">
        <v>37</v>
      </c>
      <c r="J1356" t="s">
        <v>23</v>
      </c>
      <c r="K1356" s="2">
        <v>107963</v>
      </c>
      <c r="L1356" s="2">
        <v>117288</v>
      </c>
      <c r="M1356" t="s">
        <v>38</v>
      </c>
      <c r="N1356">
        <v>50</v>
      </c>
      <c r="O1356" t="s">
        <v>25</v>
      </c>
      <c r="P1356">
        <v>3</v>
      </c>
      <c r="Q1356" s="1">
        <v>-1.17</v>
      </c>
      <c r="R1356" s="2">
        <f t="shared" si="84"/>
        <v>9325</v>
      </c>
      <c r="S1356" s="1">
        <f t="shared" si="85"/>
        <v>8.6372183062715937</v>
      </c>
      <c r="T1356" t="str">
        <f t="shared" si="86"/>
        <v>Expert</v>
      </c>
      <c r="U1356" t="str">
        <f t="shared" si="87"/>
        <v>Medium Impact</v>
      </c>
    </row>
    <row r="1357" spans="1:21" x14ac:dyDescent="0.3">
      <c r="A1357" t="s">
        <v>867</v>
      </c>
      <c r="B1357">
        <v>51</v>
      </c>
      <c r="C1357" t="s">
        <v>18</v>
      </c>
      <c r="D1357" t="s">
        <v>40</v>
      </c>
      <c r="E1357" t="s">
        <v>35</v>
      </c>
      <c r="F1357" t="s">
        <v>98</v>
      </c>
      <c r="G1357">
        <v>27</v>
      </c>
      <c r="H1357" t="s">
        <v>22</v>
      </c>
      <c r="I1357" t="s">
        <v>37</v>
      </c>
      <c r="J1357" t="s">
        <v>25</v>
      </c>
      <c r="K1357" s="2">
        <v>52706</v>
      </c>
      <c r="L1357" s="2">
        <v>72072</v>
      </c>
      <c r="M1357" t="s">
        <v>38</v>
      </c>
      <c r="N1357">
        <v>41</v>
      </c>
      <c r="O1357" t="s">
        <v>25</v>
      </c>
      <c r="P1357">
        <v>3</v>
      </c>
      <c r="Q1357" s="1">
        <v>-1.22</v>
      </c>
      <c r="R1357" s="2">
        <f t="shared" si="84"/>
        <v>19366</v>
      </c>
      <c r="S1357" s="1">
        <f t="shared" si="85"/>
        <v>36.743444769096492</v>
      </c>
      <c r="T1357" t="str">
        <f t="shared" si="86"/>
        <v>Expert</v>
      </c>
      <c r="U1357" t="str">
        <f t="shared" si="87"/>
        <v>Medium Impact</v>
      </c>
    </row>
    <row r="1358" spans="1:21" x14ac:dyDescent="0.3">
      <c r="A1358" t="s">
        <v>1471</v>
      </c>
      <c r="B1358">
        <v>38</v>
      </c>
      <c r="C1358" t="s">
        <v>18</v>
      </c>
      <c r="D1358" t="s">
        <v>34</v>
      </c>
      <c r="E1358" t="s">
        <v>44</v>
      </c>
      <c r="F1358" t="s">
        <v>57</v>
      </c>
      <c r="G1358">
        <v>13</v>
      </c>
      <c r="H1358" t="s">
        <v>37</v>
      </c>
      <c r="I1358" t="s">
        <v>37</v>
      </c>
      <c r="J1358" t="s">
        <v>23</v>
      </c>
      <c r="K1358" s="2">
        <v>58690</v>
      </c>
      <c r="L1358" s="2">
        <v>65855</v>
      </c>
      <c r="M1358" t="s">
        <v>38</v>
      </c>
      <c r="N1358">
        <v>53</v>
      </c>
      <c r="O1358" t="s">
        <v>23</v>
      </c>
      <c r="P1358">
        <v>8</v>
      </c>
      <c r="Q1358" s="1">
        <v>-1.23</v>
      </c>
      <c r="R1358" s="2">
        <f t="shared" si="84"/>
        <v>7165</v>
      </c>
      <c r="S1358" s="1">
        <f t="shared" si="85"/>
        <v>12.208212642698927</v>
      </c>
      <c r="T1358" t="str">
        <f t="shared" si="86"/>
        <v>Intermediate</v>
      </c>
      <c r="U1358" t="str">
        <f t="shared" si="87"/>
        <v>Medium Impact</v>
      </c>
    </row>
    <row r="1359" spans="1:21" x14ac:dyDescent="0.3">
      <c r="A1359" t="s">
        <v>1932</v>
      </c>
      <c r="B1359">
        <v>34</v>
      </c>
      <c r="C1359" t="s">
        <v>54</v>
      </c>
      <c r="D1359" t="s">
        <v>28</v>
      </c>
      <c r="E1359" t="s">
        <v>44</v>
      </c>
      <c r="F1359" t="s">
        <v>45</v>
      </c>
      <c r="G1359">
        <v>9</v>
      </c>
      <c r="H1359" t="s">
        <v>22</v>
      </c>
      <c r="I1359" t="s">
        <v>22</v>
      </c>
      <c r="J1359" t="s">
        <v>23</v>
      </c>
      <c r="K1359" s="2">
        <v>89817</v>
      </c>
      <c r="L1359" s="2">
        <v>98466</v>
      </c>
      <c r="M1359" t="s">
        <v>24</v>
      </c>
      <c r="N1359">
        <v>37</v>
      </c>
      <c r="O1359" t="s">
        <v>25</v>
      </c>
      <c r="P1359">
        <v>3</v>
      </c>
      <c r="Q1359" s="1">
        <v>-1.27</v>
      </c>
      <c r="R1359" s="2">
        <f t="shared" si="84"/>
        <v>8649</v>
      </c>
      <c r="S1359" s="1">
        <f t="shared" si="85"/>
        <v>9.6295801462974708</v>
      </c>
      <c r="T1359" t="str">
        <f t="shared" si="86"/>
        <v>Intermediate</v>
      </c>
      <c r="U1359" t="str">
        <f t="shared" si="87"/>
        <v>High Impact</v>
      </c>
    </row>
    <row r="1360" spans="1:21" x14ac:dyDescent="0.3">
      <c r="A1360" t="s">
        <v>1694</v>
      </c>
      <c r="B1360">
        <v>48</v>
      </c>
      <c r="C1360" t="s">
        <v>54</v>
      </c>
      <c r="D1360" t="s">
        <v>40</v>
      </c>
      <c r="E1360" t="s">
        <v>44</v>
      </c>
      <c r="F1360" t="s">
        <v>47</v>
      </c>
      <c r="G1360">
        <v>24</v>
      </c>
      <c r="H1360" t="s">
        <v>37</v>
      </c>
      <c r="I1360" t="s">
        <v>22</v>
      </c>
      <c r="J1360" t="s">
        <v>25</v>
      </c>
      <c r="K1360" s="2">
        <v>105675</v>
      </c>
      <c r="L1360" s="2">
        <v>95457</v>
      </c>
      <c r="M1360" t="s">
        <v>32</v>
      </c>
      <c r="N1360">
        <v>51</v>
      </c>
      <c r="O1360" t="s">
        <v>23</v>
      </c>
      <c r="P1360">
        <v>8</v>
      </c>
      <c r="Q1360" s="1">
        <v>-1.27</v>
      </c>
      <c r="R1360" s="2">
        <f t="shared" si="84"/>
        <v>-10218</v>
      </c>
      <c r="S1360" s="1">
        <f t="shared" si="85"/>
        <v>-9.6692689850958118</v>
      </c>
      <c r="T1360" t="str">
        <f t="shared" si="86"/>
        <v>Expert</v>
      </c>
      <c r="U1360" t="str">
        <f t="shared" si="87"/>
        <v>Low Impact</v>
      </c>
    </row>
    <row r="1361" spans="1:21" x14ac:dyDescent="0.3">
      <c r="A1361" t="s">
        <v>277</v>
      </c>
      <c r="B1361">
        <v>41</v>
      </c>
      <c r="C1361" t="s">
        <v>18</v>
      </c>
      <c r="D1361" t="s">
        <v>28</v>
      </c>
      <c r="E1361" t="s">
        <v>44</v>
      </c>
      <c r="F1361" t="s">
        <v>57</v>
      </c>
      <c r="G1361">
        <v>17</v>
      </c>
      <c r="H1361" t="s">
        <v>22</v>
      </c>
      <c r="I1361" t="s">
        <v>31</v>
      </c>
      <c r="J1361" t="s">
        <v>25</v>
      </c>
      <c r="K1361" s="2">
        <v>93416</v>
      </c>
      <c r="L1361" s="2">
        <v>99523</v>
      </c>
      <c r="M1361" t="s">
        <v>32</v>
      </c>
      <c r="N1361">
        <v>40</v>
      </c>
      <c r="O1361" t="s">
        <v>25</v>
      </c>
      <c r="P1361">
        <v>9</v>
      </c>
      <c r="Q1361" s="1">
        <v>-1.28</v>
      </c>
      <c r="R1361" s="2">
        <f t="shared" si="84"/>
        <v>6107</v>
      </c>
      <c r="S1361" s="1">
        <f t="shared" si="85"/>
        <v>6.5374239958893545</v>
      </c>
      <c r="T1361" t="str">
        <f t="shared" si="86"/>
        <v>Expert</v>
      </c>
      <c r="U1361" t="str">
        <f t="shared" si="87"/>
        <v>Low Impact</v>
      </c>
    </row>
    <row r="1362" spans="1:21" x14ac:dyDescent="0.3">
      <c r="A1362" t="s">
        <v>1751</v>
      </c>
      <c r="B1362">
        <v>40</v>
      </c>
      <c r="C1362" t="s">
        <v>18</v>
      </c>
      <c r="D1362" t="s">
        <v>34</v>
      </c>
      <c r="E1362" t="s">
        <v>51</v>
      </c>
      <c r="F1362" t="s">
        <v>75</v>
      </c>
      <c r="G1362">
        <v>17</v>
      </c>
      <c r="H1362" t="s">
        <v>37</v>
      </c>
      <c r="I1362" t="s">
        <v>22</v>
      </c>
      <c r="J1362" t="s">
        <v>23</v>
      </c>
      <c r="K1362" s="2">
        <v>115674</v>
      </c>
      <c r="L1362" s="2">
        <v>104743</v>
      </c>
      <c r="M1362" t="s">
        <v>32</v>
      </c>
      <c r="N1362">
        <v>42</v>
      </c>
      <c r="O1362" t="s">
        <v>25</v>
      </c>
      <c r="P1362">
        <v>8</v>
      </c>
      <c r="Q1362" s="1">
        <v>-1.29</v>
      </c>
      <c r="R1362" s="2">
        <f t="shared" si="84"/>
        <v>-10931</v>
      </c>
      <c r="S1362" s="1">
        <f t="shared" si="85"/>
        <v>-9.4498331517886474</v>
      </c>
      <c r="T1362" t="str">
        <f t="shared" si="86"/>
        <v>Expert</v>
      </c>
      <c r="U1362" t="str">
        <f t="shared" si="87"/>
        <v>Low Impact</v>
      </c>
    </row>
    <row r="1363" spans="1:21" x14ac:dyDescent="0.3">
      <c r="A1363" t="s">
        <v>1032</v>
      </c>
      <c r="B1363">
        <v>59</v>
      </c>
      <c r="C1363" t="s">
        <v>27</v>
      </c>
      <c r="D1363" t="s">
        <v>28</v>
      </c>
      <c r="E1363" t="s">
        <v>59</v>
      </c>
      <c r="F1363" t="s">
        <v>77</v>
      </c>
      <c r="G1363">
        <v>33</v>
      </c>
      <c r="H1363" t="s">
        <v>22</v>
      </c>
      <c r="I1363" t="s">
        <v>31</v>
      </c>
      <c r="J1363" t="s">
        <v>25</v>
      </c>
      <c r="K1363" s="2">
        <v>78542</v>
      </c>
      <c r="L1363" s="2">
        <v>93044</v>
      </c>
      <c r="M1363" t="s">
        <v>32</v>
      </c>
      <c r="N1363">
        <v>51</v>
      </c>
      <c r="O1363" t="s">
        <v>23</v>
      </c>
      <c r="P1363">
        <v>9</v>
      </c>
      <c r="Q1363" s="1">
        <v>-1.3</v>
      </c>
      <c r="R1363" s="2">
        <f t="shared" si="84"/>
        <v>14502</v>
      </c>
      <c r="S1363" s="1">
        <f t="shared" si="85"/>
        <v>18.464006518805228</v>
      </c>
      <c r="T1363" t="str">
        <f t="shared" si="86"/>
        <v>Expert</v>
      </c>
      <c r="U1363" t="str">
        <f t="shared" si="87"/>
        <v>Low Impact</v>
      </c>
    </row>
    <row r="1364" spans="1:21" x14ac:dyDescent="0.3">
      <c r="A1364" t="s">
        <v>2038</v>
      </c>
      <c r="B1364">
        <v>57</v>
      </c>
      <c r="C1364" t="s">
        <v>27</v>
      </c>
      <c r="D1364" t="s">
        <v>34</v>
      </c>
      <c r="E1364" t="s">
        <v>29</v>
      </c>
      <c r="F1364" t="s">
        <v>30</v>
      </c>
      <c r="G1364">
        <v>34</v>
      </c>
      <c r="H1364" t="s">
        <v>37</v>
      </c>
      <c r="I1364" t="s">
        <v>37</v>
      </c>
      <c r="J1364" t="s">
        <v>25</v>
      </c>
      <c r="K1364" s="2">
        <v>63682</v>
      </c>
      <c r="L1364" s="2">
        <v>69042</v>
      </c>
      <c r="M1364" t="s">
        <v>38</v>
      </c>
      <c r="N1364">
        <v>47</v>
      </c>
      <c r="O1364" t="s">
        <v>25</v>
      </c>
      <c r="P1364">
        <v>7</v>
      </c>
      <c r="Q1364" s="1">
        <v>-1.3</v>
      </c>
      <c r="R1364" s="2">
        <f t="shared" si="84"/>
        <v>5360</v>
      </c>
      <c r="S1364" s="1">
        <f t="shared" si="85"/>
        <v>8.4168210797399592</v>
      </c>
      <c r="T1364" t="str">
        <f t="shared" si="86"/>
        <v>Expert</v>
      </c>
      <c r="U1364" t="str">
        <f t="shared" si="87"/>
        <v>Medium Impact</v>
      </c>
    </row>
    <row r="1365" spans="1:21" x14ac:dyDescent="0.3">
      <c r="A1365" t="s">
        <v>899</v>
      </c>
      <c r="B1365">
        <v>35</v>
      </c>
      <c r="C1365" t="s">
        <v>18</v>
      </c>
      <c r="D1365" t="s">
        <v>34</v>
      </c>
      <c r="E1365" t="s">
        <v>35</v>
      </c>
      <c r="F1365" t="s">
        <v>36</v>
      </c>
      <c r="G1365">
        <v>11</v>
      </c>
      <c r="H1365" t="s">
        <v>31</v>
      </c>
      <c r="I1365" t="s">
        <v>22</v>
      </c>
      <c r="J1365" t="s">
        <v>23</v>
      </c>
      <c r="K1365" s="2">
        <v>62769</v>
      </c>
      <c r="L1365" s="2">
        <v>61208</v>
      </c>
      <c r="M1365" t="s">
        <v>32</v>
      </c>
      <c r="N1365">
        <v>39</v>
      </c>
      <c r="O1365" t="s">
        <v>25</v>
      </c>
      <c r="P1365">
        <v>6</v>
      </c>
      <c r="Q1365" s="1">
        <v>-1.38</v>
      </c>
      <c r="R1365" s="2">
        <f t="shared" si="84"/>
        <v>-1561</v>
      </c>
      <c r="S1365" s="1">
        <f t="shared" si="85"/>
        <v>-2.4868963979034238</v>
      </c>
      <c r="T1365" t="str">
        <f t="shared" si="86"/>
        <v>Intermediate</v>
      </c>
      <c r="U1365" t="str">
        <f t="shared" si="87"/>
        <v>Low Impact</v>
      </c>
    </row>
    <row r="1366" spans="1:21" x14ac:dyDescent="0.3">
      <c r="A1366" t="s">
        <v>1062</v>
      </c>
      <c r="B1366">
        <v>33</v>
      </c>
      <c r="C1366" t="s">
        <v>27</v>
      </c>
      <c r="D1366" t="s">
        <v>40</v>
      </c>
      <c r="E1366" t="s">
        <v>59</v>
      </c>
      <c r="F1366" t="s">
        <v>77</v>
      </c>
      <c r="G1366">
        <v>7</v>
      </c>
      <c r="H1366" t="s">
        <v>31</v>
      </c>
      <c r="I1366" t="s">
        <v>22</v>
      </c>
      <c r="J1366" t="s">
        <v>25</v>
      </c>
      <c r="K1366" s="2">
        <v>54845</v>
      </c>
      <c r="L1366" s="2">
        <v>55704</v>
      </c>
      <c r="M1366" t="s">
        <v>32</v>
      </c>
      <c r="N1366">
        <v>51</v>
      </c>
      <c r="O1366" t="s">
        <v>25</v>
      </c>
      <c r="P1366">
        <v>4</v>
      </c>
      <c r="Q1366" s="1">
        <v>-1.38</v>
      </c>
      <c r="R1366" s="2">
        <f t="shared" si="84"/>
        <v>859</v>
      </c>
      <c r="S1366" s="1">
        <f t="shared" si="85"/>
        <v>1.5662321086698876</v>
      </c>
      <c r="T1366" t="str">
        <f t="shared" si="86"/>
        <v>Intermediate</v>
      </c>
      <c r="U1366" t="str">
        <f t="shared" si="87"/>
        <v>Low Impact</v>
      </c>
    </row>
    <row r="1367" spans="1:21" x14ac:dyDescent="0.3">
      <c r="A1367" t="s">
        <v>1267</v>
      </c>
      <c r="B1367">
        <v>49</v>
      </c>
      <c r="C1367" t="s">
        <v>27</v>
      </c>
      <c r="D1367" t="s">
        <v>19</v>
      </c>
      <c r="E1367" t="s">
        <v>41</v>
      </c>
      <c r="F1367" t="s">
        <v>49</v>
      </c>
      <c r="G1367">
        <v>23</v>
      </c>
      <c r="H1367" t="s">
        <v>22</v>
      </c>
      <c r="I1367" t="s">
        <v>22</v>
      </c>
      <c r="J1367" t="s">
        <v>23</v>
      </c>
      <c r="K1367" s="2">
        <v>65393</v>
      </c>
      <c r="L1367" s="2">
        <v>71851</v>
      </c>
      <c r="M1367" t="s">
        <v>24</v>
      </c>
      <c r="N1367">
        <v>43</v>
      </c>
      <c r="O1367" t="s">
        <v>25</v>
      </c>
      <c r="P1367">
        <v>3</v>
      </c>
      <c r="Q1367" s="1">
        <v>-1.4</v>
      </c>
      <c r="R1367" s="2">
        <f t="shared" si="84"/>
        <v>6458</v>
      </c>
      <c r="S1367" s="1">
        <f t="shared" si="85"/>
        <v>9.8756747664123061</v>
      </c>
      <c r="T1367" t="str">
        <f t="shared" si="86"/>
        <v>Expert</v>
      </c>
      <c r="U1367" t="str">
        <f t="shared" si="87"/>
        <v>High Impact</v>
      </c>
    </row>
    <row r="1368" spans="1:21" x14ac:dyDescent="0.3">
      <c r="A1368" t="s">
        <v>1719</v>
      </c>
      <c r="B1368">
        <v>40</v>
      </c>
      <c r="C1368" t="s">
        <v>54</v>
      </c>
      <c r="D1368" t="s">
        <v>34</v>
      </c>
      <c r="E1368" t="s">
        <v>29</v>
      </c>
      <c r="F1368" t="s">
        <v>104</v>
      </c>
      <c r="G1368">
        <v>18</v>
      </c>
      <c r="H1368" t="s">
        <v>37</v>
      </c>
      <c r="I1368" t="s">
        <v>37</v>
      </c>
      <c r="J1368" t="s">
        <v>25</v>
      </c>
      <c r="K1368" s="2">
        <v>55538</v>
      </c>
      <c r="L1368" s="2">
        <v>55614</v>
      </c>
      <c r="M1368" t="s">
        <v>38</v>
      </c>
      <c r="N1368">
        <v>36</v>
      </c>
      <c r="O1368" t="s">
        <v>25</v>
      </c>
      <c r="P1368">
        <v>7</v>
      </c>
      <c r="Q1368" s="1">
        <v>-1.4</v>
      </c>
      <c r="R1368" s="2">
        <f t="shared" si="84"/>
        <v>76</v>
      </c>
      <c r="S1368" s="1">
        <f t="shared" si="85"/>
        <v>0.13684324246461882</v>
      </c>
      <c r="T1368" t="str">
        <f t="shared" si="86"/>
        <v>Expert</v>
      </c>
      <c r="U1368" t="str">
        <f t="shared" si="87"/>
        <v>Medium Impact</v>
      </c>
    </row>
    <row r="1369" spans="1:21" x14ac:dyDescent="0.3">
      <c r="A1369" t="s">
        <v>1894</v>
      </c>
      <c r="B1369">
        <v>33</v>
      </c>
      <c r="C1369" t="s">
        <v>18</v>
      </c>
      <c r="D1369" t="s">
        <v>19</v>
      </c>
      <c r="E1369" t="s">
        <v>51</v>
      </c>
      <c r="F1369" t="s">
        <v>52</v>
      </c>
      <c r="G1369">
        <v>9</v>
      </c>
      <c r="H1369" t="s">
        <v>22</v>
      </c>
      <c r="I1369" t="s">
        <v>37</v>
      </c>
      <c r="J1369" t="s">
        <v>25</v>
      </c>
      <c r="K1369" s="2">
        <v>61661</v>
      </c>
      <c r="L1369" s="2">
        <v>81082</v>
      </c>
      <c r="M1369" t="s">
        <v>38</v>
      </c>
      <c r="N1369">
        <v>52</v>
      </c>
      <c r="O1369" t="s">
        <v>23</v>
      </c>
      <c r="P1369">
        <v>6</v>
      </c>
      <c r="Q1369" s="1">
        <v>-1.41</v>
      </c>
      <c r="R1369" s="2">
        <f t="shared" si="84"/>
        <v>19421</v>
      </c>
      <c r="S1369" s="1">
        <f t="shared" si="85"/>
        <v>31.496407778012031</v>
      </c>
      <c r="T1369" t="str">
        <f t="shared" si="86"/>
        <v>Intermediate</v>
      </c>
      <c r="U1369" t="str">
        <f t="shared" si="87"/>
        <v>Medium Impact</v>
      </c>
    </row>
    <row r="1370" spans="1:21" x14ac:dyDescent="0.3">
      <c r="A1370" t="s">
        <v>581</v>
      </c>
      <c r="B1370">
        <v>54</v>
      </c>
      <c r="C1370" t="s">
        <v>54</v>
      </c>
      <c r="D1370" t="s">
        <v>19</v>
      </c>
      <c r="E1370" t="s">
        <v>41</v>
      </c>
      <c r="F1370" t="s">
        <v>42</v>
      </c>
      <c r="G1370">
        <v>32</v>
      </c>
      <c r="H1370" t="s">
        <v>37</v>
      </c>
      <c r="I1370" t="s">
        <v>22</v>
      </c>
      <c r="J1370" t="s">
        <v>23</v>
      </c>
      <c r="K1370" s="2">
        <v>40578</v>
      </c>
      <c r="L1370" s="2">
        <v>41749</v>
      </c>
      <c r="M1370" t="s">
        <v>32</v>
      </c>
      <c r="N1370">
        <v>50</v>
      </c>
      <c r="O1370" t="s">
        <v>23</v>
      </c>
      <c r="P1370">
        <v>8</v>
      </c>
      <c r="Q1370" s="1">
        <v>-1.47</v>
      </c>
      <c r="R1370" s="2">
        <f t="shared" si="84"/>
        <v>1171</v>
      </c>
      <c r="S1370" s="1">
        <f t="shared" si="85"/>
        <v>2.8858001872936074</v>
      </c>
      <c r="T1370" t="str">
        <f t="shared" si="86"/>
        <v>Expert</v>
      </c>
      <c r="U1370" t="str">
        <f t="shared" si="87"/>
        <v>Low Impact</v>
      </c>
    </row>
    <row r="1371" spans="1:21" x14ac:dyDescent="0.3">
      <c r="A1371" t="s">
        <v>1359</v>
      </c>
      <c r="B1371">
        <v>54</v>
      </c>
      <c r="C1371" t="s">
        <v>27</v>
      </c>
      <c r="D1371" t="s">
        <v>19</v>
      </c>
      <c r="E1371" t="s">
        <v>59</v>
      </c>
      <c r="F1371" t="s">
        <v>77</v>
      </c>
      <c r="G1371">
        <v>32</v>
      </c>
      <c r="H1371" t="s">
        <v>31</v>
      </c>
      <c r="I1371" t="s">
        <v>22</v>
      </c>
      <c r="J1371" t="s">
        <v>25</v>
      </c>
      <c r="K1371" s="2">
        <v>41036</v>
      </c>
      <c r="L1371" s="2">
        <v>41053</v>
      </c>
      <c r="M1371" t="s">
        <v>32</v>
      </c>
      <c r="N1371">
        <v>50</v>
      </c>
      <c r="O1371" t="s">
        <v>23</v>
      </c>
      <c r="P1371">
        <v>8</v>
      </c>
      <c r="Q1371" s="1">
        <v>-1.49</v>
      </c>
      <c r="R1371" s="2">
        <f t="shared" si="84"/>
        <v>17</v>
      </c>
      <c r="S1371" s="1">
        <f t="shared" si="85"/>
        <v>4.14270396724827E-2</v>
      </c>
      <c r="T1371" t="str">
        <f t="shared" si="86"/>
        <v>Expert</v>
      </c>
      <c r="U1371" t="str">
        <f t="shared" si="87"/>
        <v>Low Impact</v>
      </c>
    </row>
    <row r="1372" spans="1:21" x14ac:dyDescent="0.3">
      <c r="A1372" t="s">
        <v>474</v>
      </c>
      <c r="B1372">
        <v>57</v>
      </c>
      <c r="C1372" t="s">
        <v>54</v>
      </c>
      <c r="D1372" t="s">
        <v>34</v>
      </c>
      <c r="E1372" t="s">
        <v>44</v>
      </c>
      <c r="F1372" t="s">
        <v>45</v>
      </c>
      <c r="G1372">
        <v>33</v>
      </c>
      <c r="H1372" t="s">
        <v>37</v>
      </c>
      <c r="I1372" t="s">
        <v>31</v>
      </c>
      <c r="J1372" t="s">
        <v>23</v>
      </c>
      <c r="K1372" s="2">
        <v>66268</v>
      </c>
      <c r="L1372" s="2">
        <v>65115</v>
      </c>
      <c r="M1372" t="s">
        <v>32</v>
      </c>
      <c r="N1372">
        <v>46</v>
      </c>
      <c r="O1372" t="s">
        <v>23</v>
      </c>
      <c r="P1372">
        <v>4</v>
      </c>
      <c r="Q1372" s="1">
        <v>-1.62</v>
      </c>
      <c r="R1372" s="2">
        <f t="shared" si="84"/>
        <v>-1153</v>
      </c>
      <c r="S1372" s="1">
        <f t="shared" si="85"/>
        <v>-1.7399046296855194</v>
      </c>
      <c r="T1372" t="str">
        <f t="shared" si="86"/>
        <v>Expert</v>
      </c>
      <c r="U1372" t="str">
        <f t="shared" si="87"/>
        <v>Low Impact</v>
      </c>
    </row>
    <row r="1373" spans="1:21" x14ac:dyDescent="0.3">
      <c r="A1373" t="s">
        <v>504</v>
      </c>
      <c r="B1373">
        <v>35</v>
      </c>
      <c r="C1373" t="s">
        <v>54</v>
      </c>
      <c r="D1373" t="s">
        <v>19</v>
      </c>
      <c r="E1373" t="s">
        <v>44</v>
      </c>
      <c r="F1373" t="s">
        <v>47</v>
      </c>
      <c r="G1373">
        <v>10</v>
      </c>
      <c r="H1373" t="s">
        <v>37</v>
      </c>
      <c r="I1373" t="s">
        <v>37</v>
      </c>
      <c r="J1373" t="s">
        <v>23</v>
      </c>
      <c r="K1373" s="2">
        <v>38605</v>
      </c>
      <c r="L1373" s="2">
        <v>35028</v>
      </c>
      <c r="M1373" t="s">
        <v>38</v>
      </c>
      <c r="N1373">
        <v>42</v>
      </c>
      <c r="O1373" t="s">
        <v>25</v>
      </c>
      <c r="P1373">
        <v>5</v>
      </c>
      <c r="Q1373" s="1">
        <v>-1.63</v>
      </c>
      <c r="R1373" s="2">
        <f t="shared" si="84"/>
        <v>-3577</v>
      </c>
      <c r="S1373" s="1">
        <f t="shared" si="85"/>
        <v>-9.2656391659111517</v>
      </c>
      <c r="T1373" t="str">
        <f t="shared" si="86"/>
        <v>Intermediate</v>
      </c>
      <c r="U1373" t="str">
        <f t="shared" si="87"/>
        <v>Medium Impact</v>
      </c>
    </row>
    <row r="1374" spans="1:21" x14ac:dyDescent="0.3">
      <c r="A1374" t="s">
        <v>673</v>
      </c>
      <c r="B1374">
        <v>33</v>
      </c>
      <c r="C1374" t="s">
        <v>18</v>
      </c>
      <c r="D1374" t="s">
        <v>19</v>
      </c>
      <c r="E1374" t="s">
        <v>20</v>
      </c>
      <c r="F1374" t="s">
        <v>118</v>
      </c>
      <c r="G1374">
        <v>11</v>
      </c>
      <c r="H1374" t="s">
        <v>31</v>
      </c>
      <c r="I1374" t="s">
        <v>37</v>
      </c>
      <c r="J1374" t="s">
        <v>25</v>
      </c>
      <c r="K1374" s="2">
        <v>65903</v>
      </c>
      <c r="L1374" s="2">
        <v>71424</v>
      </c>
      <c r="M1374" t="s">
        <v>38</v>
      </c>
      <c r="N1374">
        <v>48</v>
      </c>
      <c r="O1374" t="s">
        <v>25</v>
      </c>
      <c r="P1374">
        <v>5</v>
      </c>
      <c r="Q1374" s="1">
        <v>-1.64</v>
      </c>
      <c r="R1374" s="2">
        <f t="shared" si="84"/>
        <v>5521</v>
      </c>
      <c r="S1374" s="1">
        <f t="shared" si="85"/>
        <v>8.3774638483832291</v>
      </c>
      <c r="T1374" t="str">
        <f t="shared" si="86"/>
        <v>Intermediate</v>
      </c>
      <c r="U1374" t="str">
        <f t="shared" si="87"/>
        <v>Medium Impact</v>
      </c>
    </row>
    <row r="1375" spans="1:21" x14ac:dyDescent="0.3">
      <c r="A1375" t="s">
        <v>788</v>
      </c>
      <c r="B1375">
        <v>24</v>
      </c>
      <c r="C1375" t="s">
        <v>18</v>
      </c>
      <c r="D1375" t="s">
        <v>28</v>
      </c>
      <c r="E1375" t="s">
        <v>35</v>
      </c>
      <c r="F1375" t="s">
        <v>98</v>
      </c>
      <c r="G1375">
        <v>2</v>
      </c>
      <c r="H1375" t="s">
        <v>37</v>
      </c>
      <c r="I1375" t="s">
        <v>22</v>
      </c>
      <c r="J1375" t="s">
        <v>23</v>
      </c>
      <c r="K1375" s="2">
        <v>115886</v>
      </c>
      <c r="L1375" s="2">
        <v>115663</v>
      </c>
      <c r="M1375" t="s">
        <v>32</v>
      </c>
      <c r="N1375">
        <v>51</v>
      </c>
      <c r="O1375" t="s">
        <v>23</v>
      </c>
      <c r="P1375">
        <v>4</v>
      </c>
      <c r="Q1375" s="1">
        <v>-1.66</v>
      </c>
      <c r="R1375" s="2">
        <f t="shared" si="84"/>
        <v>-223</v>
      </c>
      <c r="S1375" s="1">
        <f t="shared" si="85"/>
        <v>-0.19243049203527604</v>
      </c>
      <c r="T1375" t="str">
        <f t="shared" si="86"/>
        <v>Beginner</v>
      </c>
      <c r="U1375" t="str">
        <f t="shared" si="87"/>
        <v>Low Impact</v>
      </c>
    </row>
    <row r="1376" spans="1:21" x14ac:dyDescent="0.3">
      <c r="A1376" t="s">
        <v>395</v>
      </c>
      <c r="B1376">
        <v>41</v>
      </c>
      <c r="C1376" t="s">
        <v>18</v>
      </c>
      <c r="D1376" t="s">
        <v>34</v>
      </c>
      <c r="E1376" t="s">
        <v>51</v>
      </c>
      <c r="F1376" t="s">
        <v>75</v>
      </c>
      <c r="G1376">
        <v>17</v>
      </c>
      <c r="H1376" t="s">
        <v>37</v>
      </c>
      <c r="I1376" t="s">
        <v>37</v>
      </c>
      <c r="J1376" t="s">
        <v>23</v>
      </c>
      <c r="K1376" s="2">
        <v>66751</v>
      </c>
      <c r="L1376" s="2">
        <v>63057</v>
      </c>
      <c r="M1376" t="s">
        <v>38</v>
      </c>
      <c r="N1376">
        <v>53</v>
      </c>
      <c r="O1376" t="s">
        <v>25</v>
      </c>
      <c r="P1376">
        <v>7</v>
      </c>
      <c r="Q1376" s="1">
        <v>-1.66</v>
      </c>
      <c r="R1376" s="2">
        <f t="shared" si="84"/>
        <v>-3694</v>
      </c>
      <c r="S1376" s="1">
        <f t="shared" si="85"/>
        <v>-5.5339994906443346</v>
      </c>
      <c r="T1376" t="str">
        <f t="shared" si="86"/>
        <v>Expert</v>
      </c>
      <c r="U1376" t="str">
        <f t="shared" si="87"/>
        <v>Medium Impact</v>
      </c>
    </row>
    <row r="1377" spans="1:21" x14ac:dyDescent="0.3">
      <c r="A1377" t="s">
        <v>1627</v>
      </c>
      <c r="B1377">
        <v>40</v>
      </c>
      <c r="C1377" t="s">
        <v>54</v>
      </c>
      <c r="D1377" t="s">
        <v>28</v>
      </c>
      <c r="E1377" t="s">
        <v>44</v>
      </c>
      <c r="F1377" t="s">
        <v>47</v>
      </c>
      <c r="G1377">
        <v>16</v>
      </c>
      <c r="H1377" t="s">
        <v>31</v>
      </c>
      <c r="I1377" t="s">
        <v>22</v>
      </c>
      <c r="J1377" t="s">
        <v>23</v>
      </c>
      <c r="K1377" s="2">
        <v>47883</v>
      </c>
      <c r="L1377" s="2">
        <v>48972</v>
      </c>
      <c r="M1377" t="s">
        <v>32</v>
      </c>
      <c r="N1377">
        <v>44</v>
      </c>
      <c r="O1377" t="s">
        <v>23</v>
      </c>
      <c r="P1377">
        <v>5</v>
      </c>
      <c r="Q1377" s="1">
        <v>-1.67</v>
      </c>
      <c r="R1377" s="2">
        <f t="shared" si="84"/>
        <v>1089</v>
      </c>
      <c r="S1377" s="1">
        <f t="shared" si="85"/>
        <v>2.2742935906271535</v>
      </c>
      <c r="T1377" t="str">
        <f t="shared" si="86"/>
        <v>Expert</v>
      </c>
      <c r="U1377" t="str">
        <f t="shared" si="87"/>
        <v>Low Impact</v>
      </c>
    </row>
    <row r="1378" spans="1:21" x14ac:dyDescent="0.3">
      <c r="A1378" t="s">
        <v>1763</v>
      </c>
      <c r="B1378">
        <v>30</v>
      </c>
      <c r="C1378" t="s">
        <v>27</v>
      </c>
      <c r="D1378" t="s">
        <v>34</v>
      </c>
      <c r="E1378" t="s">
        <v>59</v>
      </c>
      <c r="F1378" t="s">
        <v>93</v>
      </c>
      <c r="G1378">
        <v>5</v>
      </c>
      <c r="H1378" t="s">
        <v>22</v>
      </c>
      <c r="I1378" t="s">
        <v>37</v>
      </c>
      <c r="J1378" t="s">
        <v>23</v>
      </c>
      <c r="K1378" s="2">
        <v>62963</v>
      </c>
      <c r="L1378" s="2">
        <v>66584</v>
      </c>
      <c r="M1378" t="s">
        <v>38</v>
      </c>
      <c r="N1378">
        <v>41</v>
      </c>
      <c r="O1378" t="s">
        <v>25</v>
      </c>
      <c r="P1378">
        <v>4</v>
      </c>
      <c r="Q1378" s="1">
        <v>-1.71</v>
      </c>
      <c r="R1378" s="2">
        <f t="shared" si="84"/>
        <v>3621</v>
      </c>
      <c r="S1378" s="1">
        <f t="shared" si="85"/>
        <v>5.7509966170608138</v>
      </c>
      <c r="T1378" t="str">
        <f t="shared" si="86"/>
        <v>Intermediate</v>
      </c>
      <c r="U1378" t="str">
        <f t="shared" si="87"/>
        <v>Medium Impact</v>
      </c>
    </row>
    <row r="1379" spans="1:21" x14ac:dyDescent="0.3">
      <c r="A1379" t="s">
        <v>1381</v>
      </c>
      <c r="B1379">
        <v>29</v>
      </c>
      <c r="C1379" t="s">
        <v>18</v>
      </c>
      <c r="D1379" t="s">
        <v>19</v>
      </c>
      <c r="E1379" t="s">
        <v>20</v>
      </c>
      <c r="F1379" t="s">
        <v>118</v>
      </c>
      <c r="G1379">
        <v>5</v>
      </c>
      <c r="H1379" t="s">
        <v>22</v>
      </c>
      <c r="I1379" t="s">
        <v>37</v>
      </c>
      <c r="J1379" t="s">
        <v>23</v>
      </c>
      <c r="K1379" s="2">
        <v>102728</v>
      </c>
      <c r="L1379" s="2">
        <v>127476</v>
      </c>
      <c r="M1379" t="s">
        <v>38</v>
      </c>
      <c r="N1379">
        <v>53</v>
      </c>
      <c r="O1379" t="s">
        <v>23</v>
      </c>
      <c r="P1379">
        <v>4</v>
      </c>
      <c r="Q1379" s="1">
        <v>-1.73</v>
      </c>
      <c r="R1379" s="2">
        <f t="shared" si="84"/>
        <v>24748</v>
      </c>
      <c r="S1379" s="1">
        <f t="shared" si="85"/>
        <v>24.090802896970644</v>
      </c>
      <c r="T1379" t="str">
        <f t="shared" si="86"/>
        <v>Intermediate</v>
      </c>
      <c r="U1379" t="str">
        <f t="shared" si="87"/>
        <v>Medium Impact</v>
      </c>
    </row>
    <row r="1380" spans="1:21" x14ac:dyDescent="0.3">
      <c r="A1380" t="s">
        <v>1225</v>
      </c>
      <c r="B1380">
        <v>22</v>
      </c>
      <c r="C1380" t="s">
        <v>54</v>
      </c>
      <c r="D1380" t="s">
        <v>28</v>
      </c>
      <c r="E1380" t="s">
        <v>51</v>
      </c>
      <c r="F1380" t="s">
        <v>130</v>
      </c>
      <c r="G1380">
        <v>0</v>
      </c>
      <c r="H1380" t="s">
        <v>37</v>
      </c>
      <c r="I1380" t="s">
        <v>22</v>
      </c>
      <c r="J1380" t="s">
        <v>23</v>
      </c>
      <c r="K1380" s="2">
        <v>118697</v>
      </c>
      <c r="L1380" s="2">
        <v>120447</v>
      </c>
      <c r="M1380" t="s">
        <v>32</v>
      </c>
      <c r="N1380">
        <v>41</v>
      </c>
      <c r="O1380" t="s">
        <v>23</v>
      </c>
      <c r="P1380">
        <v>9</v>
      </c>
      <c r="Q1380" s="1">
        <v>-1.73</v>
      </c>
      <c r="R1380" s="2">
        <f t="shared" si="84"/>
        <v>1750</v>
      </c>
      <c r="S1380" s="1">
        <f t="shared" si="85"/>
        <v>1.4743422327438773</v>
      </c>
      <c r="T1380" t="str">
        <f t="shared" si="86"/>
        <v>Beginner</v>
      </c>
      <c r="U1380" t="str">
        <f t="shared" si="87"/>
        <v>Low Impact</v>
      </c>
    </row>
    <row r="1381" spans="1:21" x14ac:dyDescent="0.3">
      <c r="A1381" t="s">
        <v>1949</v>
      </c>
      <c r="B1381">
        <v>38</v>
      </c>
      <c r="C1381" t="s">
        <v>18</v>
      </c>
      <c r="D1381" t="s">
        <v>19</v>
      </c>
      <c r="E1381" t="s">
        <v>41</v>
      </c>
      <c r="F1381" t="s">
        <v>49</v>
      </c>
      <c r="G1381">
        <v>13</v>
      </c>
      <c r="H1381" t="s">
        <v>31</v>
      </c>
      <c r="I1381" t="s">
        <v>37</v>
      </c>
      <c r="J1381" t="s">
        <v>23</v>
      </c>
      <c r="K1381" s="2">
        <v>86289</v>
      </c>
      <c r="L1381" s="2">
        <v>93755</v>
      </c>
      <c r="M1381" t="s">
        <v>38</v>
      </c>
      <c r="N1381">
        <v>53</v>
      </c>
      <c r="O1381" t="s">
        <v>23</v>
      </c>
      <c r="P1381">
        <v>7</v>
      </c>
      <c r="Q1381" s="1">
        <v>-1.75</v>
      </c>
      <c r="R1381" s="2">
        <f t="shared" si="84"/>
        <v>7466</v>
      </c>
      <c r="S1381" s="1">
        <f t="shared" si="85"/>
        <v>8.6523195308787901</v>
      </c>
      <c r="T1381" t="str">
        <f t="shared" si="86"/>
        <v>Intermediate</v>
      </c>
      <c r="U1381" t="str">
        <f t="shared" si="87"/>
        <v>Medium Impact</v>
      </c>
    </row>
    <row r="1382" spans="1:21" x14ac:dyDescent="0.3">
      <c r="A1382" t="s">
        <v>1476</v>
      </c>
      <c r="B1382">
        <v>31</v>
      </c>
      <c r="C1382" t="s">
        <v>18</v>
      </c>
      <c r="D1382" t="s">
        <v>40</v>
      </c>
      <c r="E1382" t="s">
        <v>29</v>
      </c>
      <c r="F1382" t="s">
        <v>30</v>
      </c>
      <c r="G1382">
        <v>9</v>
      </c>
      <c r="H1382" t="s">
        <v>31</v>
      </c>
      <c r="I1382" t="s">
        <v>31</v>
      </c>
      <c r="J1382" t="s">
        <v>23</v>
      </c>
      <c r="K1382" s="2">
        <v>37044</v>
      </c>
      <c r="L1382" s="2">
        <v>35315</v>
      </c>
      <c r="M1382" t="s">
        <v>32</v>
      </c>
      <c r="N1382">
        <v>49</v>
      </c>
      <c r="O1382" t="s">
        <v>25</v>
      </c>
      <c r="P1382">
        <v>3</v>
      </c>
      <c r="Q1382" s="1">
        <v>-1.78</v>
      </c>
      <c r="R1382" s="2">
        <f t="shared" si="84"/>
        <v>-1729</v>
      </c>
      <c r="S1382" s="1">
        <f t="shared" si="85"/>
        <v>-4.6674225245653815</v>
      </c>
      <c r="T1382" t="str">
        <f t="shared" si="86"/>
        <v>Intermediate</v>
      </c>
      <c r="U1382" t="str">
        <f t="shared" si="87"/>
        <v>Low Impact</v>
      </c>
    </row>
    <row r="1383" spans="1:21" x14ac:dyDescent="0.3">
      <c r="A1383" t="s">
        <v>1905</v>
      </c>
      <c r="B1383">
        <v>47</v>
      </c>
      <c r="C1383" t="s">
        <v>27</v>
      </c>
      <c r="D1383" t="s">
        <v>28</v>
      </c>
      <c r="E1383" t="s">
        <v>51</v>
      </c>
      <c r="F1383" t="s">
        <v>130</v>
      </c>
      <c r="G1383">
        <v>22</v>
      </c>
      <c r="H1383" t="s">
        <v>31</v>
      </c>
      <c r="I1383" t="s">
        <v>37</v>
      </c>
      <c r="J1383" t="s">
        <v>23</v>
      </c>
      <c r="K1383" s="2">
        <v>78398</v>
      </c>
      <c r="L1383" s="2">
        <v>79145</v>
      </c>
      <c r="M1383" t="s">
        <v>38</v>
      </c>
      <c r="N1383">
        <v>46</v>
      </c>
      <c r="O1383" t="s">
        <v>25</v>
      </c>
      <c r="P1383">
        <v>4</v>
      </c>
      <c r="Q1383" s="1">
        <v>-1.8</v>
      </c>
      <c r="R1383" s="2">
        <f t="shared" si="84"/>
        <v>747</v>
      </c>
      <c r="S1383" s="1">
        <f t="shared" si="85"/>
        <v>0.95283042934768747</v>
      </c>
      <c r="T1383" t="str">
        <f t="shared" si="86"/>
        <v>Expert</v>
      </c>
      <c r="U1383" t="str">
        <f t="shared" si="87"/>
        <v>Medium Impact</v>
      </c>
    </row>
    <row r="1384" spans="1:21" x14ac:dyDescent="0.3">
      <c r="A1384" t="s">
        <v>987</v>
      </c>
      <c r="B1384">
        <v>41</v>
      </c>
      <c r="C1384" t="s">
        <v>18</v>
      </c>
      <c r="D1384" t="s">
        <v>28</v>
      </c>
      <c r="E1384" t="s">
        <v>29</v>
      </c>
      <c r="F1384" t="s">
        <v>102</v>
      </c>
      <c r="G1384">
        <v>16</v>
      </c>
      <c r="H1384" t="s">
        <v>37</v>
      </c>
      <c r="I1384" t="s">
        <v>22</v>
      </c>
      <c r="J1384" t="s">
        <v>23</v>
      </c>
      <c r="K1384" s="2">
        <v>57307</v>
      </c>
      <c r="L1384" s="2">
        <v>53071</v>
      </c>
      <c r="M1384" t="s">
        <v>32</v>
      </c>
      <c r="N1384">
        <v>50</v>
      </c>
      <c r="O1384" t="s">
        <v>23</v>
      </c>
      <c r="P1384">
        <v>9</v>
      </c>
      <c r="Q1384" s="1">
        <v>-1.81</v>
      </c>
      <c r="R1384" s="2">
        <f t="shared" si="84"/>
        <v>-4236</v>
      </c>
      <c r="S1384" s="1">
        <f t="shared" si="85"/>
        <v>-7.3917671488648864</v>
      </c>
      <c r="T1384" t="str">
        <f t="shared" si="86"/>
        <v>Expert</v>
      </c>
      <c r="U1384" t="str">
        <f t="shared" si="87"/>
        <v>Low Impact</v>
      </c>
    </row>
    <row r="1385" spans="1:21" x14ac:dyDescent="0.3">
      <c r="A1385" t="s">
        <v>838</v>
      </c>
      <c r="B1385">
        <v>46</v>
      </c>
      <c r="C1385" t="s">
        <v>27</v>
      </c>
      <c r="D1385" t="s">
        <v>19</v>
      </c>
      <c r="E1385" t="s">
        <v>20</v>
      </c>
      <c r="F1385" t="s">
        <v>21</v>
      </c>
      <c r="G1385">
        <v>24</v>
      </c>
      <c r="H1385" t="s">
        <v>31</v>
      </c>
      <c r="I1385" t="s">
        <v>31</v>
      </c>
      <c r="J1385" t="s">
        <v>25</v>
      </c>
      <c r="K1385" s="2">
        <v>40304</v>
      </c>
      <c r="L1385" s="2">
        <v>40431</v>
      </c>
      <c r="M1385" t="s">
        <v>32</v>
      </c>
      <c r="N1385">
        <v>45</v>
      </c>
      <c r="O1385" t="s">
        <v>25</v>
      </c>
      <c r="P1385">
        <v>5</v>
      </c>
      <c r="Q1385" s="1">
        <v>-1.83</v>
      </c>
      <c r="R1385" s="2">
        <f t="shared" si="84"/>
        <v>127</v>
      </c>
      <c r="S1385" s="1">
        <f t="shared" si="85"/>
        <v>0.31510520047637952</v>
      </c>
      <c r="T1385" t="str">
        <f t="shared" si="86"/>
        <v>Expert</v>
      </c>
      <c r="U1385" t="str">
        <f t="shared" si="87"/>
        <v>Low Impact</v>
      </c>
    </row>
    <row r="1386" spans="1:21" x14ac:dyDescent="0.3">
      <c r="A1386" t="s">
        <v>1592</v>
      </c>
      <c r="B1386">
        <v>57</v>
      </c>
      <c r="C1386" t="s">
        <v>27</v>
      </c>
      <c r="D1386" t="s">
        <v>40</v>
      </c>
      <c r="E1386" t="s">
        <v>35</v>
      </c>
      <c r="F1386" t="s">
        <v>132</v>
      </c>
      <c r="G1386">
        <v>33</v>
      </c>
      <c r="H1386" t="s">
        <v>31</v>
      </c>
      <c r="I1386" t="s">
        <v>22</v>
      </c>
      <c r="J1386" t="s">
        <v>25</v>
      </c>
      <c r="K1386" s="2">
        <v>79116</v>
      </c>
      <c r="L1386" s="2">
        <v>82604</v>
      </c>
      <c r="M1386" t="s">
        <v>32</v>
      </c>
      <c r="N1386">
        <v>42</v>
      </c>
      <c r="O1386" t="s">
        <v>23</v>
      </c>
      <c r="P1386">
        <v>9</v>
      </c>
      <c r="Q1386" s="1">
        <v>-1.91</v>
      </c>
      <c r="R1386" s="2">
        <f t="shared" si="84"/>
        <v>3488</v>
      </c>
      <c r="S1386" s="1">
        <f t="shared" si="85"/>
        <v>4.4087163152838871</v>
      </c>
      <c r="T1386" t="str">
        <f t="shared" si="86"/>
        <v>Expert</v>
      </c>
      <c r="U1386" t="str">
        <f t="shared" si="87"/>
        <v>Low Impact</v>
      </c>
    </row>
    <row r="1387" spans="1:21" x14ac:dyDescent="0.3">
      <c r="A1387" t="s">
        <v>924</v>
      </c>
      <c r="B1387">
        <v>47</v>
      </c>
      <c r="C1387" t="s">
        <v>27</v>
      </c>
      <c r="D1387" t="s">
        <v>28</v>
      </c>
      <c r="E1387" t="s">
        <v>20</v>
      </c>
      <c r="F1387" t="s">
        <v>118</v>
      </c>
      <c r="G1387">
        <v>23</v>
      </c>
      <c r="H1387" t="s">
        <v>31</v>
      </c>
      <c r="I1387" t="s">
        <v>22</v>
      </c>
      <c r="J1387" t="s">
        <v>23</v>
      </c>
      <c r="K1387" s="2">
        <v>79549</v>
      </c>
      <c r="L1387" s="2">
        <v>85184</v>
      </c>
      <c r="M1387" t="s">
        <v>32</v>
      </c>
      <c r="N1387">
        <v>46</v>
      </c>
      <c r="O1387" t="s">
        <v>23</v>
      </c>
      <c r="P1387">
        <v>3</v>
      </c>
      <c r="Q1387" s="1">
        <v>-2.02</v>
      </c>
      <c r="R1387" s="2">
        <f t="shared" si="84"/>
        <v>5635</v>
      </c>
      <c r="S1387" s="1">
        <f t="shared" si="85"/>
        <v>7.083684270072534</v>
      </c>
      <c r="T1387" t="str">
        <f t="shared" si="86"/>
        <v>Expert</v>
      </c>
      <c r="U1387" t="str">
        <f t="shared" si="87"/>
        <v>Low Impact</v>
      </c>
    </row>
    <row r="1388" spans="1:21" x14ac:dyDescent="0.3">
      <c r="A1388" t="s">
        <v>1065</v>
      </c>
      <c r="B1388">
        <v>46</v>
      </c>
      <c r="C1388" t="s">
        <v>18</v>
      </c>
      <c r="D1388" t="s">
        <v>34</v>
      </c>
      <c r="E1388" t="s">
        <v>29</v>
      </c>
      <c r="F1388" t="s">
        <v>104</v>
      </c>
      <c r="G1388">
        <v>23</v>
      </c>
      <c r="H1388" t="s">
        <v>22</v>
      </c>
      <c r="I1388" t="s">
        <v>37</v>
      </c>
      <c r="J1388" t="s">
        <v>23</v>
      </c>
      <c r="K1388" s="2">
        <v>93644</v>
      </c>
      <c r="L1388" s="2">
        <v>113153</v>
      </c>
      <c r="M1388" t="s">
        <v>38</v>
      </c>
      <c r="N1388">
        <v>52</v>
      </c>
      <c r="O1388" t="s">
        <v>23</v>
      </c>
      <c r="P1388">
        <v>3</v>
      </c>
      <c r="Q1388" s="1">
        <v>-2.0299999999999998</v>
      </c>
      <c r="R1388" s="2">
        <f t="shared" si="84"/>
        <v>19509</v>
      </c>
      <c r="S1388" s="1">
        <f t="shared" si="85"/>
        <v>20.833155354320617</v>
      </c>
      <c r="T1388" t="str">
        <f t="shared" si="86"/>
        <v>Expert</v>
      </c>
      <c r="U1388" t="str">
        <f t="shared" si="87"/>
        <v>Medium Impact</v>
      </c>
    </row>
    <row r="1389" spans="1:21" x14ac:dyDescent="0.3">
      <c r="A1389" t="s">
        <v>875</v>
      </c>
      <c r="B1389">
        <v>29</v>
      </c>
      <c r="C1389" t="s">
        <v>18</v>
      </c>
      <c r="D1389" t="s">
        <v>28</v>
      </c>
      <c r="E1389" t="s">
        <v>41</v>
      </c>
      <c r="F1389" t="s">
        <v>49</v>
      </c>
      <c r="G1389">
        <v>5</v>
      </c>
      <c r="H1389" t="s">
        <v>31</v>
      </c>
      <c r="I1389" t="s">
        <v>31</v>
      </c>
      <c r="J1389" t="s">
        <v>25</v>
      </c>
      <c r="K1389" s="2">
        <v>116717</v>
      </c>
      <c r="L1389" s="2">
        <v>127374</v>
      </c>
      <c r="M1389" t="s">
        <v>32</v>
      </c>
      <c r="N1389">
        <v>42</v>
      </c>
      <c r="O1389" t="s">
        <v>23</v>
      </c>
      <c r="P1389">
        <v>7</v>
      </c>
      <c r="Q1389" s="1">
        <v>-2.1</v>
      </c>
      <c r="R1389" s="2">
        <f t="shared" si="84"/>
        <v>10657</v>
      </c>
      <c r="S1389" s="1">
        <f t="shared" si="85"/>
        <v>9.1306322129595525</v>
      </c>
      <c r="T1389" t="str">
        <f t="shared" si="86"/>
        <v>Intermediate</v>
      </c>
      <c r="U1389" t="str">
        <f t="shared" si="87"/>
        <v>Low Impact</v>
      </c>
    </row>
    <row r="1390" spans="1:21" x14ac:dyDescent="0.3">
      <c r="A1390" t="s">
        <v>2011</v>
      </c>
      <c r="B1390">
        <v>59</v>
      </c>
      <c r="C1390" t="s">
        <v>27</v>
      </c>
      <c r="D1390" t="s">
        <v>40</v>
      </c>
      <c r="E1390" t="s">
        <v>41</v>
      </c>
      <c r="F1390" t="s">
        <v>55</v>
      </c>
      <c r="G1390">
        <v>33</v>
      </c>
      <c r="H1390" t="s">
        <v>37</v>
      </c>
      <c r="I1390" t="s">
        <v>37</v>
      </c>
      <c r="J1390" t="s">
        <v>23</v>
      </c>
      <c r="K1390" s="2">
        <v>114590</v>
      </c>
      <c r="L1390" s="2">
        <v>116671</v>
      </c>
      <c r="M1390" t="s">
        <v>38</v>
      </c>
      <c r="N1390">
        <v>35</v>
      </c>
      <c r="O1390" t="s">
        <v>23</v>
      </c>
      <c r="P1390">
        <v>9</v>
      </c>
      <c r="Q1390" s="1">
        <v>-2.1</v>
      </c>
      <c r="R1390" s="2">
        <f t="shared" si="84"/>
        <v>2081</v>
      </c>
      <c r="S1390" s="1">
        <f t="shared" si="85"/>
        <v>1.8160397940483464</v>
      </c>
      <c r="T1390" t="str">
        <f t="shared" si="86"/>
        <v>Expert</v>
      </c>
      <c r="U1390" t="str">
        <f t="shared" si="87"/>
        <v>Medium Impact</v>
      </c>
    </row>
    <row r="1391" spans="1:21" x14ac:dyDescent="0.3">
      <c r="A1391" t="s">
        <v>1604</v>
      </c>
      <c r="B1391">
        <v>25</v>
      </c>
      <c r="C1391" t="s">
        <v>18</v>
      </c>
      <c r="D1391" t="s">
        <v>19</v>
      </c>
      <c r="E1391" t="s">
        <v>44</v>
      </c>
      <c r="F1391" t="s">
        <v>45</v>
      </c>
      <c r="G1391">
        <v>2</v>
      </c>
      <c r="H1391" t="s">
        <v>22</v>
      </c>
      <c r="I1391" t="s">
        <v>31</v>
      </c>
      <c r="J1391" t="s">
        <v>25</v>
      </c>
      <c r="K1391" s="2">
        <v>38798</v>
      </c>
      <c r="L1391" s="2">
        <v>50797</v>
      </c>
      <c r="M1391" t="s">
        <v>32</v>
      </c>
      <c r="N1391">
        <v>54</v>
      </c>
      <c r="O1391" t="s">
        <v>23</v>
      </c>
      <c r="P1391">
        <v>3</v>
      </c>
      <c r="Q1391" s="1">
        <v>-2.11</v>
      </c>
      <c r="R1391" s="2">
        <f t="shared" si="84"/>
        <v>11999</v>
      </c>
      <c r="S1391" s="1">
        <f t="shared" si="85"/>
        <v>30.926851899582452</v>
      </c>
      <c r="T1391" t="str">
        <f t="shared" si="86"/>
        <v>Beginner</v>
      </c>
      <c r="U1391" t="str">
        <f t="shared" si="87"/>
        <v>Low Impact</v>
      </c>
    </row>
    <row r="1392" spans="1:21" x14ac:dyDescent="0.3">
      <c r="A1392" t="s">
        <v>1271</v>
      </c>
      <c r="B1392">
        <v>54</v>
      </c>
      <c r="C1392" t="s">
        <v>27</v>
      </c>
      <c r="D1392" t="s">
        <v>40</v>
      </c>
      <c r="E1392" t="s">
        <v>51</v>
      </c>
      <c r="F1392" t="s">
        <v>52</v>
      </c>
      <c r="G1392">
        <v>30</v>
      </c>
      <c r="H1392" t="s">
        <v>22</v>
      </c>
      <c r="I1392" t="s">
        <v>22</v>
      </c>
      <c r="J1392" t="s">
        <v>23</v>
      </c>
      <c r="K1392" s="2">
        <v>41595</v>
      </c>
      <c r="L1392" s="2">
        <v>49301</v>
      </c>
      <c r="M1392" t="s">
        <v>38</v>
      </c>
      <c r="N1392">
        <v>48</v>
      </c>
      <c r="O1392" t="s">
        <v>25</v>
      </c>
      <c r="P1392">
        <v>8</v>
      </c>
      <c r="Q1392" s="1">
        <v>-2.11</v>
      </c>
      <c r="R1392" s="2">
        <f t="shared" si="84"/>
        <v>7706</v>
      </c>
      <c r="S1392" s="1">
        <f t="shared" si="85"/>
        <v>18.526265176102896</v>
      </c>
      <c r="T1392" t="str">
        <f t="shared" si="86"/>
        <v>Expert</v>
      </c>
      <c r="U1392" t="str">
        <f t="shared" si="87"/>
        <v>Medium Impact</v>
      </c>
    </row>
    <row r="1393" spans="1:21" x14ac:dyDescent="0.3">
      <c r="A1393" t="s">
        <v>825</v>
      </c>
      <c r="B1393">
        <v>31</v>
      </c>
      <c r="C1393" t="s">
        <v>27</v>
      </c>
      <c r="D1393" t="s">
        <v>34</v>
      </c>
      <c r="E1393" t="s">
        <v>20</v>
      </c>
      <c r="F1393" t="s">
        <v>118</v>
      </c>
      <c r="G1393">
        <v>7</v>
      </c>
      <c r="H1393" t="s">
        <v>22</v>
      </c>
      <c r="I1393" t="s">
        <v>37</v>
      </c>
      <c r="J1393" t="s">
        <v>23</v>
      </c>
      <c r="K1393" s="2">
        <v>80383</v>
      </c>
      <c r="L1393" s="2">
        <v>104923</v>
      </c>
      <c r="M1393" t="s">
        <v>38</v>
      </c>
      <c r="N1393">
        <v>52</v>
      </c>
      <c r="O1393" t="s">
        <v>25</v>
      </c>
      <c r="P1393">
        <v>6</v>
      </c>
      <c r="Q1393" s="1">
        <v>-2.2000000000000002</v>
      </c>
      <c r="R1393" s="2">
        <f t="shared" si="84"/>
        <v>24540</v>
      </c>
      <c r="S1393" s="1">
        <f t="shared" si="85"/>
        <v>30.528843163355436</v>
      </c>
      <c r="T1393" t="str">
        <f t="shared" si="86"/>
        <v>Intermediate</v>
      </c>
      <c r="U1393" t="str">
        <f t="shared" si="87"/>
        <v>Medium Impact</v>
      </c>
    </row>
    <row r="1394" spans="1:21" x14ac:dyDescent="0.3">
      <c r="A1394" t="s">
        <v>2010</v>
      </c>
      <c r="B1394">
        <v>47</v>
      </c>
      <c r="C1394" t="s">
        <v>27</v>
      </c>
      <c r="D1394" t="s">
        <v>34</v>
      </c>
      <c r="E1394" t="s">
        <v>41</v>
      </c>
      <c r="F1394" t="s">
        <v>49</v>
      </c>
      <c r="G1394">
        <v>22</v>
      </c>
      <c r="H1394" t="s">
        <v>31</v>
      </c>
      <c r="I1394" t="s">
        <v>31</v>
      </c>
      <c r="J1394" t="s">
        <v>25</v>
      </c>
      <c r="K1394" s="2">
        <v>92151</v>
      </c>
      <c r="L1394" s="2">
        <v>91291</v>
      </c>
      <c r="M1394" t="s">
        <v>32</v>
      </c>
      <c r="N1394">
        <v>42</v>
      </c>
      <c r="O1394" t="s">
        <v>23</v>
      </c>
      <c r="P1394">
        <v>5</v>
      </c>
      <c r="Q1394" s="1">
        <v>-2.2000000000000002</v>
      </c>
      <c r="R1394" s="2">
        <f t="shared" si="84"/>
        <v>-860</v>
      </c>
      <c r="S1394" s="1">
        <f t="shared" si="85"/>
        <v>-0.93325086000151913</v>
      </c>
      <c r="T1394" t="str">
        <f t="shared" si="86"/>
        <v>Expert</v>
      </c>
      <c r="U1394" t="str">
        <f t="shared" si="87"/>
        <v>Low Impact</v>
      </c>
    </row>
    <row r="1395" spans="1:21" x14ac:dyDescent="0.3">
      <c r="A1395" t="s">
        <v>573</v>
      </c>
      <c r="B1395">
        <v>43</v>
      </c>
      <c r="C1395" t="s">
        <v>54</v>
      </c>
      <c r="D1395" t="s">
        <v>19</v>
      </c>
      <c r="E1395" t="s">
        <v>29</v>
      </c>
      <c r="F1395" t="s">
        <v>102</v>
      </c>
      <c r="G1395">
        <v>21</v>
      </c>
      <c r="H1395" t="s">
        <v>31</v>
      </c>
      <c r="I1395" t="s">
        <v>31</v>
      </c>
      <c r="J1395" t="s">
        <v>25</v>
      </c>
      <c r="K1395" s="2">
        <v>98368</v>
      </c>
      <c r="L1395" s="2">
        <v>102325</v>
      </c>
      <c r="M1395" t="s">
        <v>32</v>
      </c>
      <c r="N1395">
        <v>39</v>
      </c>
      <c r="O1395" t="s">
        <v>23</v>
      </c>
      <c r="P1395">
        <v>8</v>
      </c>
      <c r="Q1395" s="1">
        <v>-2.21</v>
      </c>
      <c r="R1395" s="2">
        <f t="shared" si="84"/>
        <v>3957</v>
      </c>
      <c r="S1395" s="1">
        <f t="shared" si="85"/>
        <v>4.0226496421600517</v>
      </c>
      <c r="T1395" t="str">
        <f t="shared" si="86"/>
        <v>Expert</v>
      </c>
      <c r="U1395" t="str">
        <f t="shared" si="87"/>
        <v>Low Impact</v>
      </c>
    </row>
    <row r="1396" spans="1:21" x14ac:dyDescent="0.3">
      <c r="A1396" t="s">
        <v>1709</v>
      </c>
      <c r="B1396">
        <v>28</v>
      </c>
      <c r="C1396" t="s">
        <v>27</v>
      </c>
      <c r="D1396" t="s">
        <v>28</v>
      </c>
      <c r="E1396" t="s">
        <v>20</v>
      </c>
      <c r="F1396" t="s">
        <v>118</v>
      </c>
      <c r="G1396">
        <v>3</v>
      </c>
      <c r="H1396" t="s">
        <v>22</v>
      </c>
      <c r="I1396" t="s">
        <v>37</v>
      </c>
      <c r="J1396" t="s">
        <v>23</v>
      </c>
      <c r="K1396" s="2">
        <v>84567</v>
      </c>
      <c r="L1396" s="2">
        <v>100008</v>
      </c>
      <c r="M1396" t="s">
        <v>38</v>
      </c>
      <c r="N1396">
        <v>49</v>
      </c>
      <c r="O1396" t="s">
        <v>23</v>
      </c>
      <c r="P1396">
        <v>7</v>
      </c>
      <c r="Q1396" s="1">
        <v>-2.2400000000000002</v>
      </c>
      <c r="R1396" s="2">
        <f t="shared" si="84"/>
        <v>15441</v>
      </c>
      <c r="S1396" s="1">
        <f t="shared" si="85"/>
        <v>18.258895313774875</v>
      </c>
      <c r="T1396" t="str">
        <f t="shared" si="86"/>
        <v>Beginner</v>
      </c>
      <c r="U1396" t="str">
        <f t="shared" si="87"/>
        <v>Medium Impact</v>
      </c>
    </row>
    <row r="1397" spans="1:21" x14ac:dyDescent="0.3">
      <c r="A1397" t="s">
        <v>2024</v>
      </c>
      <c r="B1397">
        <v>25</v>
      </c>
      <c r="C1397" t="s">
        <v>18</v>
      </c>
      <c r="D1397" t="s">
        <v>40</v>
      </c>
      <c r="E1397" t="s">
        <v>44</v>
      </c>
      <c r="F1397" t="s">
        <v>57</v>
      </c>
      <c r="G1397">
        <v>0</v>
      </c>
      <c r="H1397" t="s">
        <v>22</v>
      </c>
      <c r="I1397" t="s">
        <v>22</v>
      </c>
      <c r="J1397" t="s">
        <v>25</v>
      </c>
      <c r="K1397" s="2">
        <v>51695</v>
      </c>
      <c r="L1397" s="2">
        <v>50114</v>
      </c>
      <c r="M1397" t="s">
        <v>24</v>
      </c>
      <c r="N1397">
        <v>51</v>
      </c>
      <c r="O1397" t="s">
        <v>25</v>
      </c>
      <c r="P1397">
        <v>6</v>
      </c>
      <c r="Q1397" s="1">
        <v>-2.2599999999999998</v>
      </c>
      <c r="R1397" s="2">
        <f t="shared" si="84"/>
        <v>-1581</v>
      </c>
      <c r="S1397" s="1">
        <f t="shared" si="85"/>
        <v>-3.0583228552084343</v>
      </c>
      <c r="T1397" t="str">
        <f t="shared" si="86"/>
        <v>Beginner</v>
      </c>
      <c r="U1397" t="str">
        <f t="shared" si="87"/>
        <v>High Impact</v>
      </c>
    </row>
    <row r="1398" spans="1:21" x14ac:dyDescent="0.3">
      <c r="A1398" t="s">
        <v>562</v>
      </c>
      <c r="B1398">
        <v>36</v>
      </c>
      <c r="C1398" t="s">
        <v>18</v>
      </c>
      <c r="D1398" t="s">
        <v>19</v>
      </c>
      <c r="E1398" t="s">
        <v>51</v>
      </c>
      <c r="F1398" t="s">
        <v>75</v>
      </c>
      <c r="G1398">
        <v>13</v>
      </c>
      <c r="H1398" t="s">
        <v>22</v>
      </c>
      <c r="I1398" t="s">
        <v>31</v>
      </c>
      <c r="J1398" t="s">
        <v>25</v>
      </c>
      <c r="K1398" s="2">
        <v>50700</v>
      </c>
      <c r="L1398" s="2">
        <v>48326</v>
      </c>
      <c r="M1398" t="s">
        <v>32</v>
      </c>
      <c r="N1398">
        <v>50</v>
      </c>
      <c r="O1398" t="s">
        <v>23</v>
      </c>
      <c r="P1398">
        <v>9</v>
      </c>
      <c r="Q1398" s="1">
        <v>-2.2599999999999998</v>
      </c>
      <c r="R1398" s="2">
        <f t="shared" si="84"/>
        <v>-2374</v>
      </c>
      <c r="S1398" s="1">
        <f t="shared" si="85"/>
        <v>-4.6824457593688358</v>
      </c>
      <c r="T1398" t="str">
        <f t="shared" si="86"/>
        <v>Intermediate</v>
      </c>
      <c r="U1398" t="str">
        <f t="shared" si="87"/>
        <v>Low Impact</v>
      </c>
    </row>
    <row r="1399" spans="1:21" x14ac:dyDescent="0.3">
      <c r="A1399" t="s">
        <v>1870</v>
      </c>
      <c r="B1399">
        <v>41</v>
      </c>
      <c r="C1399" t="s">
        <v>27</v>
      </c>
      <c r="D1399" t="s">
        <v>19</v>
      </c>
      <c r="E1399" t="s">
        <v>41</v>
      </c>
      <c r="F1399" t="s">
        <v>42</v>
      </c>
      <c r="G1399">
        <v>15</v>
      </c>
      <c r="H1399" t="s">
        <v>37</v>
      </c>
      <c r="I1399" t="s">
        <v>37</v>
      </c>
      <c r="J1399" t="s">
        <v>25</v>
      </c>
      <c r="K1399" s="2">
        <v>85916</v>
      </c>
      <c r="L1399" s="2">
        <v>79191</v>
      </c>
      <c r="M1399" t="s">
        <v>38</v>
      </c>
      <c r="N1399">
        <v>38</v>
      </c>
      <c r="O1399" t="s">
        <v>25</v>
      </c>
      <c r="P1399">
        <v>6</v>
      </c>
      <c r="Q1399" s="1">
        <v>-2.2799999999999998</v>
      </c>
      <c r="R1399" s="2">
        <f t="shared" si="84"/>
        <v>-6725</v>
      </c>
      <c r="S1399" s="1">
        <f t="shared" si="85"/>
        <v>-7.8274128218259698</v>
      </c>
      <c r="T1399" t="str">
        <f t="shared" si="86"/>
        <v>Expert</v>
      </c>
      <c r="U1399" t="str">
        <f t="shared" si="87"/>
        <v>Medium Impact</v>
      </c>
    </row>
    <row r="1400" spans="1:21" x14ac:dyDescent="0.3">
      <c r="A1400" t="s">
        <v>971</v>
      </c>
      <c r="B1400">
        <v>36</v>
      </c>
      <c r="C1400" t="s">
        <v>54</v>
      </c>
      <c r="D1400" t="s">
        <v>19</v>
      </c>
      <c r="E1400" t="s">
        <v>59</v>
      </c>
      <c r="F1400" t="s">
        <v>60</v>
      </c>
      <c r="G1400">
        <v>12</v>
      </c>
      <c r="H1400" t="s">
        <v>37</v>
      </c>
      <c r="I1400" t="s">
        <v>22</v>
      </c>
      <c r="J1400" t="s">
        <v>25</v>
      </c>
      <c r="K1400" s="2">
        <v>70387</v>
      </c>
      <c r="L1400" s="2">
        <v>83173</v>
      </c>
      <c r="M1400" t="s">
        <v>32</v>
      </c>
      <c r="N1400">
        <v>38</v>
      </c>
      <c r="O1400" t="s">
        <v>25</v>
      </c>
      <c r="P1400">
        <v>5</v>
      </c>
      <c r="Q1400" s="1">
        <v>-2.2999999999999998</v>
      </c>
      <c r="R1400" s="2">
        <f t="shared" si="84"/>
        <v>12786</v>
      </c>
      <c r="S1400" s="1">
        <f t="shared" si="85"/>
        <v>18.165286203418248</v>
      </c>
      <c r="T1400" t="str">
        <f t="shared" si="86"/>
        <v>Intermediate</v>
      </c>
      <c r="U1400" t="str">
        <f t="shared" si="87"/>
        <v>Low Impact</v>
      </c>
    </row>
    <row r="1401" spans="1:21" x14ac:dyDescent="0.3">
      <c r="A1401" t="s">
        <v>1881</v>
      </c>
      <c r="B1401">
        <v>40</v>
      </c>
      <c r="C1401" t="s">
        <v>27</v>
      </c>
      <c r="D1401" t="s">
        <v>19</v>
      </c>
      <c r="E1401" t="s">
        <v>51</v>
      </c>
      <c r="F1401" t="s">
        <v>52</v>
      </c>
      <c r="G1401">
        <v>16</v>
      </c>
      <c r="H1401" t="s">
        <v>37</v>
      </c>
      <c r="I1401" t="s">
        <v>37</v>
      </c>
      <c r="J1401" t="s">
        <v>25</v>
      </c>
      <c r="K1401" s="2">
        <v>68197</v>
      </c>
      <c r="L1401" s="2">
        <v>70285</v>
      </c>
      <c r="M1401" t="s">
        <v>38</v>
      </c>
      <c r="N1401">
        <v>53</v>
      </c>
      <c r="O1401" t="s">
        <v>25</v>
      </c>
      <c r="P1401">
        <v>5</v>
      </c>
      <c r="Q1401" s="1">
        <v>-2.3199999999999998</v>
      </c>
      <c r="R1401" s="2">
        <f t="shared" si="84"/>
        <v>2088</v>
      </c>
      <c r="S1401" s="1">
        <f t="shared" si="85"/>
        <v>3.0617182574013522</v>
      </c>
      <c r="T1401" t="str">
        <f t="shared" si="86"/>
        <v>Expert</v>
      </c>
      <c r="U1401" t="str">
        <f t="shared" si="87"/>
        <v>Medium Impact</v>
      </c>
    </row>
    <row r="1402" spans="1:21" x14ac:dyDescent="0.3">
      <c r="A1402" t="s">
        <v>96</v>
      </c>
      <c r="B1402">
        <v>52</v>
      </c>
      <c r="C1402" t="s">
        <v>27</v>
      </c>
      <c r="D1402" t="s">
        <v>28</v>
      </c>
      <c r="E1402" t="s">
        <v>41</v>
      </c>
      <c r="F1402" t="s">
        <v>55</v>
      </c>
      <c r="G1402">
        <v>28</v>
      </c>
      <c r="H1402" t="s">
        <v>22</v>
      </c>
      <c r="I1402" t="s">
        <v>31</v>
      </c>
      <c r="J1402" t="s">
        <v>25</v>
      </c>
      <c r="K1402" s="2">
        <v>96235</v>
      </c>
      <c r="L1402" s="2">
        <v>126241</v>
      </c>
      <c r="M1402" t="s">
        <v>32</v>
      </c>
      <c r="N1402">
        <v>35</v>
      </c>
      <c r="O1402" t="s">
        <v>25</v>
      </c>
      <c r="P1402">
        <v>5</v>
      </c>
      <c r="Q1402" s="1">
        <v>-2.33</v>
      </c>
      <c r="R1402" s="2">
        <f t="shared" si="84"/>
        <v>30006</v>
      </c>
      <c r="S1402" s="1">
        <f t="shared" si="85"/>
        <v>31.179924144022447</v>
      </c>
      <c r="T1402" t="str">
        <f t="shared" si="86"/>
        <v>Expert</v>
      </c>
      <c r="U1402" t="str">
        <f t="shared" si="87"/>
        <v>Low Impact</v>
      </c>
    </row>
    <row r="1403" spans="1:21" x14ac:dyDescent="0.3">
      <c r="A1403" t="s">
        <v>1591</v>
      </c>
      <c r="B1403">
        <v>28</v>
      </c>
      <c r="C1403" t="s">
        <v>54</v>
      </c>
      <c r="D1403" t="s">
        <v>19</v>
      </c>
      <c r="E1403" t="s">
        <v>51</v>
      </c>
      <c r="F1403" t="s">
        <v>75</v>
      </c>
      <c r="G1403">
        <v>4</v>
      </c>
      <c r="H1403" t="s">
        <v>22</v>
      </c>
      <c r="I1403" t="s">
        <v>37</v>
      </c>
      <c r="J1403" t="s">
        <v>23</v>
      </c>
      <c r="K1403" s="2">
        <v>88445</v>
      </c>
      <c r="L1403" s="2">
        <v>103672</v>
      </c>
      <c r="M1403" t="s">
        <v>38</v>
      </c>
      <c r="N1403">
        <v>54</v>
      </c>
      <c r="O1403" t="s">
        <v>25</v>
      </c>
      <c r="P1403">
        <v>7</v>
      </c>
      <c r="Q1403" s="1">
        <v>-2.34</v>
      </c>
      <c r="R1403" s="2">
        <f t="shared" si="84"/>
        <v>15227</v>
      </c>
      <c r="S1403" s="1">
        <f t="shared" si="85"/>
        <v>17.216349143535531</v>
      </c>
      <c r="T1403" t="str">
        <f t="shared" si="86"/>
        <v>Beginner</v>
      </c>
      <c r="U1403" t="str">
        <f t="shared" si="87"/>
        <v>Medium Impact</v>
      </c>
    </row>
    <row r="1404" spans="1:21" x14ac:dyDescent="0.3">
      <c r="A1404" t="s">
        <v>710</v>
      </c>
      <c r="B1404">
        <v>47</v>
      </c>
      <c r="C1404" t="s">
        <v>27</v>
      </c>
      <c r="D1404" t="s">
        <v>19</v>
      </c>
      <c r="E1404" t="s">
        <v>41</v>
      </c>
      <c r="F1404" t="s">
        <v>42</v>
      </c>
      <c r="G1404">
        <v>22</v>
      </c>
      <c r="H1404" t="s">
        <v>37</v>
      </c>
      <c r="I1404" t="s">
        <v>22</v>
      </c>
      <c r="J1404" t="s">
        <v>25</v>
      </c>
      <c r="K1404" s="2">
        <v>74041</v>
      </c>
      <c r="L1404" s="2">
        <v>70572</v>
      </c>
      <c r="M1404" t="s">
        <v>32</v>
      </c>
      <c r="N1404">
        <v>37</v>
      </c>
      <c r="O1404" t="s">
        <v>23</v>
      </c>
      <c r="P1404">
        <v>4</v>
      </c>
      <c r="Q1404" s="1">
        <v>-2.34</v>
      </c>
      <c r="R1404" s="2">
        <f t="shared" si="84"/>
        <v>-3469</v>
      </c>
      <c r="S1404" s="1">
        <f t="shared" si="85"/>
        <v>-4.6852419605353788</v>
      </c>
      <c r="T1404" t="str">
        <f t="shared" si="86"/>
        <v>Expert</v>
      </c>
      <c r="U1404" t="str">
        <f t="shared" si="87"/>
        <v>Low Impact</v>
      </c>
    </row>
    <row r="1405" spans="1:21" x14ac:dyDescent="0.3">
      <c r="A1405" t="s">
        <v>1956</v>
      </c>
      <c r="B1405">
        <v>32</v>
      </c>
      <c r="C1405" t="s">
        <v>54</v>
      </c>
      <c r="D1405" t="s">
        <v>34</v>
      </c>
      <c r="E1405" t="s">
        <v>41</v>
      </c>
      <c r="F1405" t="s">
        <v>49</v>
      </c>
      <c r="G1405">
        <v>6</v>
      </c>
      <c r="H1405" t="s">
        <v>37</v>
      </c>
      <c r="I1405" t="s">
        <v>22</v>
      </c>
      <c r="J1405" t="s">
        <v>23</v>
      </c>
      <c r="K1405" s="2">
        <v>89021</v>
      </c>
      <c r="L1405" s="2">
        <v>101668</v>
      </c>
      <c r="M1405" t="s">
        <v>32</v>
      </c>
      <c r="N1405">
        <v>52</v>
      </c>
      <c r="O1405" t="s">
        <v>25</v>
      </c>
      <c r="P1405">
        <v>5</v>
      </c>
      <c r="Q1405" s="1">
        <v>-2.36</v>
      </c>
      <c r="R1405" s="2">
        <f t="shared" si="84"/>
        <v>12647</v>
      </c>
      <c r="S1405" s="1">
        <f t="shared" si="85"/>
        <v>14.206760202648812</v>
      </c>
      <c r="T1405" t="str">
        <f t="shared" si="86"/>
        <v>Intermediate</v>
      </c>
      <c r="U1405" t="str">
        <f t="shared" si="87"/>
        <v>Low Impact</v>
      </c>
    </row>
    <row r="1406" spans="1:21" x14ac:dyDescent="0.3">
      <c r="A1406" t="s">
        <v>765</v>
      </c>
      <c r="B1406">
        <v>38</v>
      </c>
      <c r="C1406" t="s">
        <v>27</v>
      </c>
      <c r="D1406" t="s">
        <v>19</v>
      </c>
      <c r="E1406" t="s">
        <v>35</v>
      </c>
      <c r="F1406" t="s">
        <v>36</v>
      </c>
      <c r="G1406">
        <v>16</v>
      </c>
      <c r="H1406" t="s">
        <v>31</v>
      </c>
      <c r="I1406" t="s">
        <v>37</v>
      </c>
      <c r="J1406" t="s">
        <v>25</v>
      </c>
      <c r="K1406" s="2">
        <v>91386</v>
      </c>
      <c r="L1406" s="2">
        <v>100414</v>
      </c>
      <c r="M1406" t="s">
        <v>38</v>
      </c>
      <c r="N1406">
        <v>44</v>
      </c>
      <c r="O1406" t="s">
        <v>25</v>
      </c>
      <c r="P1406">
        <v>9</v>
      </c>
      <c r="Q1406" s="1">
        <v>-2.36</v>
      </c>
      <c r="R1406" s="2">
        <f t="shared" si="84"/>
        <v>9028</v>
      </c>
      <c r="S1406" s="1">
        <f t="shared" si="85"/>
        <v>9.8789748976867351</v>
      </c>
      <c r="T1406" t="str">
        <f t="shared" si="86"/>
        <v>Expert</v>
      </c>
      <c r="U1406" t="str">
        <f t="shared" si="87"/>
        <v>Medium Impact</v>
      </c>
    </row>
    <row r="1407" spans="1:21" x14ac:dyDescent="0.3">
      <c r="A1407" t="s">
        <v>1414</v>
      </c>
      <c r="B1407">
        <v>23</v>
      </c>
      <c r="C1407" t="s">
        <v>18</v>
      </c>
      <c r="D1407" t="s">
        <v>34</v>
      </c>
      <c r="E1407" t="s">
        <v>29</v>
      </c>
      <c r="F1407" t="s">
        <v>104</v>
      </c>
      <c r="G1407">
        <v>0</v>
      </c>
      <c r="H1407" t="s">
        <v>31</v>
      </c>
      <c r="I1407" t="s">
        <v>31</v>
      </c>
      <c r="J1407" t="s">
        <v>23</v>
      </c>
      <c r="K1407" s="2">
        <v>71787</v>
      </c>
      <c r="L1407" s="2">
        <v>71286</v>
      </c>
      <c r="M1407" t="s">
        <v>32</v>
      </c>
      <c r="N1407">
        <v>53</v>
      </c>
      <c r="O1407" t="s">
        <v>23</v>
      </c>
      <c r="P1407">
        <v>8</v>
      </c>
      <c r="Q1407" s="1">
        <v>-2.38</v>
      </c>
      <c r="R1407" s="2">
        <f t="shared" si="84"/>
        <v>-501</v>
      </c>
      <c r="S1407" s="1">
        <f t="shared" si="85"/>
        <v>-0.697897948096452</v>
      </c>
      <c r="T1407" t="str">
        <f t="shared" si="86"/>
        <v>Beginner</v>
      </c>
      <c r="U1407" t="str">
        <f t="shared" si="87"/>
        <v>Low Impact</v>
      </c>
    </row>
    <row r="1408" spans="1:21" x14ac:dyDescent="0.3">
      <c r="A1408" t="s">
        <v>1375</v>
      </c>
      <c r="B1408">
        <v>47</v>
      </c>
      <c r="C1408" t="s">
        <v>54</v>
      </c>
      <c r="D1408" t="s">
        <v>34</v>
      </c>
      <c r="E1408" t="s">
        <v>44</v>
      </c>
      <c r="F1408" t="s">
        <v>57</v>
      </c>
      <c r="G1408">
        <v>23</v>
      </c>
      <c r="H1408" t="s">
        <v>22</v>
      </c>
      <c r="I1408" t="s">
        <v>31</v>
      </c>
      <c r="J1408" t="s">
        <v>23</v>
      </c>
      <c r="K1408" s="2">
        <v>91407</v>
      </c>
      <c r="L1408" s="2">
        <v>92298</v>
      </c>
      <c r="M1408" t="s">
        <v>32</v>
      </c>
      <c r="N1408">
        <v>46</v>
      </c>
      <c r="O1408" t="s">
        <v>25</v>
      </c>
      <c r="P1408">
        <v>5</v>
      </c>
      <c r="Q1408" s="1">
        <v>-2.44</v>
      </c>
      <c r="R1408" s="2">
        <f t="shared" si="84"/>
        <v>891</v>
      </c>
      <c r="S1408" s="1">
        <f t="shared" si="85"/>
        <v>0.97476123272834692</v>
      </c>
      <c r="T1408" t="str">
        <f t="shared" si="86"/>
        <v>Expert</v>
      </c>
      <c r="U1408" t="str">
        <f t="shared" si="87"/>
        <v>Low Impact</v>
      </c>
    </row>
    <row r="1409" spans="1:21" x14ac:dyDescent="0.3">
      <c r="A1409" t="s">
        <v>1626</v>
      </c>
      <c r="B1409">
        <v>27</v>
      </c>
      <c r="C1409" t="s">
        <v>54</v>
      </c>
      <c r="D1409" t="s">
        <v>28</v>
      </c>
      <c r="E1409" t="s">
        <v>59</v>
      </c>
      <c r="F1409" t="s">
        <v>93</v>
      </c>
      <c r="G1409">
        <v>3</v>
      </c>
      <c r="H1409" t="s">
        <v>37</v>
      </c>
      <c r="I1409" t="s">
        <v>31</v>
      </c>
      <c r="J1409" t="s">
        <v>25</v>
      </c>
      <c r="K1409" s="2">
        <v>34960</v>
      </c>
      <c r="L1409" s="2">
        <v>37742</v>
      </c>
      <c r="M1409" t="s">
        <v>32</v>
      </c>
      <c r="N1409">
        <v>44</v>
      </c>
      <c r="O1409" t="s">
        <v>23</v>
      </c>
      <c r="P1409">
        <v>5</v>
      </c>
      <c r="Q1409" s="1">
        <v>-2.4500000000000002</v>
      </c>
      <c r="R1409" s="2">
        <f t="shared" si="84"/>
        <v>2782</v>
      </c>
      <c r="S1409" s="1">
        <f t="shared" si="85"/>
        <v>7.9576659038901596</v>
      </c>
      <c r="T1409" t="str">
        <f t="shared" si="86"/>
        <v>Beginner</v>
      </c>
      <c r="U1409" t="str">
        <f t="shared" si="87"/>
        <v>Low Impact</v>
      </c>
    </row>
    <row r="1410" spans="1:21" x14ac:dyDescent="0.3">
      <c r="A1410" t="s">
        <v>39</v>
      </c>
      <c r="B1410">
        <v>48</v>
      </c>
      <c r="C1410" t="s">
        <v>27</v>
      </c>
      <c r="D1410" t="s">
        <v>40</v>
      </c>
      <c r="E1410" t="s">
        <v>41</v>
      </c>
      <c r="F1410" t="s">
        <v>42</v>
      </c>
      <c r="G1410">
        <v>24</v>
      </c>
      <c r="H1410" t="s">
        <v>37</v>
      </c>
      <c r="I1410" t="s">
        <v>37</v>
      </c>
      <c r="J1410" t="s">
        <v>23</v>
      </c>
      <c r="K1410" s="2">
        <v>114478</v>
      </c>
      <c r="L1410" s="2">
        <v>107820</v>
      </c>
      <c r="M1410" t="s">
        <v>38</v>
      </c>
      <c r="N1410">
        <v>50</v>
      </c>
      <c r="O1410" t="s">
        <v>25</v>
      </c>
      <c r="P1410">
        <v>9</v>
      </c>
      <c r="Q1410" s="1">
        <v>-2.4700000000000002</v>
      </c>
      <c r="R1410" s="2">
        <f t="shared" ref="R1410:R1473" si="88">L1410-K1410</f>
        <v>-6658</v>
      </c>
      <c r="S1410" s="1">
        <f t="shared" ref="S1410:S1473" si="89">(L1410-K1410)/K1410*100</f>
        <v>-5.8159646394940516</v>
      </c>
      <c r="T1410" t="str">
        <f t="shared" ref="T1410:T1473" si="90">IF(G1410&lt;5,"Beginner",IF(G1410&lt;15,"Intermediate","Expert"))</f>
        <v>Expert</v>
      </c>
      <c r="U1410" t="str">
        <f t="shared" ref="U1410:U1473" si="91">IF(M1410="Replaced","High Impact",IF(M1410="Modified","Medium Impact","Low Impact"))</f>
        <v>Medium Impact</v>
      </c>
    </row>
    <row r="1411" spans="1:21" x14ac:dyDescent="0.3">
      <c r="A1411" t="s">
        <v>693</v>
      </c>
      <c r="B1411">
        <v>38</v>
      </c>
      <c r="C1411" t="s">
        <v>54</v>
      </c>
      <c r="D1411" t="s">
        <v>19</v>
      </c>
      <c r="E1411" t="s">
        <v>59</v>
      </c>
      <c r="F1411" t="s">
        <v>60</v>
      </c>
      <c r="G1411">
        <v>15</v>
      </c>
      <c r="H1411" t="s">
        <v>37</v>
      </c>
      <c r="I1411" t="s">
        <v>31</v>
      </c>
      <c r="J1411" t="s">
        <v>25</v>
      </c>
      <c r="K1411" s="2">
        <v>101386</v>
      </c>
      <c r="L1411" s="2">
        <v>92465</v>
      </c>
      <c r="M1411" t="s">
        <v>32</v>
      </c>
      <c r="N1411">
        <v>42</v>
      </c>
      <c r="O1411" t="s">
        <v>23</v>
      </c>
      <c r="P1411">
        <v>5</v>
      </c>
      <c r="Q1411" s="1">
        <v>-2.5099999999999998</v>
      </c>
      <c r="R1411" s="2">
        <f t="shared" si="88"/>
        <v>-8921</v>
      </c>
      <c r="S1411" s="1">
        <f t="shared" si="89"/>
        <v>-8.7990452330696556</v>
      </c>
      <c r="T1411" t="str">
        <f t="shared" si="90"/>
        <v>Expert</v>
      </c>
      <c r="U1411" t="str">
        <f t="shared" si="91"/>
        <v>Low Impact</v>
      </c>
    </row>
    <row r="1412" spans="1:21" x14ac:dyDescent="0.3">
      <c r="A1412" t="s">
        <v>974</v>
      </c>
      <c r="B1412">
        <v>44</v>
      </c>
      <c r="C1412" t="s">
        <v>18</v>
      </c>
      <c r="D1412" t="s">
        <v>19</v>
      </c>
      <c r="E1412" t="s">
        <v>35</v>
      </c>
      <c r="F1412" t="s">
        <v>98</v>
      </c>
      <c r="G1412">
        <v>19</v>
      </c>
      <c r="H1412" t="s">
        <v>31</v>
      </c>
      <c r="I1412" t="s">
        <v>22</v>
      </c>
      <c r="J1412" t="s">
        <v>25</v>
      </c>
      <c r="K1412" s="2">
        <v>77631</v>
      </c>
      <c r="L1412" s="2">
        <v>79718</v>
      </c>
      <c r="M1412" t="s">
        <v>32</v>
      </c>
      <c r="N1412">
        <v>52</v>
      </c>
      <c r="O1412" t="s">
        <v>25</v>
      </c>
      <c r="P1412">
        <v>7</v>
      </c>
      <c r="Q1412" s="1">
        <v>-2.5499999999999998</v>
      </c>
      <c r="R1412" s="2">
        <f t="shared" si="88"/>
        <v>2087</v>
      </c>
      <c r="S1412" s="1">
        <f t="shared" si="89"/>
        <v>2.6883590318300681</v>
      </c>
      <c r="T1412" t="str">
        <f t="shared" si="90"/>
        <v>Expert</v>
      </c>
      <c r="U1412" t="str">
        <f t="shared" si="91"/>
        <v>Low Impact</v>
      </c>
    </row>
    <row r="1413" spans="1:21" x14ac:dyDescent="0.3">
      <c r="A1413" t="s">
        <v>540</v>
      </c>
      <c r="B1413">
        <v>22</v>
      </c>
      <c r="C1413" t="s">
        <v>18</v>
      </c>
      <c r="D1413" t="s">
        <v>40</v>
      </c>
      <c r="E1413" t="s">
        <v>29</v>
      </c>
      <c r="F1413" t="s">
        <v>30</v>
      </c>
      <c r="G1413">
        <v>0</v>
      </c>
      <c r="H1413" t="s">
        <v>31</v>
      </c>
      <c r="I1413" t="s">
        <v>31</v>
      </c>
      <c r="J1413" t="s">
        <v>23</v>
      </c>
      <c r="K1413" s="2">
        <v>62430</v>
      </c>
      <c r="L1413" s="2">
        <v>67900</v>
      </c>
      <c r="M1413" t="s">
        <v>32</v>
      </c>
      <c r="N1413">
        <v>49</v>
      </c>
      <c r="O1413" t="s">
        <v>25</v>
      </c>
      <c r="P1413">
        <v>9</v>
      </c>
      <c r="Q1413" s="1">
        <v>-2.57</v>
      </c>
      <c r="R1413" s="2">
        <f t="shared" si="88"/>
        <v>5470</v>
      </c>
      <c r="S1413" s="1">
        <f t="shared" si="89"/>
        <v>8.7618132308185182</v>
      </c>
      <c r="T1413" t="str">
        <f t="shared" si="90"/>
        <v>Beginner</v>
      </c>
      <c r="U1413" t="str">
        <f t="shared" si="91"/>
        <v>Low Impact</v>
      </c>
    </row>
    <row r="1414" spans="1:21" x14ac:dyDescent="0.3">
      <c r="A1414" t="s">
        <v>949</v>
      </c>
      <c r="B1414">
        <v>25</v>
      </c>
      <c r="C1414" t="s">
        <v>27</v>
      </c>
      <c r="D1414" t="s">
        <v>19</v>
      </c>
      <c r="E1414" t="s">
        <v>20</v>
      </c>
      <c r="F1414" t="s">
        <v>21</v>
      </c>
      <c r="G1414">
        <v>2</v>
      </c>
      <c r="H1414" t="s">
        <v>37</v>
      </c>
      <c r="I1414" t="s">
        <v>37</v>
      </c>
      <c r="J1414" t="s">
        <v>25</v>
      </c>
      <c r="K1414" s="2">
        <v>41154</v>
      </c>
      <c r="L1414" s="2">
        <v>45497</v>
      </c>
      <c r="M1414" t="s">
        <v>38</v>
      </c>
      <c r="N1414">
        <v>50</v>
      </c>
      <c r="O1414" t="s">
        <v>25</v>
      </c>
      <c r="P1414">
        <v>3</v>
      </c>
      <c r="Q1414" s="1">
        <v>-2.6</v>
      </c>
      <c r="R1414" s="2">
        <f t="shared" si="88"/>
        <v>4343</v>
      </c>
      <c r="S1414" s="1">
        <f t="shared" si="89"/>
        <v>10.553044661515285</v>
      </c>
      <c r="T1414" t="str">
        <f t="shared" si="90"/>
        <v>Beginner</v>
      </c>
      <c r="U1414" t="str">
        <f t="shared" si="91"/>
        <v>Medium Impact</v>
      </c>
    </row>
    <row r="1415" spans="1:21" x14ac:dyDescent="0.3">
      <c r="A1415" t="s">
        <v>68</v>
      </c>
      <c r="B1415">
        <v>50</v>
      </c>
      <c r="C1415" t="s">
        <v>27</v>
      </c>
      <c r="D1415" t="s">
        <v>19</v>
      </c>
      <c r="E1415" t="s">
        <v>41</v>
      </c>
      <c r="F1415" t="s">
        <v>49</v>
      </c>
      <c r="G1415">
        <v>25</v>
      </c>
      <c r="H1415" t="s">
        <v>37</v>
      </c>
      <c r="I1415" t="s">
        <v>22</v>
      </c>
      <c r="J1415" t="s">
        <v>25</v>
      </c>
      <c r="K1415" s="2">
        <v>85820</v>
      </c>
      <c r="L1415" s="2">
        <v>79219</v>
      </c>
      <c r="M1415" t="s">
        <v>32</v>
      </c>
      <c r="N1415">
        <v>36</v>
      </c>
      <c r="O1415" t="s">
        <v>23</v>
      </c>
      <c r="P1415">
        <v>4</v>
      </c>
      <c r="Q1415" s="1">
        <v>-2.61</v>
      </c>
      <c r="R1415" s="2">
        <f t="shared" si="88"/>
        <v>-6601</v>
      </c>
      <c r="S1415" s="1">
        <f t="shared" si="89"/>
        <v>-7.6916802610114186</v>
      </c>
      <c r="T1415" t="str">
        <f t="shared" si="90"/>
        <v>Expert</v>
      </c>
      <c r="U1415" t="str">
        <f t="shared" si="91"/>
        <v>Low Impact</v>
      </c>
    </row>
    <row r="1416" spans="1:21" x14ac:dyDescent="0.3">
      <c r="A1416" t="s">
        <v>1559</v>
      </c>
      <c r="B1416">
        <v>50</v>
      </c>
      <c r="C1416" t="s">
        <v>18</v>
      </c>
      <c r="D1416" t="s">
        <v>34</v>
      </c>
      <c r="E1416" t="s">
        <v>51</v>
      </c>
      <c r="F1416" t="s">
        <v>75</v>
      </c>
      <c r="G1416">
        <v>28</v>
      </c>
      <c r="H1416" t="s">
        <v>37</v>
      </c>
      <c r="I1416" t="s">
        <v>22</v>
      </c>
      <c r="J1416" t="s">
        <v>23</v>
      </c>
      <c r="K1416" s="2">
        <v>57301</v>
      </c>
      <c r="L1416" s="2">
        <v>58606</v>
      </c>
      <c r="M1416" t="s">
        <v>32</v>
      </c>
      <c r="N1416">
        <v>45</v>
      </c>
      <c r="O1416" t="s">
        <v>25</v>
      </c>
      <c r="P1416">
        <v>5</v>
      </c>
      <c r="Q1416" s="1">
        <v>-2.65</v>
      </c>
      <c r="R1416" s="2">
        <f t="shared" si="88"/>
        <v>1305</v>
      </c>
      <c r="S1416" s="1">
        <f t="shared" si="89"/>
        <v>2.2774471649709431</v>
      </c>
      <c r="T1416" t="str">
        <f t="shared" si="90"/>
        <v>Expert</v>
      </c>
      <c r="U1416" t="str">
        <f t="shared" si="91"/>
        <v>Low Impact</v>
      </c>
    </row>
    <row r="1417" spans="1:21" x14ac:dyDescent="0.3">
      <c r="A1417" t="s">
        <v>1111</v>
      </c>
      <c r="B1417">
        <v>39</v>
      </c>
      <c r="C1417" t="s">
        <v>27</v>
      </c>
      <c r="D1417" t="s">
        <v>40</v>
      </c>
      <c r="E1417" t="s">
        <v>35</v>
      </c>
      <c r="F1417" t="s">
        <v>98</v>
      </c>
      <c r="G1417">
        <v>14</v>
      </c>
      <c r="H1417" t="s">
        <v>22</v>
      </c>
      <c r="I1417" t="s">
        <v>37</v>
      </c>
      <c r="J1417" t="s">
        <v>23</v>
      </c>
      <c r="K1417" s="2">
        <v>65929</v>
      </c>
      <c r="L1417" s="2">
        <v>54503</v>
      </c>
      <c r="M1417" t="s">
        <v>38</v>
      </c>
      <c r="N1417">
        <v>37</v>
      </c>
      <c r="O1417" t="s">
        <v>23</v>
      </c>
      <c r="P1417">
        <v>4</v>
      </c>
      <c r="Q1417" s="1">
        <v>-2.65</v>
      </c>
      <c r="R1417" s="2">
        <f t="shared" si="88"/>
        <v>-11426</v>
      </c>
      <c r="S1417" s="1">
        <f t="shared" si="89"/>
        <v>-17.330764913770874</v>
      </c>
      <c r="T1417" t="str">
        <f t="shared" si="90"/>
        <v>Intermediate</v>
      </c>
      <c r="U1417" t="str">
        <f t="shared" si="91"/>
        <v>Medium Impact</v>
      </c>
    </row>
    <row r="1418" spans="1:21" x14ac:dyDescent="0.3">
      <c r="A1418" t="s">
        <v>1774</v>
      </c>
      <c r="B1418">
        <v>58</v>
      </c>
      <c r="C1418" t="s">
        <v>18</v>
      </c>
      <c r="D1418" t="s">
        <v>19</v>
      </c>
      <c r="E1418" t="s">
        <v>44</v>
      </c>
      <c r="F1418" t="s">
        <v>57</v>
      </c>
      <c r="G1418">
        <v>32</v>
      </c>
      <c r="H1418" t="s">
        <v>22</v>
      </c>
      <c r="I1418" t="s">
        <v>31</v>
      </c>
      <c r="J1418" t="s">
        <v>23</v>
      </c>
      <c r="K1418" s="2">
        <v>60215</v>
      </c>
      <c r="L1418" s="2">
        <v>49418</v>
      </c>
      <c r="M1418" t="s">
        <v>32</v>
      </c>
      <c r="N1418">
        <v>45</v>
      </c>
      <c r="O1418" t="s">
        <v>25</v>
      </c>
      <c r="P1418">
        <v>6</v>
      </c>
      <c r="Q1418" s="1">
        <v>-2.71</v>
      </c>
      <c r="R1418" s="2">
        <f t="shared" si="88"/>
        <v>-10797</v>
      </c>
      <c r="S1418" s="1">
        <f t="shared" si="89"/>
        <v>-17.930748152453706</v>
      </c>
      <c r="T1418" t="str">
        <f t="shared" si="90"/>
        <v>Expert</v>
      </c>
      <c r="U1418" t="str">
        <f t="shared" si="91"/>
        <v>Low Impact</v>
      </c>
    </row>
    <row r="1419" spans="1:21" x14ac:dyDescent="0.3">
      <c r="A1419" t="s">
        <v>733</v>
      </c>
      <c r="B1419">
        <v>35</v>
      </c>
      <c r="C1419" t="s">
        <v>27</v>
      </c>
      <c r="D1419" t="s">
        <v>40</v>
      </c>
      <c r="E1419" t="s">
        <v>59</v>
      </c>
      <c r="F1419" t="s">
        <v>60</v>
      </c>
      <c r="G1419">
        <v>9</v>
      </c>
      <c r="H1419" t="s">
        <v>31</v>
      </c>
      <c r="I1419" t="s">
        <v>37</v>
      </c>
      <c r="J1419" t="s">
        <v>25</v>
      </c>
      <c r="K1419" s="2">
        <v>69791</v>
      </c>
      <c r="L1419" s="2">
        <v>68572</v>
      </c>
      <c r="M1419" t="s">
        <v>38</v>
      </c>
      <c r="N1419">
        <v>42</v>
      </c>
      <c r="O1419" t="s">
        <v>23</v>
      </c>
      <c r="P1419">
        <v>5</v>
      </c>
      <c r="Q1419" s="1">
        <v>-2.72</v>
      </c>
      <c r="R1419" s="2">
        <f t="shared" si="88"/>
        <v>-1219</v>
      </c>
      <c r="S1419" s="1">
        <f t="shared" si="89"/>
        <v>-1.7466435500279407</v>
      </c>
      <c r="T1419" t="str">
        <f t="shared" si="90"/>
        <v>Intermediate</v>
      </c>
      <c r="U1419" t="str">
        <f t="shared" si="91"/>
        <v>Medium Impact</v>
      </c>
    </row>
    <row r="1420" spans="1:21" x14ac:dyDescent="0.3">
      <c r="A1420" t="s">
        <v>940</v>
      </c>
      <c r="B1420">
        <v>51</v>
      </c>
      <c r="C1420" t="s">
        <v>18</v>
      </c>
      <c r="D1420" t="s">
        <v>34</v>
      </c>
      <c r="E1420" t="s">
        <v>35</v>
      </c>
      <c r="F1420" t="s">
        <v>36</v>
      </c>
      <c r="G1420">
        <v>26</v>
      </c>
      <c r="H1420" t="s">
        <v>31</v>
      </c>
      <c r="I1420" t="s">
        <v>22</v>
      </c>
      <c r="J1420" t="s">
        <v>25</v>
      </c>
      <c r="K1420" s="2">
        <v>60935</v>
      </c>
      <c r="L1420" s="2">
        <v>61433</v>
      </c>
      <c r="M1420" t="s">
        <v>32</v>
      </c>
      <c r="N1420">
        <v>40</v>
      </c>
      <c r="O1420" t="s">
        <v>23</v>
      </c>
      <c r="P1420">
        <v>8</v>
      </c>
      <c r="Q1420" s="1">
        <v>-2.73</v>
      </c>
      <c r="R1420" s="2">
        <f t="shared" si="88"/>
        <v>498</v>
      </c>
      <c r="S1420" s="1">
        <f t="shared" si="89"/>
        <v>0.8172642980224829</v>
      </c>
      <c r="T1420" t="str">
        <f t="shared" si="90"/>
        <v>Expert</v>
      </c>
      <c r="U1420" t="str">
        <f t="shared" si="91"/>
        <v>Low Impact</v>
      </c>
    </row>
    <row r="1421" spans="1:21" x14ac:dyDescent="0.3">
      <c r="A1421" t="s">
        <v>1578</v>
      </c>
      <c r="B1421">
        <v>23</v>
      </c>
      <c r="C1421" t="s">
        <v>18</v>
      </c>
      <c r="D1421" t="s">
        <v>19</v>
      </c>
      <c r="E1421" t="s">
        <v>35</v>
      </c>
      <c r="F1421" t="s">
        <v>36</v>
      </c>
      <c r="G1421">
        <v>1</v>
      </c>
      <c r="H1421" t="s">
        <v>37</v>
      </c>
      <c r="I1421" t="s">
        <v>31</v>
      </c>
      <c r="J1421" t="s">
        <v>23</v>
      </c>
      <c r="K1421" s="2">
        <v>83767</v>
      </c>
      <c r="L1421" s="2">
        <v>86098</v>
      </c>
      <c r="M1421" t="s">
        <v>32</v>
      </c>
      <c r="N1421">
        <v>37</v>
      </c>
      <c r="O1421" t="s">
        <v>23</v>
      </c>
      <c r="P1421">
        <v>9</v>
      </c>
      <c r="Q1421" s="1">
        <v>-2.75</v>
      </c>
      <c r="R1421" s="2">
        <f t="shared" si="88"/>
        <v>2331</v>
      </c>
      <c r="S1421" s="1">
        <f t="shared" si="89"/>
        <v>2.7827187317201285</v>
      </c>
      <c r="T1421" t="str">
        <f t="shared" si="90"/>
        <v>Beginner</v>
      </c>
      <c r="U1421" t="str">
        <f t="shared" si="91"/>
        <v>Low Impact</v>
      </c>
    </row>
    <row r="1422" spans="1:21" x14ac:dyDescent="0.3">
      <c r="A1422" t="s">
        <v>1344</v>
      </c>
      <c r="B1422">
        <v>32</v>
      </c>
      <c r="C1422" t="s">
        <v>27</v>
      </c>
      <c r="D1422" t="s">
        <v>19</v>
      </c>
      <c r="E1422" t="s">
        <v>20</v>
      </c>
      <c r="F1422" t="s">
        <v>118</v>
      </c>
      <c r="G1422">
        <v>10</v>
      </c>
      <c r="H1422" t="s">
        <v>22</v>
      </c>
      <c r="I1422" t="s">
        <v>22</v>
      </c>
      <c r="J1422" t="s">
        <v>23</v>
      </c>
      <c r="K1422" s="2">
        <v>39677</v>
      </c>
      <c r="L1422" s="2">
        <v>54973</v>
      </c>
      <c r="M1422" t="s">
        <v>38</v>
      </c>
      <c r="N1422">
        <v>41</v>
      </c>
      <c r="O1422" t="s">
        <v>25</v>
      </c>
      <c r="P1422">
        <v>9</v>
      </c>
      <c r="Q1422" s="1">
        <v>-2.82</v>
      </c>
      <c r="R1422" s="2">
        <f t="shared" si="88"/>
        <v>15296</v>
      </c>
      <c r="S1422" s="1">
        <f t="shared" si="89"/>
        <v>38.551301761725938</v>
      </c>
      <c r="T1422" t="str">
        <f t="shared" si="90"/>
        <v>Intermediate</v>
      </c>
      <c r="U1422" t="str">
        <f t="shared" si="91"/>
        <v>Medium Impact</v>
      </c>
    </row>
    <row r="1423" spans="1:21" x14ac:dyDescent="0.3">
      <c r="A1423" t="s">
        <v>2009</v>
      </c>
      <c r="B1423">
        <v>38</v>
      </c>
      <c r="C1423" t="s">
        <v>27</v>
      </c>
      <c r="D1423" t="s">
        <v>34</v>
      </c>
      <c r="E1423" t="s">
        <v>41</v>
      </c>
      <c r="F1423" t="s">
        <v>55</v>
      </c>
      <c r="G1423">
        <v>12</v>
      </c>
      <c r="H1423" t="s">
        <v>22</v>
      </c>
      <c r="I1423" t="s">
        <v>22</v>
      </c>
      <c r="J1423" t="s">
        <v>25</v>
      </c>
      <c r="K1423" s="2">
        <v>55511</v>
      </c>
      <c r="L1423" s="2">
        <v>75444</v>
      </c>
      <c r="M1423" t="s">
        <v>38</v>
      </c>
      <c r="N1423">
        <v>52</v>
      </c>
      <c r="O1423" t="s">
        <v>25</v>
      </c>
      <c r="P1423">
        <v>4</v>
      </c>
      <c r="Q1423" s="1">
        <v>-2.84</v>
      </c>
      <c r="R1423" s="2">
        <f t="shared" si="88"/>
        <v>19933</v>
      </c>
      <c r="S1423" s="1">
        <f t="shared" si="89"/>
        <v>35.908198375096831</v>
      </c>
      <c r="T1423" t="str">
        <f t="shared" si="90"/>
        <v>Intermediate</v>
      </c>
      <c r="U1423" t="str">
        <f t="shared" si="91"/>
        <v>Medium Impact</v>
      </c>
    </row>
    <row r="1424" spans="1:21" x14ac:dyDescent="0.3">
      <c r="A1424" t="s">
        <v>1914</v>
      </c>
      <c r="B1424">
        <v>49</v>
      </c>
      <c r="C1424" t="s">
        <v>27</v>
      </c>
      <c r="D1424" t="s">
        <v>19</v>
      </c>
      <c r="E1424" t="s">
        <v>44</v>
      </c>
      <c r="F1424" t="s">
        <v>47</v>
      </c>
      <c r="G1424">
        <v>25</v>
      </c>
      <c r="H1424" t="s">
        <v>22</v>
      </c>
      <c r="I1424" t="s">
        <v>37</v>
      </c>
      <c r="J1424" t="s">
        <v>23</v>
      </c>
      <c r="K1424" s="2">
        <v>79451</v>
      </c>
      <c r="L1424" s="2">
        <v>72532</v>
      </c>
      <c r="M1424" t="s">
        <v>38</v>
      </c>
      <c r="N1424">
        <v>43</v>
      </c>
      <c r="O1424" t="s">
        <v>23</v>
      </c>
      <c r="P1424">
        <v>5</v>
      </c>
      <c r="Q1424" s="1">
        <v>-2.88</v>
      </c>
      <c r="R1424" s="2">
        <f t="shared" si="88"/>
        <v>-6919</v>
      </c>
      <c r="S1424" s="1">
        <f t="shared" si="89"/>
        <v>-8.7085121647304629</v>
      </c>
      <c r="T1424" t="str">
        <f t="shared" si="90"/>
        <v>Expert</v>
      </c>
      <c r="U1424" t="str">
        <f t="shared" si="91"/>
        <v>Medium Impact</v>
      </c>
    </row>
    <row r="1425" spans="1:21" x14ac:dyDescent="0.3">
      <c r="A1425" t="s">
        <v>512</v>
      </c>
      <c r="B1425">
        <v>44</v>
      </c>
      <c r="C1425" t="s">
        <v>54</v>
      </c>
      <c r="D1425" t="s">
        <v>19</v>
      </c>
      <c r="E1425" t="s">
        <v>29</v>
      </c>
      <c r="F1425" t="s">
        <v>30</v>
      </c>
      <c r="G1425">
        <v>21</v>
      </c>
      <c r="H1425" t="s">
        <v>22</v>
      </c>
      <c r="I1425" t="s">
        <v>31</v>
      </c>
      <c r="J1425" t="s">
        <v>25</v>
      </c>
      <c r="K1425" s="2">
        <v>104763</v>
      </c>
      <c r="L1425" s="2">
        <v>115031</v>
      </c>
      <c r="M1425" t="s">
        <v>32</v>
      </c>
      <c r="N1425">
        <v>52</v>
      </c>
      <c r="O1425" t="s">
        <v>25</v>
      </c>
      <c r="P1425">
        <v>4</v>
      </c>
      <c r="Q1425" s="1">
        <v>-2.94</v>
      </c>
      <c r="R1425" s="2">
        <f t="shared" si="88"/>
        <v>10268</v>
      </c>
      <c r="S1425" s="1">
        <f t="shared" si="89"/>
        <v>9.8011702604927304</v>
      </c>
      <c r="T1425" t="str">
        <f t="shared" si="90"/>
        <v>Expert</v>
      </c>
      <c r="U1425" t="str">
        <f t="shared" si="91"/>
        <v>Low Impact</v>
      </c>
    </row>
    <row r="1426" spans="1:21" x14ac:dyDescent="0.3">
      <c r="A1426" t="s">
        <v>1224</v>
      </c>
      <c r="B1426">
        <v>31</v>
      </c>
      <c r="C1426" t="s">
        <v>27</v>
      </c>
      <c r="D1426" t="s">
        <v>19</v>
      </c>
      <c r="E1426" t="s">
        <v>20</v>
      </c>
      <c r="F1426" t="s">
        <v>118</v>
      </c>
      <c r="G1426">
        <v>7</v>
      </c>
      <c r="H1426" t="s">
        <v>22</v>
      </c>
      <c r="I1426" t="s">
        <v>22</v>
      </c>
      <c r="J1426" t="s">
        <v>25</v>
      </c>
      <c r="K1426" s="2">
        <v>61629</v>
      </c>
      <c r="L1426" s="2">
        <v>64658</v>
      </c>
      <c r="M1426" t="s">
        <v>38</v>
      </c>
      <c r="N1426">
        <v>44</v>
      </c>
      <c r="O1426" t="s">
        <v>23</v>
      </c>
      <c r="P1426">
        <v>4</v>
      </c>
      <c r="Q1426" s="1">
        <v>-2.99</v>
      </c>
      <c r="R1426" s="2">
        <f t="shared" si="88"/>
        <v>3029</v>
      </c>
      <c r="S1426" s="1">
        <f t="shared" si="89"/>
        <v>4.9148939622580281</v>
      </c>
      <c r="T1426" t="str">
        <f t="shared" si="90"/>
        <v>Intermediate</v>
      </c>
      <c r="U1426" t="str">
        <f t="shared" si="91"/>
        <v>Medium Impact</v>
      </c>
    </row>
    <row r="1427" spans="1:21" x14ac:dyDescent="0.3">
      <c r="A1427" t="s">
        <v>819</v>
      </c>
      <c r="B1427">
        <v>53</v>
      </c>
      <c r="C1427" t="s">
        <v>18</v>
      </c>
      <c r="D1427" t="s">
        <v>40</v>
      </c>
      <c r="E1427" t="s">
        <v>44</v>
      </c>
      <c r="F1427" t="s">
        <v>57</v>
      </c>
      <c r="G1427">
        <v>27</v>
      </c>
      <c r="H1427" t="s">
        <v>31</v>
      </c>
      <c r="I1427" t="s">
        <v>22</v>
      </c>
      <c r="J1427" t="s">
        <v>23</v>
      </c>
      <c r="K1427" s="2">
        <v>114694</v>
      </c>
      <c r="L1427" s="2">
        <v>122511</v>
      </c>
      <c r="M1427" t="s">
        <v>32</v>
      </c>
      <c r="N1427">
        <v>44</v>
      </c>
      <c r="O1427" t="s">
        <v>23</v>
      </c>
      <c r="P1427">
        <v>5</v>
      </c>
      <c r="Q1427" s="1">
        <v>-3</v>
      </c>
      <c r="R1427" s="2">
        <f t="shared" si="88"/>
        <v>7817</v>
      </c>
      <c r="S1427" s="1">
        <f t="shared" si="89"/>
        <v>6.8155265314663369</v>
      </c>
      <c r="T1427" t="str">
        <f t="shared" si="90"/>
        <v>Expert</v>
      </c>
      <c r="U1427" t="str">
        <f t="shared" si="91"/>
        <v>Low Impact</v>
      </c>
    </row>
    <row r="1428" spans="1:21" x14ac:dyDescent="0.3">
      <c r="A1428" t="s">
        <v>560</v>
      </c>
      <c r="B1428">
        <v>42</v>
      </c>
      <c r="C1428" t="s">
        <v>27</v>
      </c>
      <c r="D1428" t="s">
        <v>40</v>
      </c>
      <c r="E1428" t="s">
        <v>29</v>
      </c>
      <c r="F1428" t="s">
        <v>102</v>
      </c>
      <c r="G1428">
        <v>18</v>
      </c>
      <c r="H1428" t="s">
        <v>22</v>
      </c>
      <c r="I1428" t="s">
        <v>22</v>
      </c>
      <c r="J1428" t="s">
        <v>23</v>
      </c>
      <c r="K1428" s="2">
        <v>89979</v>
      </c>
      <c r="L1428" s="2">
        <v>112947</v>
      </c>
      <c r="M1428" t="s">
        <v>38</v>
      </c>
      <c r="N1428">
        <v>41</v>
      </c>
      <c r="O1428" t="s">
        <v>25</v>
      </c>
      <c r="P1428">
        <v>9</v>
      </c>
      <c r="Q1428" s="1">
        <v>-3.05</v>
      </c>
      <c r="R1428" s="2">
        <f t="shared" si="88"/>
        <v>22968</v>
      </c>
      <c r="S1428" s="1">
        <f t="shared" si="89"/>
        <v>25.525956056413161</v>
      </c>
      <c r="T1428" t="str">
        <f t="shared" si="90"/>
        <v>Expert</v>
      </c>
      <c r="U1428" t="str">
        <f t="shared" si="91"/>
        <v>Medium Impact</v>
      </c>
    </row>
    <row r="1429" spans="1:21" x14ac:dyDescent="0.3">
      <c r="A1429" t="s">
        <v>565</v>
      </c>
      <c r="B1429">
        <v>24</v>
      </c>
      <c r="C1429" t="s">
        <v>27</v>
      </c>
      <c r="D1429" t="s">
        <v>19</v>
      </c>
      <c r="E1429" t="s">
        <v>29</v>
      </c>
      <c r="F1429" t="s">
        <v>30</v>
      </c>
      <c r="G1429">
        <v>1</v>
      </c>
      <c r="H1429" t="s">
        <v>31</v>
      </c>
      <c r="I1429" t="s">
        <v>22</v>
      </c>
      <c r="J1429" t="s">
        <v>25</v>
      </c>
      <c r="K1429" s="2">
        <v>57056</v>
      </c>
      <c r="L1429" s="2">
        <v>58816</v>
      </c>
      <c r="M1429" t="s">
        <v>32</v>
      </c>
      <c r="N1429">
        <v>47</v>
      </c>
      <c r="O1429" t="s">
        <v>25</v>
      </c>
      <c r="P1429">
        <v>7</v>
      </c>
      <c r="Q1429" s="1">
        <v>-3.05</v>
      </c>
      <c r="R1429" s="2">
        <f t="shared" si="88"/>
        <v>1760</v>
      </c>
      <c r="S1429" s="1">
        <f t="shared" si="89"/>
        <v>3.0846887268648349</v>
      </c>
      <c r="T1429" t="str">
        <f t="shared" si="90"/>
        <v>Beginner</v>
      </c>
      <c r="U1429" t="str">
        <f t="shared" si="91"/>
        <v>Low Impact</v>
      </c>
    </row>
    <row r="1430" spans="1:21" x14ac:dyDescent="0.3">
      <c r="A1430" t="s">
        <v>793</v>
      </c>
      <c r="B1430">
        <v>40</v>
      </c>
      <c r="C1430" t="s">
        <v>18</v>
      </c>
      <c r="D1430" t="s">
        <v>19</v>
      </c>
      <c r="E1430" t="s">
        <v>44</v>
      </c>
      <c r="F1430" t="s">
        <v>57</v>
      </c>
      <c r="G1430">
        <v>15</v>
      </c>
      <c r="H1430" t="s">
        <v>37</v>
      </c>
      <c r="I1430" t="s">
        <v>37</v>
      </c>
      <c r="J1430" t="s">
        <v>25</v>
      </c>
      <c r="K1430" s="2">
        <v>70745</v>
      </c>
      <c r="L1430" s="2">
        <v>74782</v>
      </c>
      <c r="M1430" t="s">
        <v>38</v>
      </c>
      <c r="N1430">
        <v>45</v>
      </c>
      <c r="O1430" t="s">
        <v>23</v>
      </c>
      <c r="P1430">
        <v>7</v>
      </c>
      <c r="Q1430" s="1">
        <v>-3.06</v>
      </c>
      <c r="R1430" s="2">
        <f t="shared" si="88"/>
        <v>4037</v>
      </c>
      <c r="S1430" s="1">
        <f t="shared" si="89"/>
        <v>5.7064103470209915</v>
      </c>
      <c r="T1430" t="str">
        <f t="shared" si="90"/>
        <v>Expert</v>
      </c>
      <c r="U1430" t="str">
        <f t="shared" si="91"/>
        <v>Medium Impact</v>
      </c>
    </row>
    <row r="1431" spans="1:21" x14ac:dyDescent="0.3">
      <c r="A1431" t="s">
        <v>124</v>
      </c>
      <c r="B1431">
        <v>50</v>
      </c>
      <c r="C1431" t="s">
        <v>27</v>
      </c>
      <c r="D1431" t="s">
        <v>28</v>
      </c>
      <c r="E1431" t="s">
        <v>20</v>
      </c>
      <c r="F1431" t="s">
        <v>118</v>
      </c>
      <c r="G1431">
        <v>25</v>
      </c>
      <c r="H1431" t="s">
        <v>31</v>
      </c>
      <c r="I1431" t="s">
        <v>22</v>
      </c>
      <c r="J1431" t="s">
        <v>25</v>
      </c>
      <c r="K1431" s="2">
        <v>63496</v>
      </c>
      <c r="L1431" s="2">
        <v>67973</v>
      </c>
      <c r="M1431" t="s">
        <v>32</v>
      </c>
      <c r="N1431">
        <v>44</v>
      </c>
      <c r="O1431" t="s">
        <v>25</v>
      </c>
      <c r="P1431">
        <v>7</v>
      </c>
      <c r="Q1431" s="1">
        <v>-3.08</v>
      </c>
      <c r="R1431" s="2">
        <f t="shared" si="88"/>
        <v>4477</v>
      </c>
      <c r="S1431" s="1">
        <f t="shared" si="89"/>
        <v>7.0508378480534208</v>
      </c>
      <c r="T1431" t="str">
        <f t="shared" si="90"/>
        <v>Expert</v>
      </c>
      <c r="U1431" t="str">
        <f t="shared" si="91"/>
        <v>Low Impact</v>
      </c>
    </row>
    <row r="1432" spans="1:21" x14ac:dyDescent="0.3">
      <c r="A1432" t="s">
        <v>1577</v>
      </c>
      <c r="B1432">
        <v>48</v>
      </c>
      <c r="C1432" t="s">
        <v>18</v>
      </c>
      <c r="D1432" t="s">
        <v>19</v>
      </c>
      <c r="E1432" t="s">
        <v>44</v>
      </c>
      <c r="F1432" t="s">
        <v>47</v>
      </c>
      <c r="G1432">
        <v>25</v>
      </c>
      <c r="H1432" t="s">
        <v>31</v>
      </c>
      <c r="I1432" t="s">
        <v>37</v>
      </c>
      <c r="J1432" t="s">
        <v>25</v>
      </c>
      <c r="K1432" s="2">
        <v>50927</v>
      </c>
      <c r="L1432" s="2">
        <v>55847</v>
      </c>
      <c r="M1432" t="s">
        <v>38</v>
      </c>
      <c r="N1432">
        <v>48</v>
      </c>
      <c r="O1432" t="s">
        <v>23</v>
      </c>
      <c r="P1432">
        <v>6</v>
      </c>
      <c r="Q1432" s="1">
        <v>-3.1</v>
      </c>
      <c r="R1432" s="2">
        <f t="shared" si="88"/>
        <v>4920</v>
      </c>
      <c r="S1432" s="1">
        <f t="shared" si="89"/>
        <v>9.660887152198244</v>
      </c>
      <c r="T1432" t="str">
        <f t="shared" si="90"/>
        <v>Expert</v>
      </c>
      <c r="U1432" t="str">
        <f t="shared" si="91"/>
        <v>Medium Impact</v>
      </c>
    </row>
    <row r="1433" spans="1:21" x14ac:dyDescent="0.3">
      <c r="A1433" t="s">
        <v>258</v>
      </c>
      <c r="B1433">
        <v>36</v>
      </c>
      <c r="C1433" t="s">
        <v>18</v>
      </c>
      <c r="D1433" t="s">
        <v>40</v>
      </c>
      <c r="E1433" t="s">
        <v>20</v>
      </c>
      <c r="F1433" t="s">
        <v>21</v>
      </c>
      <c r="G1433">
        <v>14</v>
      </c>
      <c r="H1433" t="s">
        <v>37</v>
      </c>
      <c r="I1433" t="s">
        <v>22</v>
      </c>
      <c r="J1433" t="s">
        <v>23</v>
      </c>
      <c r="K1433" s="2">
        <v>94772</v>
      </c>
      <c r="L1433" s="2">
        <v>106198</v>
      </c>
      <c r="M1433" t="s">
        <v>32</v>
      </c>
      <c r="N1433">
        <v>49</v>
      </c>
      <c r="O1433" t="s">
        <v>23</v>
      </c>
      <c r="P1433">
        <v>8</v>
      </c>
      <c r="Q1433" s="1">
        <v>-3.12</v>
      </c>
      <c r="R1433" s="2">
        <f t="shared" si="88"/>
        <v>11426</v>
      </c>
      <c r="S1433" s="1">
        <f t="shared" si="89"/>
        <v>12.056303549571604</v>
      </c>
      <c r="T1433" t="str">
        <f t="shared" si="90"/>
        <v>Intermediate</v>
      </c>
      <c r="U1433" t="str">
        <f t="shared" si="91"/>
        <v>Low Impact</v>
      </c>
    </row>
    <row r="1434" spans="1:21" x14ac:dyDescent="0.3">
      <c r="A1434" t="s">
        <v>1824</v>
      </c>
      <c r="B1434">
        <v>42</v>
      </c>
      <c r="C1434" t="s">
        <v>54</v>
      </c>
      <c r="D1434" t="s">
        <v>19</v>
      </c>
      <c r="E1434" t="s">
        <v>51</v>
      </c>
      <c r="F1434" t="s">
        <v>75</v>
      </c>
      <c r="G1434">
        <v>19</v>
      </c>
      <c r="H1434" t="s">
        <v>37</v>
      </c>
      <c r="I1434" t="s">
        <v>31</v>
      </c>
      <c r="J1434" t="s">
        <v>25</v>
      </c>
      <c r="K1434" s="2">
        <v>40534</v>
      </c>
      <c r="L1434" s="2">
        <v>39401</v>
      </c>
      <c r="M1434" t="s">
        <v>32</v>
      </c>
      <c r="N1434">
        <v>54</v>
      </c>
      <c r="O1434" t="s">
        <v>25</v>
      </c>
      <c r="P1434">
        <v>6</v>
      </c>
      <c r="Q1434" s="1">
        <v>-3.19</v>
      </c>
      <c r="R1434" s="2">
        <f t="shared" si="88"/>
        <v>-1133</v>
      </c>
      <c r="S1434" s="1">
        <f t="shared" si="89"/>
        <v>-2.7951842897320769</v>
      </c>
      <c r="T1434" t="str">
        <f t="shared" si="90"/>
        <v>Expert</v>
      </c>
      <c r="U1434" t="str">
        <f t="shared" si="91"/>
        <v>Low Impact</v>
      </c>
    </row>
    <row r="1435" spans="1:21" x14ac:dyDescent="0.3">
      <c r="A1435" t="s">
        <v>1171</v>
      </c>
      <c r="B1435">
        <v>59</v>
      </c>
      <c r="C1435" t="s">
        <v>54</v>
      </c>
      <c r="D1435" t="s">
        <v>28</v>
      </c>
      <c r="E1435" t="s">
        <v>59</v>
      </c>
      <c r="F1435" t="s">
        <v>60</v>
      </c>
      <c r="G1435">
        <v>35</v>
      </c>
      <c r="H1435" t="s">
        <v>37</v>
      </c>
      <c r="I1435" t="s">
        <v>37</v>
      </c>
      <c r="J1435" t="s">
        <v>25</v>
      </c>
      <c r="K1435" s="2">
        <v>75117</v>
      </c>
      <c r="L1435" s="2">
        <v>84340</v>
      </c>
      <c r="M1435" t="s">
        <v>38</v>
      </c>
      <c r="N1435">
        <v>52</v>
      </c>
      <c r="O1435" t="s">
        <v>23</v>
      </c>
      <c r="P1435">
        <v>8</v>
      </c>
      <c r="Q1435" s="1">
        <v>-3.21</v>
      </c>
      <c r="R1435" s="2">
        <f t="shared" si="88"/>
        <v>9223</v>
      </c>
      <c r="S1435" s="1">
        <f t="shared" si="89"/>
        <v>12.278179373510657</v>
      </c>
      <c r="T1435" t="str">
        <f t="shared" si="90"/>
        <v>Expert</v>
      </c>
      <c r="U1435" t="str">
        <f t="shared" si="91"/>
        <v>Medium Impact</v>
      </c>
    </row>
    <row r="1436" spans="1:21" x14ac:dyDescent="0.3">
      <c r="A1436" t="s">
        <v>146</v>
      </c>
      <c r="B1436">
        <v>57</v>
      </c>
      <c r="C1436" t="s">
        <v>27</v>
      </c>
      <c r="D1436" t="s">
        <v>40</v>
      </c>
      <c r="E1436" t="s">
        <v>59</v>
      </c>
      <c r="F1436" t="s">
        <v>60</v>
      </c>
      <c r="G1436">
        <v>33</v>
      </c>
      <c r="H1436" t="s">
        <v>22</v>
      </c>
      <c r="I1436" t="s">
        <v>31</v>
      </c>
      <c r="J1436" t="s">
        <v>23</v>
      </c>
      <c r="K1436" s="2">
        <v>77605</v>
      </c>
      <c r="L1436" s="2">
        <v>63588</v>
      </c>
      <c r="M1436" t="s">
        <v>32</v>
      </c>
      <c r="N1436">
        <v>54</v>
      </c>
      <c r="O1436" t="s">
        <v>23</v>
      </c>
      <c r="P1436">
        <v>7</v>
      </c>
      <c r="Q1436" s="1">
        <v>-3.21</v>
      </c>
      <c r="R1436" s="2">
        <f t="shared" si="88"/>
        <v>-14017</v>
      </c>
      <c r="S1436" s="1">
        <f t="shared" si="89"/>
        <v>-18.061980542490819</v>
      </c>
      <c r="T1436" t="str">
        <f t="shared" si="90"/>
        <v>Expert</v>
      </c>
      <c r="U1436" t="str">
        <f t="shared" si="91"/>
        <v>Low Impact</v>
      </c>
    </row>
    <row r="1437" spans="1:21" x14ac:dyDescent="0.3">
      <c r="A1437" t="s">
        <v>1220</v>
      </c>
      <c r="B1437">
        <v>33</v>
      </c>
      <c r="C1437" t="s">
        <v>18</v>
      </c>
      <c r="D1437" t="s">
        <v>34</v>
      </c>
      <c r="E1437" t="s">
        <v>44</v>
      </c>
      <c r="F1437" t="s">
        <v>45</v>
      </c>
      <c r="G1437">
        <v>8</v>
      </c>
      <c r="H1437" t="s">
        <v>37</v>
      </c>
      <c r="I1437" t="s">
        <v>22</v>
      </c>
      <c r="J1437" t="s">
        <v>25</v>
      </c>
      <c r="K1437" s="2">
        <v>41345</v>
      </c>
      <c r="L1437" s="2">
        <v>47042</v>
      </c>
      <c r="M1437" t="s">
        <v>32</v>
      </c>
      <c r="N1437">
        <v>48</v>
      </c>
      <c r="O1437" t="s">
        <v>23</v>
      </c>
      <c r="P1437">
        <v>6</v>
      </c>
      <c r="Q1437" s="1">
        <v>-3.25</v>
      </c>
      <c r="R1437" s="2">
        <f t="shared" si="88"/>
        <v>5697</v>
      </c>
      <c r="S1437" s="1">
        <f t="shared" si="89"/>
        <v>13.779175232797195</v>
      </c>
      <c r="T1437" t="str">
        <f t="shared" si="90"/>
        <v>Intermediate</v>
      </c>
      <c r="U1437" t="str">
        <f t="shared" si="91"/>
        <v>Low Impact</v>
      </c>
    </row>
    <row r="1438" spans="1:21" x14ac:dyDescent="0.3">
      <c r="A1438" t="s">
        <v>1005</v>
      </c>
      <c r="B1438">
        <v>55</v>
      </c>
      <c r="C1438" t="s">
        <v>18</v>
      </c>
      <c r="D1438" t="s">
        <v>34</v>
      </c>
      <c r="E1438" t="s">
        <v>29</v>
      </c>
      <c r="F1438" t="s">
        <v>104</v>
      </c>
      <c r="G1438">
        <v>32</v>
      </c>
      <c r="H1438" t="s">
        <v>31</v>
      </c>
      <c r="I1438" t="s">
        <v>22</v>
      </c>
      <c r="J1438" t="s">
        <v>25</v>
      </c>
      <c r="K1438" s="2">
        <v>82709</v>
      </c>
      <c r="L1438" s="2">
        <v>90812</v>
      </c>
      <c r="M1438" t="s">
        <v>32</v>
      </c>
      <c r="N1438">
        <v>36</v>
      </c>
      <c r="O1438" t="s">
        <v>23</v>
      </c>
      <c r="P1438">
        <v>6</v>
      </c>
      <c r="Q1438" s="1">
        <v>-3.3</v>
      </c>
      <c r="R1438" s="2">
        <f t="shared" si="88"/>
        <v>8103</v>
      </c>
      <c r="S1438" s="1">
        <f t="shared" si="89"/>
        <v>9.7969991173874664</v>
      </c>
      <c r="T1438" t="str">
        <f t="shared" si="90"/>
        <v>Expert</v>
      </c>
      <c r="U1438" t="str">
        <f t="shared" si="91"/>
        <v>Low Impact</v>
      </c>
    </row>
    <row r="1439" spans="1:21" x14ac:dyDescent="0.3">
      <c r="A1439" t="s">
        <v>705</v>
      </c>
      <c r="B1439">
        <v>58</v>
      </c>
      <c r="C1439" t="s">
        <v>18</v>
      </c>
      <c r="D1439" t="s">
        <v>40</v>
      </c>
      <c r="E1439" t="s">
        <v>20</v>
      </c>
      <c r="F1439" t="s">
        <v>88</v>
      </c>
      <c r="G1439">
        <v>34</v>
      </c>
      <c r="H1439" t="s">
        <v>37</v>
      </c>
      <c r="I1439" t="s">
        <v>37</v>
      </c>
      <c r="J1439" t="s">
        <v>23</v>
      </c>
      <c r="K1439" s="2">
        <v>86563</v>
      </c>
      <c r="L1439" s="2">
        <v>97099</v>
      </c>
      <c r="M1439" t="s">
        <v>38</v>
      </c>
      <c r="N1439">
        <v>45</v>
      </c>
      <c r="O1439" t="s">
        <v>23</v>
      </c>
      <c r="P1439">
        <v>6</v>
      </c>
      <c r="Q1439" s="1">
        <v>-3.35</v>
      </c>
      <c r="R1439" s="2">
        <f t="shared" si="88"/>
        <v>10536</v>
      </c>
      <c r="S1439" s="1">
        <f t="shared" si="89"/>
        <v>12.171482041980985</v>
      </c>
      <c r="T1439" t="str">
        <f t="shared" si="90"/>
        <v>Expert</v>
      </c>
      <c r="U1439" t="str">
        <f t="shared" si="91"/>
        <v>Medium Impact</v>
      </c>
    </row>
    <row r="1440" spans="1:21" x14ac:dyDescent="0.3">
      <c r="A1440" t="s">
        <v>1513</v>
      </c>
      <c r="B1440">
        <v>56</v>
      </c>
      <c r="C1440" t="s">
        <v>27</v>
      </c>
      <c r="D1440" t="s">
        <v>28</v>
      </c>
      <c r="E1440" t="s">
        <v>59</v>
      </c>
      <c r="F1440" t="s">
        <v>77</v>
      </c>
      <c r="G1440">
        <v>33</v>
      </c>
      <c r="H1440" t="s">
        <v>37</v>
      </c>
      <c r="I1440" t="s">
        <v>37</v>
      </c>
      <c r="J1440" t="s">
        <v>25</v>
      </c>
      <c r="K1440" s="2">
        <v>75213</v>
      </c>
      <c r="L1440" s="2">
        <v>74320</v>
      </c>
      <c r="M1440" t="s">
        <v>38</v>
      </c>
      <c r="N1440">
        <v>37</v>
      </c>
      <c r="O1440" t="s">
        <v>23</v>
      </c>
      <c r="P1440">
        <v>9</v>
      </c>
      <c r="Q1440" s="1">
        <v>-3.36</v>
      </c>
      <c r="R1440" s="2">
        <f t="shared" si="88"/>
        <v>-893</v>
      </c>
      <c r="S1440" s="1">
        <f t="shared" si="89"/>
        <v>-1.1872947495778656</v>
      </c>
      <c r="T1440" t="str">
        <f t="shared" si="90"/>
        <v>Expert</v>
      </c>
      <c r="U1440" t="str">
        <f t="shared" si="91"/>
        <v>Medium Impact</v>
      </c>
    </row>
    <row r="1441" spans="1:21" x14ac:dyDescent="0.3">
      <c r="A1441" t="s">
        <v>1076</v>
      </c>
      <c r="B1441">
        <v>57</v>
      </c>
      <c r="C1441" t="s">
        <v>54</v>
      </c>
      <c r="D1441" t="s">
        <v>19</v>
      </c>
      <c r="E1441" t="s">
        <v>29</v>
      </c>
      <c r="F1441" t="s">
        <v>104</v>
      </c>
      <c r="G1441">
        <v>32</v>
      </c>
      <c r="H1441" t="s">
        <v>37</v>
      </c>
      <c r="I1441" t="s">
        <v>22</v>
      </c>
      <c r="J1441" t="s">
        <v>25</v>
      </c>
      <c r="K1441" s="2">
        <v>68445</v>
      </c>
      <c r="L1441" s="2">
        <v>74818</v>
      </c>
      <c r="M1441" t="s">
        <v>32</v>
      </c>
      <c r="N1441">
        <v>52</v>
      </c>
      <c r="O1441" t="s">
        <v>23</v>
      </c>
      <c r="P1441">
        <v>5</v>
      </c>
      <c r="Q1441" s="1">
        <v>-3.37</v>
      </c>
      <c r="R1441" s="2">
        <f t="shared" si="88"/>
        <v>6373</v>
      </c>
      <c r="S1441" s="1">
        <f t="shared" si="89"/>
        <v>9.3111257213821315</v>
      </c>
      <c r="T1441" t="str">
        <f t="shared" si="90"/>
        <v>Expert</v>
      </c>
      <c r="U1441" t="str">
        <f t="shared" si="91"/>
        <v>Low Impact</v>
      </c>
    </row>
    <row r="1442" spans="1:21" x14ac:dyDescent="0.3">
      <c r="A1442" t="s">
        <v>299</v>
      </c>
      <c r="B1442">
        <v>36</v>
      </c>
      <c r="C1442" t="s">
        <v>54</v>
      </c>
      <c r="D1442" t="s">
        <v>40</v>
      </c>
      <c r="E1442" t="s">
        <v>41</v>
      </c>
      <c r="F1442" t="s">
        <v>42</v>
      </c>
      <c r="G1442">
        <v>13</v>
      </c>
      <c r="H1442" t="s">
        <v>22</v>
      </c>
      <c r="I1442" t="s">
        <v>22</v>
      </c>
      <c r="J1442" t="s">
        <v>23</v>
      </c>
      <c r="K1442" s="2">
        <v>106707</v>
      </c>
      <c r="L1442" s="2">
        <v>112365</v>
      </c>
      <c r="M1442" t="s">
        <v>38</v>
      </c>
      <c r="N1442">
        <v>53</v>
      </c>
      <c r="O1442" t="s">
        <v>23</v>
      </c>
      <c r="P1442">
        <v>4</v>
      </c>
      <c r="Q1442" s="1">
        <v>-3.39</v>
      </c>
      <c r="R1442" s="2">
        <f t="shared" si="88"/>
        <v>5658</v>
      </c>
      <c r="S1442" s="1">
        <f t="shared" si="89"/>
        <v>5.302370041328123</v>
      </c>
      <c r="T1442" t="str">
        <f t="shared" si="90"/>
        <v>Intermediate</v>
      </c>
      <c r="U1442" t="str">
        <f t="shared" si="91"/>
        <v>Medium Impact</v>
      </c>
    </row>
    <row r="1443" spans="1:21" x14ac:dyDescent="0.3">
      <c r="A1443" t="s">
        <v>589</v>
      </c>
      <c r="B1443">
        <v>40</v>
      </c>
      <c r="C1443" t="s">
        <v>27</v>
      </c>
      <c r="D1443" t="s">
        <v>28</v>
      </c>
      <c r="E1443" t="s">
        <v>20</v>
      </c>
      <c r="F1443" t="s">
        <v>21</v>
      </c>
      <c r="G1443">
        <v>14</v>
      </c>
      <c r="H1443" t="s">
        <v>31</v>
      </c>
      <c r="I1443" t="s">
        <v>31</v>
      </c>
      <c r="J1443" t="s">
        <v>25</v>
      </c>
      <c r="K1443" s="2">
        <v>52931</v>
      </c>
      <c r="L1443" s="2">
        <v>52490</v>
      </c>
      <c r="M1443" t="s">
        <v>32</v>
      </c>
      <c r="N1443">
        <v>44</v>
      </c>
      <c r="O1443" t="s">
        <v>25</v>
      </c>
      <c r="P1443">
        <v>3</v>
      </c>
      <c r="Q1443" s="1">
        <v>-3.42</v>
      </c>
      <c r="R1443" s="2">
        <f t="shared" si="88"/>
        <v>-441</v>
      </c>
      <c r="S1443" s="1">
        <f t="shared" si="89"/>
        <v>-0.83316015189586445</v>
      </c>
      <c r="T1443" t="str">
        <f t="shared" si="90"/>
        <v>Intermediate</v>
      </c>
      <c r="U1443" t="str">
        <f t="shared" si="91"/>
        <v>Low Impact</v>
      </c>
    </row>
    <row r="1444" spans="1:21" x14ac:dyDescent="0.3">
      <c r="A1444" t="s">
        <v>1957</v>
      </c>
      <c r="B1444">
        <v>39</v>
      </c>
      <c r="C1444" t="s">
        <v>18</v>
      </c>
      <c r="D1444" t="s">
        <v>34</v>
      </c>
      <c r="E1444" t="s">
        <v>59</v>
      </c>
      <c r="F1444" t="s">
        <v>60</v>
      </c>
      <c r="G1444">
        <v>16</v>
      </c>
      <c r="H1444" t="s">
        <v>22</v>
      </c>
      <c r="I1444" t="s">
        <v>37</v>
      </c>
      <c r="J1444" t="s">
        <v>23</v>
      </c>
      <c r="K1444" s="2">
        <v>64555</v>
      </c>
      <c r="L1444" s="2">
        <v>75241</v>
      </c>
      <c r="M1444" t="s">
        <v>38</v>
      </c>
      <c r="N1444">
        <v>50</v>
      </c>
      <c r="O1444" t="s">
        <v>23</v>
      </c>
      <c r="P1444">
        <v>4</v>
      </c>
      <c r="Q1444" s="1">
        <v>-3.51</v>
      </c>
      <c r="R1444" s="2">
        <f t="shared" si="88"/>
        <v>10686</v>
      </c>
      <c r="S1444" s="1">
        <f t="shared" si="89"/>
        <v>16.553326620711019</v>
      </c>
      <c r="T1444" t="str">
        <f t="shared" si="90"/>
        <v>Expert</v>
      </c>
      <c r="U1444" t="str">
        <f t="shared" si="91"/>
        <v>Medium Impact</v>
      </c>
    </row>
    <row r="1445" spans="1:21" x14ac:dyDescent="0.3">
      <c r="A1445" t="s">
        <v>153</v>
      </c>
      <c r="B1445">
        <v>35</v>
      </c>
      <c r="C1445" t="s">
        <v>18</v>
      </c>
      <c r="D1445" t="s">
        <v>40</v>
      </c>
      <c r="E1445" t="s">
        <v>59</v>
      </c>
      <c r="F1445" t="s">
        <v>77</v>
      </c>
      <c r="G1445">
        <v>13</v>
      </c>
      <c r="H1445" t="s">
        <v>37</v>
      </c>
      <c r="I1445" t="s">
        <v>22</v>
      </c>
      <c r="J1445" t="s">
        <v>25</v>
      </c>
      <c r="K1445" s="2">
        <v>68765</v>
      </c>
      <c r="L1445" s="2">
        <v>67075</v>
      </c>
      <c r="M1445" t="s">
        <v>32</v>
      </c>
      <c r="N1445">
        <v>38</v>
      </c>
      <c r="O1445" t="s">
        <v>23</v>
      </c>
      <c r="P1445">
        <v>8</v>
      </c>
      <c r="Q1445" s="1">
        <v>-3.52</v>
      </c>
      <c r="R1445" s="2">
        <f t="shared" si="88"/>
        <v>-1690</v>
      </c>
      <c r="S1445" s="1">
        <f t="shared" si="89"/>
        <v>-2.4576456045953607</v>
      </c>
      <c r="T1445" t="str">
        <f t="shared" si="90"/>
        <v>Intermediate</v>
      </c>
      <c r="U1445" t="str">
        <f t="shared" si="91"/>
        <v>Low Impact</v>
      </c>
    </row>
    <row r="1446" spans="1:21" x14ac:dyDescent="0.3">
      <c r="A1446" t="s">
        <v>1724</v>
      </c>
      <c r="B1446">
        <v>38</v>
      </c>
      <c r="C1446" t="s">
        <v>54</v>
      </c>
      <c r="D1446" t="s">
        <v>34</v>
      </c>
      <c r="E1446" t="s">
        <v>51</v>
      </c>
      <c r="F1446" t="s">
        <v>75</v>
      </c>
      <c r="G1446">
        <v>15</v>
      </c>
      <c r="H1446" t="s">
        <v>37</v>
      </c>
      <c r="I1446" t="s">
        <v>31</v>
      </c>
      <c r="J1446" t="s">
        <v>23</v>
      </c>
      <c r="K1446" s="2">
        <v>32786</v>
      </c>
      <c r="L1446" s="2">
        <v>31682</v>
      </c>
      <c r="M1446" t="s">
        <v>32</v>
      </c>
      <c r="N1446">
        <v>40</v>
      </c>
      <c r="O1446" t="s">
        <v>23</v>
      </c>
      <c r="P1446">
        <v>5</v>
      </c>
      <c r="Q1446" s="1">
        <v>-3.54</v>
      </c>
      <c r="R1446" s="2">
        <f t="shared" si="88"/>
        <v>-1104</v>
      </c>
      <c r="S1446" s="1">
        <f t="shared" si="89"/>
        <v>-3.3672909168547553</v>
      </c>
      <c r="T1446" t="str">
        <f t="shared" si="90"/>
        <v>Expert</v>
      </c>
      <c r="U1446" t="str">
        <f t="shared" si="91"/>
        <v>Low Impact</v>
      </c>
    </row>
    <row r="1447" spans="1:21" x14ac:dyDescent="0.3">
      <c r="A1447" t="s">
        <v>121</v>
      </c>
      <c r="B1447">
        <v>22</v>
      </c>
      <c r="C1447" t="s">
        <v>27</v>
      </c>
      <c r="D1447" t="s">
        <v>34</v>
      </c>
      <c r="E1447" t="s">
        <v>41</v>
      </c>
      <c r="F1447" t="s">
        <v>49</v>
      </c>
      <c r="G1447">
        <v>0</v>
      </c>
      <c r="H1447" t="s">
        <v>31</v>
      </c>
      <c r="I1447" t="s">
        <v>22</v>
      </c>
      <c r="J1447" t="s">
        <v>23</v>
      </c>
      <c r="K1447" s="2">
        <v>99449</v>
      </c>
      <c r="L1447" s="2">
        <v>97559</v>
      </c>
      <c r="M1447" t="s">
        <v>32</v>
      </c>
      <c r="N1447">
        <v>46</v>
      </c>
      <c r="O1447" t="s">
        <v>25</v>
      </c>
      <c r="P1447">
        <v>9</v>
      </c>
      <c r="Q1447" s="1">
        <v>-3.56</v>
      </c>
      <c r="R1447" s="2">
        <f t="shared" si="88"/>
        <v>-1890</v>
      </c>
      <c r="S1447" s="1">
        <f t="shared" si="89"/>
        <v>-1.9004715985077778</v>
      </c>
      <c r="T1447" t="str">
        <f t="shared" si="90"/>
        <v>Beginner</v>
      </c>
      <c r="U1447" t="str">
        <f t="shared" si="91"/>
        <v>Low Impact</v>
      </c>
    </row>
    <row r="1448" spans="1:21" x14ac:dyDescent="0.3">
      <c r="A1448" t="s">
        <v>901</v>
      </c>
      <c r="B1448">
        <v>39</v>
      </c>
      <c r="C1448" t="s">
        <v>27</v>
      </c>
      <c r="D1448" t="s">
        <v>28</v>
      </c>
      <c r="E1448" t="s">
        <v>29</v>
      </c>
      <c r="F1448" t="s">
        <v>104</v>
      </c>
      <c r="G1448">
        <v>13</v>
      </c>
      <c r="H1448" t="s">
        <v>22</v>
      </c>
      <c r="I1448" t="s">
        <v>31</v>
      </c>
      <c r="J1448" t="s">
        <v>25</v>
      </c>
      <c r="K1448" s="2">
        <v>106896</v>
      </c>
      <c r="L1448" s="2">
        <v>88070</v>
      </c>
      <c r="M1448" t="s">
        <v>32</v>
      </c>
      <c r="N1448">
        <v>41</v>
      </c>
      <c r="O1448" t="s">
        <v>25</v>
      </c>
      <c r="P1448">
        <v>9</v>
      </c>
      <c r="Q1448" s="1">
        <v>-3.56</v>
      </c>
      <c r="R1448" s="2">
        <f t="shared" si="88"/>
        <v>-18826</v>
      </c>
      <c r="S1448" s="1">
        <f t="shared" si="89"/>
        <v>-17.611510252956144</v>
      </c>
      <c r="T1448" t="str">
        <f t="shared" si="90"/>
        <v>Intermediate</v>
      </c>
      <c r="U1448" t="str">
        <f t="shared" si="91"/>
        <v>Low Impact</v>
      </c>
    </row>
    <row r="1449" spans="1:21" x14ac:dyDescent="0.3">
      <c r="A1449" t="s">
        <v>150</v>
      </c>
      <c r="B1449">
        <v>54</v>
      </c>
      <c r="C1449" t="s">
        <v>54</v>
      </c>
      <c r="D1449" t="s">
        <v>19</v>
      </c>
      <c r="E1449" t="s">
        <v>20</v>
      </c>
      <c r="F1449" t="s">
        <v>21</v>
      </c>
      <c r="G1449">
        <v>31</v>
      </c>
      <c r="H1449" t="s">
        <v>37</v>
      </c>
      <c r="I1449" t="s">
        <v>22</v>
      </c>
      <c r="J1449" t="s">
        <v>23</v>
      </c>
      <c r="K1449" s="2">
        <v>105880</v>
      </c>
      <c r="L1449" s="2">
        <v>108468</v>
      </c>
      <c r="M1449" t="s">
        <v>32</v>
      </c>
      <c r="N1449">
        <v>50</v>
      </c>
      <c r="O1449" t="s">
        <v>25</v>
      </c>
      <c r="P1449">
        <v>9</v>
      </c>
      <c r="Q1449" s="1">
        <v>-3.6</v>
      </c>
      <c r="R1449" s="2">
        <f t="shared" si="88"/>
        <v>2588</v>
      </c>
      <c r="S1449" s="1">
        <f t="shared" si="89"/>
        <v>2.4442765394786554</v>
      </c>
      <c r="T1449" t="str">
        <f t="shared" si="90"/>
        <v>Expert</v>
      </c>
      <c r="U1449" t="str">
        <f t="shared" si="91"/>
        <v>Low Impact</v>
      </c>
    </row>
    <row r="1450" spans="1:21" x14ac:dyDescent="0.3">
      <c r="A1450" t="s">
        <v>1989</v>
      </c>
      <c r="B1450">
        <v>29</v>
      </c>
      <c r="C1450" t="s">
        <v>18</v>
      </c>
      <c r="D1450" t="s">
        <v>19</v>
      </c>
      <c r="E1450" t="s">
        <v>44</v>
      </c>
      <c r="F1450" t="s">
        <v>45</v>
      </c>
      <c r="G1450">
        <v>3</v>
      </c>
      <c r="H1450" t="s">
        <v>37</v>
      </c>
      <c r="I1450" t="s">
        <v>31</v>
      </c>
      <c r="J1450" t="s">
        <v>25</v>
      </c>
      <c r="K1450" s="2">
        <v>109538</v>
      </c>
      <c r="L1450" s="2">
        <v>131095</v>
      </c>
      <c r="M1450" t="s">
        <v>32</v>
      </c>
      <c r="N1450">
        <v>54</v>
      </c>
      <c r="O1450" t="s">
        <v>25</v>
      </c>
      <c r="P1450">
        <v>8</v>
      </c>
      <c r="Q1450" s="1">
        <v>-3.65</v>
      </c>
      <c r="R1450" s="2">
        <f t="shared" si="88"/>
        <v>21557</v>
      </c>
      <c r="S1450" s="1">
        <f t="shared" si="89"/>
        <v>19.67992842666472</v>
      </c>
      <c r="T1450" t="str">
        <f t="shared" si="90"/>
        <v>Beginner</v>
      </c>
      <c r="U1450" t="str">
        <f t="shared" si="91"/>
        <v>Low Impact</v>
      </c>
    </row>
    <row r="1451" spans="1:21" x14ac:dyDescent="0.3">
      <c r="A1451" t="s">
        <v>1982</v>
      </c>
      <c r="B1451">
        <v>44</v>
      </c>
      <c r="C1451" t="s">
        <v>18</v>
      </c>
      <c r="D1451" t="s">
        <v>28</v>
      </c>
      <c r="E1451" t="s">
        <v>41</v>
      </c>
      <c r="F1451" t="s">
        <v>55</v>
      </c>
      <c r="G1451">
        <v>18</v>
      </c>
      <c r="H1451" t="s">
        <v>37</v>
      </c>
      <c r="I1451" t="s">
        <v>37</v>
      </c>
      <c r="J1451" t="s">
        <v>25</v>
      </c>
      <c r="K1451" s="2">
        <v>48782</v>
      </c>
      <c r="L1451" s="2">
        <v>47585</v>
      </c>
      <c r="M1451" t="s">
        <v>38</v>
      </c>
      <c r="N1451">
        <v>49</v>
      </c>
      <c r="O1451" t="s">
        <v>23</v>
      </c>
      <c r="P1451">
        <v>7</v>
      </c>
      <c r="Q1451" s="1">
        <v>-3.68</v>
      </c>
      <c r="R1451" s="2">
        <f t="shared" si="88"/>
        <v>-1197</v>
      </c>
      <c r="S1451" s="1">
        <f t="shared" si="89"/>
        <v>-2.4537739330080766</v>
      </c>
      <c r="T1451" t="str">
        <f t="shared" si="90"/>
        <v>Expert</v>
      </c>
      <c r="U1451" t="str">
        <f t="shared" si="91"/>
        <v>Medium Impact</v>
      </c>
    </row>
    <row r="1452" spans="1:21" x14ac:dyDescent="0.3">
      <c r="A1452" t="s">
        <v>1897</v>
      </c>
      <c r="B1452">
        <v>59</v>
      </c>
      <c r="C1452" t="s">
        <v>18</v>
      </c>
      <c r="D1452" t="s">
        <v>34</v>
      </c>
      <c r="E1452" t="s">
        <v>51</v>
      </c>
      <c r="F1452" t="s">
        <v>130</v>
      </c>
      <c r="G1452">
        <v>36</v>
      </c>
      <c r="H1452" t="s">
        <v>22</v>
      </c>
      <c r="I1452" t="s">
        <v>22</v>
      </c>
      <c r="J1452" t="s">
        <v>25</v>
      </c>
      <c r="K1452" s="2">
        <v>105911</v>
      </c>
      <c r="L1452" s="2">
        <v>99018</v>
      </c>
      <c r="M1452" t="s">
        <v>24</v>
      </c>
      <c r="N1452">
        <v>45</v>
      </c>
      <c r="O1452" t="s">
        <v>23</v>
      </c>
      <c r="P1452">
        <v>6</v>
      </c>
      <c r="Q1452" s="1">
        <v>-3.71</v>
      </c>
      <c r="R1452" s="2">
        <f t="shared" si="88"/>
        <v>-6893</v>
      </c>
      <c r="S1452" s="1">
        <f t="shared" si="89"/>
        <v>-6.5082947002672062</v>
      </c>
      <c r="T1452" t="str">
        <f t="shared" si="90"/>
        <v>Expert</v>
      </c>
      <c r="U1452" t="str">
        <f t="shared" si="91"/>
        <v>High Impact</v>
      </c>
    </row>
    <row r="1453" spans="1:21" x14ac:dyDescent="0.3">
      <c r="A1453" t="s">
        <v>1653</v>
      </c>
      <c r="B1453">
        <v>29</v>
      </c>
      <c r="C1453" t="s">
        <v>18</v>
      </c>
      <c r="D1453" t="s">
        <v>19</v>
      </c>
      <c r="E1453" t="s">
        <v>29</v>
      </c>
      <c r="F1453" t="s">
        <v>102</v>
      </c>
      <c r="G1453">
        <v>7</v>
      </c>
      <c r="H1453" t="s">
        <v>37</v>
      </c>
      <c r="I1453" t="s">
        <v>31</v>
      </c>
      <c r="J1453" t="s">
        <v>25</v>
      </c>
      <c r="K1453" s="2">
        <v>104092</v>
      </c>
      <c r="L1453" s="2">
        <v>102602</v>
      </c>
      <c r="M1453" t="s">
        <v>32</v>
      </c>
      <c r="N1453">
        <v>39</v>
      </c>
      <c r="O1453" t="s">
        <v>23</v>
      </c>
      <c r="P1453">
        <v>6</v>
      </c>
      <c r="Q1453" s="1">
        <v>-3.75</v>
      </c>
      <c r="R1453" s="2">
        <f t="shared" si="88"/>
        <v>-1490</v>
      </c>
      <c r="S1453" s="1">
        <f t="shared" si="89"/>
        <v>-1.4314260461899089</v>
      </c>
      <c r="T1453" t="str">
        <f t="shared" si="90"/>
        <v>Intermediate</v>
      </c>
      <c r="U1453" t="str">
        <f t="shared" si="91"/>
        <v>Low Impact</v>
      </c>
    </row>
    <row r="1454" spans="1:21" x14ac:dyDescent="0.3">
      <c r="A1454" t="s">
        <v>1801</v>
      </c>
      <c r="B1454">
        <v>34</v>
      </c>
      <c r="C1454" t="s">
        <v>54</v>
      </c>
      <c r="D1454" t="s">
        <v>19</v>
      </c>
      <c r="E1454" t="s">
        <v>51</v>
      </c>
      <c r="F1454" t="s">
        <v>75</v>
      </c>
      <c r="G1454">
        <v>9</v>
      </c>
      <c r="H1454" t="s">
        <v>37</v>
      </c>
      <c r="I1454" t="s">
        <v>22</v>
      </c>
      <c r="J1454" t="s">
        <v>25</v>
      </c>
      <c r="K1454" s="2">
        <v>34314</v>
      </c>
      <c r="L1454" s="2">
        <v>32964</v>
      </c>
      <c r="M1454" t="s">
        <v>32</v>
      </c>
      <c r="N1454">
        <v>51</v>
      </c>
      <c r="O1454" t="s">
        <v>23</v>
      </c>
      <c r="P1454">
        <v>5</v>
      </c>
      <c r="Q1454" s="1">
        <v>-3.79</v>
      </c>
      <c r="R1454" s="2">
        <f t="shared" si="88"/>
        <v>-1350</v>
      </c>
      <c r="S1454" s="1">
        <f t="shared" si="89"/>
        <v>-3.9342542402517924</v>
      </c>
      <c r="T1454" t="str">
        <f t="shared" si="90"/>
        <v>Intermediate</v>
      </c>
      <c r="U1454" t="str">
        <f t="shared" si="91"/>
        <v>Low Impact</v>
      </c>
    </row>
    <row r="1455" spans="1:21" x14ac:dyDescent="0.3">
      <c r="A1455" t="s">
        <v>1524</v>
      </c>
      <c r="B1455">
        <v>57</v>
      </c>
      <c r="C1455" t="s">
        <v>27</v>
      </c>
      <c r="D1455" t="s">
        <v>28</v>
      </c>
      <c r="E1455" t="s">
        <v>20</v>
      </c>
      <c r="F1455" t="s">
        <v>118</v>
      </c>
      <c r="G1455">
        <v>33</v>
      </c>
      <c r="H1455" t="s">
        <v>37</v>
      </c>
      <c r="I1455" t="s">
        <v>22</v>
      </c>
      <c r="J1455" t="s">
        <v>25</v>
      </c>
      <c r="K1455" s="2">
        <v>58371</v>
      </c>
      <c r="L1455" s="2">
        <v>59782</v>
      </c>
      <c r="M1455" t="s">
        <v>32</v>
      </c>
      <c r="N1455">
        <v>47</v>
      </c>
      <c r="O1455" t="s">
        <v>25</v>
      </c>
      <c r="P1455">
        <v>3</v>
      </c>
      <c r="Q1455" s="1">
        <v>-3.8</v>
      </c>
      <c r="R1455" s="2">
        <f t="shared" si="88"/>
        <v>1411</v>
      </c>
      <c r="S1455" s="1">
        <f t="shared" si="89"/>
        <v>2.4172962601291736</v>
      </c>
      <c r="T1455" t="str">
        <f t="shared" si="90"/>
        <v>Expert</v>
      </c>
      <c r="U1455" t="str">
        <f t="shared" si="91"/>
        <v>Low Impact</v>
      </c>
    </row>
    <row r="1456" spans="1:21" x14ac:dyDescent="0.3">
      <c r="A1456" t="s">
        <v>399</v>
      </c>
      <c r="B1456">
        <v>25</v>
      </c>
      <c r="C1456" t="s">
        <v>18</v>
      </c>
      <c r="D1456" t="s">
        <v>40</v>
      </c>
      <c r="E1456" t="s">
        <v>51</v>
      </c>
      <c r="F1456" t="s">
        <v>130</v>
      </c>
      <c r="G1456">
        <v>2</v>
      </c>
      <c r="H1456" t="s">
        <v>37</v>
      </c>
      <c r="I1456" t="s">
        <v>31</v>
      </c>
      <c r="J1456" t="s">
        <v>25</v>
      </c>
      <c r="K1456" s="2">
        <v>46029</v>
      </c>
      <c r="L1456" s="2">
        <v>52541</v>
      </c>
      <c r="M1456" t="s">
        <v>32</v>
      </c>
      <c r="N1456">
        <v>53</v>
      </c>
      <c r="O1456" t="s">
        <v>23</v>
      </c>
      <c r="P1456">
        <v>3</v>
      </c>
      <c r="Q1456" s="1">
        <v>-3.81</v>
      </c>
      <c r="R1456" s="2">
        <f t="shared" si="88"/>
        <v>6512</v>
      </c>
      <c r="S1456" s="1">
        <f t="shared" si="89"/>
        <v>14.147602598361903</v>
      </c>
      <c r="T1456" t="str">
        <f t="shared" si="90"/>
        <v>Beginner</v>
      </c>
      <c r="U1456" t="str">
        <f t="shared" si="91"/>
        <v>Low Impact</v>
      </c>
    </row>
    <row r="1457" spans="1:21" x14ac:dyDescent="0.3">
      <c r="A1457" t="s">
        <v>1176</v>
      </c>
      <c r="B1457">
        <v>33</v>
      </c>
      <c r="C1457" t="s">
        <v>27</v>
      </c>
      <c r="D1457" t="s">
        <v>34</v>
      </c>
      <c r="E1457" t="s">
        <v>59</v>
      </c>
      <c r="F1457" t="s">
        <v>93</v>
      </c>
      <c r="G1457">
        <v>11</v>
      </c>
      <c r="H1457" t="s">
        <v>31</v>
      </c>
      <c r="I1457" t="s">
        <v>37</v>
      </c>
      <c r="J1457" t="s">
        <v>23</v>
      </c>
      <c r="K1457" s="2">
        <v>38593</v>
      </c>
      <c r="L1457" s="2">
        <v>41279</v>
      </c>
      <c r="M1457" t="s">
        <v>38</v>
      </c>
      <c r="N1457">
        <v>46</v>
      </c>
      <c r="O1457" t="s">
        <v>23</v>
      </c>
      <c r="P1457">
        <v>5</v>
      </c>
      <c r="Q1457" s="1">
        <v>-3.83</v>
      </c>
      <c r="R1457" s="2">
        <f t="shared" si="88"/>
        <v>2686</v>
      </c>
      <c r="S1457" s="1">
        <f t="shared" si="89"/>
        <v>6.9598113647552671</v>
      </c>
      <c r="T1457" t="str">
        <f t="shared" si="90"/>
        <v>Intermediate</v>
      </c>
      <c r="U1457" t="str">
        <f t="shared" si="91"/>
        <v>Medium Impact</v>
      </c>
    </row>
    <row r="1458" spans="1:21" x14ac:dyDescent="0.3">
      <c r="A1458" t="s">
        <v>387</v>
      </c>
      <c r="B1458">
        <v>53</v>
      </c>
      <c r="C1458" t="s">
        <v>27</v>
      </c>
      <c r="D1458" t="s">
        <v>28</v>
      </c>
      <c r="E1458" t="s">
        <v>35</v>
      </c>
      <c r="F1458" t="s">
        <v>132</v>
      </c>
      <c r="G1458">
        <v>29</v>
      </c>
      <c r="H1458" t="s">
        <v>37</v>
      </c>
      <c r="I1458" t="s">
        <v>31</v>
      </c>
      <c r="J1458" t="s">
        <v>25</v>
      </c>
      <c r="K1458" s="2">
        <v>87941</v>
      </c>
      <c r="L1458" s="2">
        <v>99017</v>
      </c>
      <c r="M1458" t="s">
        <v>32</v>
      </c>
      <c r="N1458">
        <v>47</v>
      </c>
      <c r="O1458" t="s">
        <v>25</v>
      </c>
      <c r="P1458">
        <v>4</v>
      </c>
      <c r="Q1458" s="1">
        <v>-3.84</v>
      </c>
      <c r="R1458" s="2">
        <f t="shared" si="88"/>
        <v>11076</v>
      </c>
      <c r="S1458" s="1">
        <f t="shared" si="89"/>
        <v>12.594807882557625</v>
      </c>
      <c r="T1458" t="str">
        <f t="shared" si="90"/>
        <v>Expert</v>
      </c>
      <c r="U1458" t="str">
        <f t="shared" si="91"/>
        <v>Low Impact</v>
      </c>
    </row>
    <row r="1459" spans="1:21" x14ac:dyDescent="0.3">
      <c r="A1459" t="s">
        <v>71</v>
      </c>
      <c r="B1459">
        <v>27</v>
      </c>
      <c r="C1459" t="s">
        <v>27</v>
      </c>
      <c r="D1459" t="s">
        <v>40</v>
      </c>
      <c r="E1459" t="s">
        <v>44</v>
      </c>
      <c r="F1459" t="s">
        <v>47</v>
      </c>
      <c r="G1459">
        <v>3</v>
      </c>
      <c r="H1459" t="s">
        <v>31</v>
      </c>
      <c r="I1459" t="s">
        <v>37</v>
      </c>
      <c r="J1459" t="s">
        <v>25</v>
      </c>
      <c r="K1459" s="2">
        <v>33748</v>
      </c>
      <c r="L1459" s="2">
        <v>35565</v>
      </c>
      <c r="M1459" t="s">
        <v>38</v>
      </c>
      <c r="N1459">
        <v>49</v>
      </c>
      <c r="O1459" t="s">
        <v>25</v>
      </c>
      <c r="P1459">
        <v>5</v>
      </c>
      <c r="Q1459" s="1">
        <v>-3.84</v>
      </c>
      <c r="R1459" s="2">
        <f t="shared" si="88"/>
        <v>1817</v>
      </c>
      <c r="S1459" s="1">
        <f t="shared" si="89"/>
        <v>5.3840227569041135</v>
      </c>
      <c r="T1459" t="str">
        <f t="shared" si="90"/>
        <v>Beginner</v>
      </c>
      <c r="U1459" t="str">
        <f t="shared" si="91"/>
        <v>Medium Impact</v>
      </c>
    </row>
    <row r="1460" spans="1:21" x14ac:dyDescent="0.3">
      <c r="A1460" t="s">
        <v>530</v>
      </c>
      <c r="B1460">
        <v>47</v>
      </c>
      <c r="C1460" t="s">
        <v>27</v>
      </c>
      <c r="D1460" t="s">
        <v>19</v>
      </c>
      <c r="E1460" t="s">
        <v>51</v>
      </c>
      <c r="F1460" t="s">
        <v>75</v>
      </c>
      <c r="G1460">
        <v>25</v>
      </c>
      <c r="H1460" t="s">
        <v>22</v>
      </c>
      <c r="I1460" t="s">
        <v>22</v>
      </c>
      <c r="J1460" t="s">
        <v>23</v>
      </c>
      <c r="K1460" s="2">
        <v>50307</v>
      </c>
      <c r="L1460" s="2">
        <v>53976</v>
      </c>
      <c r="M1460" t="s">
        <v>38</v>
      </c>
      <c r="N1460">
        <v>51</v>
      </c>
      <c r="O1460" t="s">
        <v>25</v>
      </c>
      <c r="P1460">
        <v>6</v>
      </c>
      <c r="Q1460" s="1">
        <v>-3.96</v>
      </c>
      <c r="R1460" s="2">
        <f t="shared" si="88"/>
        <v>3669</v>
      </c>
      <c r="S1460" s="1">
        <f t="shared" si="89"/>
        <v>7.2932196314628186</v>
      </c>
      <c r="T1460" t="str">
        <f t="shared" si="90"/>
        <v>Expert</v>
      </c>
      <c r="U1460" t="str">
        <f t="shared" si="91"/>
        <v>Medium Impact</v>
      </c>
    </row>
    <row r="1461" spans="1:21" x14ac:dyDescent="0.3">
      <c r="A1461" t="s">
        <v>1840</v>
      </c>
      <c r="B1461">
        <v>50</v>
      </c>
      <c r="C1461" t="s">
        <v>54</v>
      </c>
      <c r="D1461" t="s">
        <v>40</v>
      </c>
      <c r="E1461" t="s">
        <v>59</v>
      </c>
      <c r="F1461" t="s">
        <v>60</v>
      </c>
      <c r="G1461">
        <v>25</v>
      </c>
      <c r="H1461" t="s">
        <v>22</v>
      </c>
      <c r="I1461" t="s">
        <v>22</v>
      </c>
      <c r="J1461" t="s">
        <v>23</v>
      </c>
      <c r="K1461" s="2">
        <v>95642</v>
      </c>
      <c r="L1461" s="2">
        <v>94772</v>
      </c>
      <c r="M1461" t="s">
        <v>38</v>
      </c>
      <c r="N1461">
        <v>43</v>
      </c>
      <c r="O1461" t="s">
        <v>23</v>
      </c>
      <c r="P1461">
        <v>6</v>
      </c>
      <c r="Q1461" s="1">
        <v>-4</v>
      </c>
      <c r="R1461" s="2">
        <f t="shared" si="88"/>
        <v>-870</v>
      </c>
      <c r="S1461" s="1">
        <f t="shared" si="89"/>
        <v>-0.90964220739842339</v>
      </c>
      <c r="T1461" t="str">
        <f t="shared" si="90"/>
        <v>Expert</v>
      </c>
      <c r="U1461" t="str">
        <f t="shared" si="91"/>
        <v>Medium Impact</v>
      </c>
    </row>
    <row r="1462" spans="1:21" x14ac:dyDescent="0.3">
      <c r="A1462" t="s">
        <v>1052</v>
      </c>
      <c r="B1462">
        <v>44</v>
      </c>
      <c r="C1462" t="s">
        <v>54</v>
      </c>
      <c r="D1462" t="s">
        <v>28</v>
      </c>
      <c r="E1462" t="s">
        <v>51</v>
      </c>
      <c r="F1462" t="s">
        <v>52</v>
      </c>
      <c r="G1462">
        <v>20</v>
      </c>
      <c r="H1462" t="s">
        <v>31</v>
      </c>
      <c r="I1462" t="s">
        <v>22</v>
      </c>
      <c r="J1462" t="s">
        <v>25</v>
      </c>
      <c r="K1462" s="2">
        <v>76118</v>
      </c>
      <c r="L1462" s="2">
        <v>82762</v>
      </c>
      <c r="M1462" t="s">
        <v>32</v>
      </c>
      <c r="N1462">
        <v>35</v>
      </c>
      <c r="O1462" t="s">
        <v>23</v>
      </c>
      <c r="P1462">
        <v>7</v>
      </c>
      <c r="Q1462" s="1">
        <v>-4.0599999999999996</v>
      </c>
      <c r="R1462" s="2">
        <f t="shared" si="88"/>
        <v>6644</v>
      </c>
      <c r="S1462" s="1">
        <f t="shared" si="89"/>
        <v>8.7285530360755672</v>
      </c>
      <c r="T1462" t="str">
        <f t="shared" si="90"/>
        <v>Expert</v>
      </c>
      <c r="U1462" t="str">
        <f t="shared" si="91"/>
        <v>Low Impact</v>
      </c>
    </row>
    <row r="1463" spans="1:21" x14ac:dyDescent="0.3">
      <c r="A1463" t="s">
        <v>2005</v>
      </c>
      <c r="B1463">
        <v>25</v>
      </c>
      <c r="C1463" t="s">
        <v>18</v>
      </c>
      <c r="D1463" t="s">
        <v>28</v>
      </c>
      <c r="E1463" t="s">
        <v>51</v>
      </c>
      <c r="F1463" t="s">
        <v>130</v>
      </c>
      <c r="G1463">
        <v>0</v>
      </c>
      <c r="H1463" t="s">
        <v>31</v>
      </c>
      <c r="I1463" t="s">
        <v>22</v>
      </c>
      <c r="J1463" t="s">
        <v>25</v>
      </c>
      <c r="K1463" s="2">
        <v>30903</v>
      </c>
      <c r="L1463" s="2">
        <v>29952</v>
      </c>
      <c r="M1463" t="s">
        <v>32</v>
      </c>
      <c r="N1463">
        <v>38</v>
      </c>
      <c r="O1463" t="s">
        <v>23</v>
      </c>
      <c r="P1463">
        <v>7</v>
      </c>
      <c r="Q1463" s="1">
        <v>-4.09</v>
      </c>
      <c r="R1463" s="2">
        <f t="shared" si="88"/>
        <v>-951</v>
      </c>
      <c r="S1463" s="1">
        <f t="shared" si="89"/>
        <v>-3.0773711290166004</v>
      </c>
      <c r="T1463" t="str">
        <f t="shared" si="90"/>
        <v>Beginner</v>
      </c>
      <c r="U1463" t="str">
        <f t="shared" si="91"/>
        <v>Low Impact</v>
      </c>
    </row>
    <row r="1464" spans="1:21" x14ac:dyDescent="0.3">
      <c r="A1464" t="s">
        <v>448</v>
      </c>
      <c r="B1464">
        <v>35</v>
      </c>
      <c r="C1464" t="s">
        <v>54</v>
      </c>
      <c r="D1464" t="s">
        <v>40</v>
      </c>
      <c r="E1464" t="s">
        <v>20</v>
      </c>
      <c r="F1464" t="s">
        <v>21</v>
      </c>
      <c r="G1464">
        <v>9</v>
      </c>
      <c r="H1464" t="s">
        <v>31</v>
      </c>
      <c r="I1464" t="s">
        <v>31</v>
      </c>
      <c r="J1464" t="s">
        <v>23</v>
      </c>
      <c r="K1464" s="2">
        <v>109676</v>
      </c>
      <c r="L1464" s="2">
        <v>105316</v>
      </c>
      <c r="M1464" t="s">
        <v>32</v>
      </c>
      <c r="N1464">
        <v>43</v>
      </c>
      <c r="O1464" t="s">
        <v>25</v>
      </c>
      <c r="P1464">
        <v>3</v>
      </c>
      <c r="Q1464" s="1">
        <v>-4.2</v>
      </c>
      <c r="R1464" s="2">
        <f t="shared" si="88"/>
        <v>-4360</v>
      </c>
      <c r="S1464" s="1">
        <f t="shared" si="89"/>
        <v>-3.9753455632955252</v>
      </c>
      <c r="T1464" t="str">
        <f t="shared" si="90"/>
        <v>Intermediate</v>
      </c>
      <c r="U1464" t="str">
        <f t="shared" si="91"/>
        <v>Low Impact</v>
      </c>
    </row>
    <row r="1465" spans="1:21" x14ac:dyDescent="0.3">
      <c r="A1465" t="s">
        <v>1816</v>
      </c>
      <c r="B1465">
        <v>56</v>
      </c>
      <c r="C1465" t="s">
        <v>27</v>
      </c>
      <c r="D1465" t="s">
        <v>40</v>
      </c>
      <c r="E1465" t="s">
        <v>35</v>
      </c>
      <c r="F1465" t="s">
        <v>36</v>
      </c>
      <c r="G1465">
        <v>32</v>
      </c>
      <c r="H1465" t="s">
        <v>37</v>
      </c>
      <c r="I1465" t="s">
        <v>31</v>
      </c>
      <c r="J1465" t="s">
        <v>25</v>
      </c>
      <c r="K1465" s="2">
        <v>78929</v>
      </c>
      <c r="L1465" s="2">
        <v>75005</v>
      </c>
      <c r="M1465" t="s">
        <v>32</v>
      </c>
      <c r="N1465">
        <v>53</v>
      </c>
      <c r="O1465" t="s">
        <v>25</v>
      </c>
      <c r="P1465">
        <v>8</v>
      </c>
      <c r="Q1465" s="1">
        <v>-4.2300000000000004</v>
      </c>
      <c r="R1465" s="2">
        <f t="shared" si="88"/>
        <v>-3924</v>
      </c>
      <c r="S1465" s="1">
        <f t="shared" si="89"/>
        <v>-4.9715567155291467</v>
      </c>
      <c r="T1465" t="str">
        <f t="shared" si="90"/>
        <v>Expert</v>
      </c>
      <c r="U1465" t="str">
        <f t="shared" si="91"/>
        <v>Low Impact</v>
      </c>
    </row>
    <row r="1466" spans="1:21" x14ac:dyDescent="0.3">
      <c r="A1466" t="s">
        <v>1525</v>
      </c>
      <c r="B1466">
        <v>49</v>
      </c>
      <c r="C1466" t="s">
        <v>18</v>
      </c>
      <c r="D1466" t="s">
        <v>28</v>
      </c>
      <c r="E1466" t="s">
        <v>51</v>
      </c>
      <c r="F1466" t="s">
        <v>52</v>
      </c>
      <c r="G1466">
        <v>27</v>
      </c>
      <c r="H1466" t="s">
        <v>31</v>
      </c>
      <c r="I1466" t="s">
        <v>37</v>
      </c>
      <c r="J1466" t="s">
        <v>25</v>
      </c>
      <c r="K1466" s="2">
        <v>39916</v>
      </c>
      <c r="L1466" s="2">
        <v>41438</v>
      </c>
      <c r="M1466" t="s">
        <v>38</v>
      </c>
      <c r="N1466">
        <v>48</v>
      </c>
      <c r="O1466" t="s">
        <v>25</v>
      </c>
      <c r="P1466">
        <v>8</v>
      </c>
      <c r="Q1466" s="1">
        <v>-4.32</v>
      </c>
      <c r="R1466" s="2">
        <f t="shared" si="88"/>
        <v>1522</v>
      </c>
      <c r="S1466" s="1">
        <f t="shared" si="89"/>
        <v>3.813007315362261</v>
      </c>
      <c r="T1466" t="str">
        <f t="shared" si="90"/>
        <v>Expert</v>
      </c>
      <c r="U1466" t="str">
        <f t="shared" si="91"/>
        <v>Medium Impact</v>
      </c>
    </row>
    <row r="1467" spans="1:21" x14ac:dyDescent="0.3">
      <c r="A1467" t="s">
        <v>2043</v>
      </c>
      <c r="B1467">
        <v>33</v>
      </c>
      <c r="C1467" t="s">
        <v>54</v>
      </c>
      <c r="D1467" t="s">
        <v>34</v>
      </c>
      <c r="E1467" t="s">
        <v>44</v>
      </c>
      <c r="F1467" t="s">
        <v>47</v>
      </c>
      <c r="G1467">
        <v>7</v>
      </c>
      <c r="H1467" t="s">
        <v>37</v>
      </c>
      <c r="I1467" t="s">
        <v>37</v>
      </c>
      <c r="J1467" t="s">
        <v>25</v>
      </c>
      <c r="K1467" s="2">
        <v>106034</v>
      </c>
      <c r="L1467" s="2">
        <v>117827</v>
      </c>
      <c r="M1467" t="s">
        <v>38</v>
      </c>
      <c r="N1467">
        <v>48</v>
      </c>
      <c r="O1467" t="s">
        <v>23</v>
      </c>
      <c r="P1467">
        <v>5</v>
      </c>
      <c r="Q1467" s="1">
        <v>-4.3899999999999997</v>
      </c>
      <c r="R1467" s="2">
        <f t="shared" si="88"/>
        <v>11793</v>
      </c>
      <c r="S1467" s="1">
        <f t="shared" si="89"/>
        <v>11.121904294848822</v>
      </c>
      <c r="T1467" t="str">
        <f t="shared" si="90"/>
        <v>Intermediate</v>
      </c>
      <c r="U1467" t="str">
        <f t="shared" si="91"/>
        <v>Medium Impact</v>
      </c>
    </row>
    <row r="1468" spans="1:21" x14ac:dyDescent="0.3">
      <c r="A1468" t="s">
        <v>414</v>
      </c>
      <c r="B1468">
        <v>42</v>
      </c>
      <c r="C1468" t="s">
        <v>18</v>
      </c>
      <c r="D1468" t="s">
        <v>40</v>
      </c>
      <c r="E1468" t="s">
        <v>29</v>
      </c>
      <c r="F1468" t="s">
        <v>102</v>
      </c>
      <c r="G1468">
        <v>19</v>
      </c>
      <c r="H1468" t="s">
        <v>31</v>
      </c>
      <c r="I1468" t="s">
        <v>37</v>
      </c>
      <c r="J1468" t="s">
        <v>23</v>
      </c>
      <c r="K1468" s="2">
        <v>107465</v>
      </c>
      <c r="L1468" s="2">
        <v>108842</v>
      </c>
      <c r="M1468" t="s">
        <v>38</v>
      </c>
      <c r="N1468">
        <v>39</v>
      </c>
      <c r="O1468" t="s">
        <v>23</v>
      </c>
      <c r="P1468">
        <v>4</v>
      </c>
      <c r="Q1468" s="1">
        <v>-4.3899999999999997</v>
      </c>
      <c r="R1468" s="2">
        <f t="shared" si="88"/>
        <v>1377</v>
      </c>
      <c r="S1468" s="1">
        <f t="shared" si="89"/>
        <v>1.2813474154375843</v>
      </c>
      <c r="T1468" t="str">
        <f t="shared" si="90"/>
        <v>Expert</v>
      </c>
      <c r="U1468" t="str">
        <f t="shared" si="91"/>
        <v>Medium Impact</v>
      </c>
    </row>
    <row r="1469" spans="1:21" x14ac:dyDescent="0.3">
      <c r="A1469" t="s">
        <v>367</v>
      </c>
      <c r="B1469">
        <v>23</v>
      </c>
      <c r="C1469" t="s">
        <v>27</v>
      </c>
      <c r="D1469" t="s">
        <v>19</v>
      </c>
      <c r="E1469" t="s">
        <v>29</v>
      </c>
      <c r="F1469" t="s">
        <v>102</v>
      </c>
      <c r="G1469">
        <v>0</v>
      </c>
      <c r="H1469" t="s">
        <v>31</v>
      </c>
      <c r="I1469" t="s">
        <v>37</v>
      </c>
      <c r="J1469" t="s">
        <v>25</v>
      </c>
      <c r="K1469" s="2">
        <v>36548</v>
      </c>
      <c r="L1469" s="2">
        <v>34825</v>
      </c>
      <c r="M1469" t="s">
        <v>38</v>
      </c>
      <c r="N1469">
        <v>44</v>
      </c>
      <c r="O1469" t="s">
        <v>23</v>
      </c>
      <c r="P1469">
        <v>9</v>
      </c>
      <c r="Q1469" s="1">
        <v>-4.41</v>
      </c>
      <c r="R1469" s="2">
        <f t="shared" si="88"/>
        <v>-1723</v>
      </c>
      <c r="S1469" s="1">
        <f t="shared" si="89"/>
        <v>-4.7143482543504431</v>
      </c>
      <c r="T1469" t="str">
        <f t="shared" si="90"/>
        <v>Beginner</v>
      </c>
      <c r="U1469" t="str">
        <f t="shared" si="91"/>
        <v>Medium Impact</v>
      </c>
    </row>
    <row r="1470" spans="1:21" x14ac:dyDescent="0.3">
      <c r="A1470" t="s">
        <v>881</v>
      </c>
      <c r="B1470">
        <v>27</v>
      </c>
      <c r="C1470" t="s">
        <v>18</v>
      </c>
      <c r="D1470" t="s">
        <v>28</v>
      </c>
      <c r="E1470" t="s">
        <v>35</v>
      </c>
      <c r="F1470" t="s">
        <v>36</v>
      </c>
      <c r="G1470">
        <v>5</v>
      </c>
      <c r="H1470" t="s">
        <v>31</v>
      </c>
      <c r="I1470" t="s">
        <v>31</v>
      </c>
      <c r="J1470" t="s">
        <v>23</v>
      </c>
      <c r="K1470" s="2">
        <v>59670</v>
      </c>
      <c r="L1470" s="2">
        <v>64255</v>
      </c>
      <c r="M1470" t="s">
        <v>32</v>
      </c>
      <c r="N1470">
        <v>50</v>
      </c>
      <c r="O1470" t="s">
        <v>25</v>
      </c>
      <c r="P1470">
        <v>5</v>
      </c>
      <c r="Q1470" s="1">
        <v>-4.42</v>
      </c>
      <c r="R1470" s="2">
        <f t="shared" si="88"/>
        <v>4585</v>
      </c>
      <c r="S1470" s="1">
        <f t="shared" si="89"/>
        <v>7.6839282721635662</v>
      </c>
      <c r="T1470" t="str">
        <f t="shared" si="90"/>
        <v>Intermediate</v>
      </c>
      <c r="U1470" t="str">
        <f t="shared" si="91"/>
        <v>Low Impact</v>
      </c>
    </row>
    <row r="1471" spans="1:21" x14ac:dyDescent="0.3">
      <c r="A1471" t="s">
        <v>486</v>
      </c>
      <c r="B1471">
        <v>44</v>
      </c>
      <c r="C1471" t="s">
        <v>54</v>
      </c>
      <c r="D1471" t="s">
        <v>40</v>
      </c>
      <c r="E1471" t="s">
        <v>41</v>
      </c>
      <c r="F1471" t="s">
        <v>42</v>
      </c>
      <c r="G1471">
        <v>20</v>
      </c>
      <c r="H1471" t="s">
        <v>31</v>
      </c>
      <c r="I1471" t="s">
        <v>22</v>
      </c>
      <c r="J1471" t="s">
        <v>25</v>
      </c>
      <c r="K1471" s="2">
        <v>94386</v>
      </c>
      <c r="L1471" s="2">
        <v>93947</v>
      </c>
      <c r="M1471" t="s">
        <v>32</v>
      </c>
      <c r="N1471">
        <v>53</v>
      </c>
      <c r="O1471" t="s">
        <v>25</v>
      </c>
      <c r="P1471">
        <v>4</v>
      </c>
      <c r="Q1471" s="1">
        <v>-4.4400000000000004</v>
      </c>
      <c r="R1471" s="2">
        <f t="shared" si="88"/>
        <v>-439</v>
      </c>
      <c r="S1471" s="1">
        <f t="shared" si="89"/>
        <v>-0.4651113512597207</v>
      </c>
      <c r="T1471" t="str">
        <f t="shared" si="90"/>
        <v>Expert</v>
      </c>
      <c r="U1471" t="str">
        <f t="shared" si="91"/>
        <v>Low Impact</v>
      </c>
    </row>
    <row r="1472" spans="1:21" x14ac:dyDescent="0.3">
      <c r="A1472" t="s">
        <v>1810</v>
      </c>
      <c r="B1472">
        <v>57</v>
      </c>
      <c r="C1472" t="s">
        <v>54</v>
      </c>
      <c r="D1472" t="s">
        <v>19</v>
      </c>
      <c r="E1472" t="s">
        <v>41</v>
      </c>
      <c r="F1472" t="s">
        <v>42</v>
      </c>
      <c r="G1472">
        <v>34</v>
      </c>
      <c r="H1472" t="s">
        <v>31</v>
      </c>
      <c r="I1472" t="s">
        <v>37</v>
      </c>
      <c r="J1472" t="s">
        <v>25</v>
      </c>
      <c r="K1472" s="2">
        <v>96330</v>
      </c>
      <c r="L1472" s="2">
        <v>99869</v>
      </c>
      <c r="M1472" t="s">
        <v>38</v>
      </c>
      <c r="N1472">
        <v>36</v>
      </c>
      <c r="O1472" t="s">
        <v>23</v>
      </c>
      <c r="P1472">
        <v>4</v>
      </c>
      <c r="Q1472" s="1">
        <v>-4.45</v>
      </c>
      <c r="R1472" s="2">
        <f t="shared" si="88"/>
        <v>3539</v>
      </c>
      <c r="S1472" s="1">
        <f t="shared" si="89"/>
        <v>3.6738295442748883</v>
      </c>
      <c r="T1472" t="str">
        <f t="shared" si="90"/>
        <v>Expert</v>
      </c>
      <c r="U1472" t="str">
        <f t="shared" si="91"/>
        <v>Medium Impact</v>
      </c>
    </row>
    <row r="1473" spans="1:21" x14ac:dyDescent="0.3">
      <c r="A1473" t="s">
        <v>385</v>
      </c>
      <c r="B1473">
        <v>56</v>
      </c>
      <c r="C1473" t="s">
        <v>27</v>
      </c>
      <c r="D1473" t="s">
        <v>34</v>
      </c>
      <c r="E1473" t="s">
        <v>29</v>
      </c>
      <c r="F1473" t="s">
        <v>102</v>
      </c>
      <c r="G1473">
        <v>33</v>
      </c>
      <c r="H1473" t="s">
        <v>22</v>
      </c>
      <c r="I1473" t="s">
        <v>37</v>
      </c>
      <c r="J1473" t="s">
        <v>25</v>
      </c>
      <c r="K1473" s="2">
        <v>78758</v>
      </c>
      <c r="L1473" s="2">
        <v>104556</v>
      </c>
      <c r="M1473" t="s">
        <v>38</v>
      </c>
      <c r="N1473">
        <v>49</v>
      </c>
      <c r="O1473" t="s">
        <v>25</v>
      </c>
      <c r="P1473">
        <v>4</v>
      </c>
      <c r="Q1473" s="1">
        <v>-4.49</v>
      </c>
      <c r="R1473" s="2">
        <f t="shared" si="88"/>
        <v>25798</v>
      </c>
      <c r="S1473" s="1">
        <f t="shared" si="89"/>
        <v>32.756037481906603</v>
      </c>
      <c r="T1473" t="str">
        <f t="shared" si="90"/>
        <v>Expert</v>
      </c>
      <c r="U1473" t="str">
        <f t="shared" si="91"/>
        <v>Medium Impact</v>
      </c>
    </row>
    <row r="1474" spans="1:21" x14ac:dyDescent="0.3">
      <c r="A1474" t="s">
        <v>1589</v>
      </c>
      <c r="B1474">
        <v>22</v>
      </c>
      <c r="C1474" t="s">
        <v>18</v>
      </c>
      <c r="D1474" t="s">
        <v>19</v>
      </c>
      <c r="E1474" t="s">
        <v>35</v>
      </c>
      <c r="F1474" t="s">
        <v>36</v>
      </c>
      <c r="G1474">
        <v>0</v>
      </c>
      <c r="H1474" t="s">
        <v>37</v>
      </c>
      <c r="I1474" t="s">
        <v>22</v>
      </c>
      <c r="J1474" t="s">
        <v>25</v>
      </c>
      <c r="K1474" s="2">
        <v>78348</v>
      </c>
      <c r="L1474" s="2">
        <v>88461</v>
      </c>
      <c r="M1474" t="s">
        <v>32</v>
      </c>
      <c r="N1474">
        <v>46</v>
      </c>
      <c r="O1474" t="s">
        <v>23</v>
      </c>
      <c r="P1474">
        <v>9</v>
      </c>
      <c r="Q1474" s="1">
        <v>-4.5</v>
      </c>
      <c r="R1474" s="2">
        <f t="shared" ref="R1474:R1537" si="92">L1474-K1474</f>
        <v>10113</v>
      </c>
      <c r="S1474" s="1">
        <f t="shared" ref="S1474:S1537" si="93">(L1474-K1474)/K1474*100</f>
        <v>12.907795987134325</v>
      </c>
      <c r="T1474" t="str">
        <f t="shared" ref="T1474:T1537" si="94">IF(G1474&lt;5,"Beginner",IF(G1474&lt;15,"Intermediate","Expert"))</f>
        <v>Beginner</v>
      </c>
      <c r="U1474" t="str">
        <f t="shared" ref="U1474:U1537" si="95">IF(M1474="Replaced","High Impact",IF(M1474="Modified","Medium Impact","Low Impact"))</f>
        <v>Low Impact</v>
      </c>
    </row>
    <row r="1475" spans="1:21" x14ac:dyDescent="0.3">
      <c r="A1475" t="s">
        <v>464</v>
      </c>
      <c r="B1475">
        <v>40</v>
      </c>
      <c r="C1475" t="s">
        <v>54</v>
      </c>
      <c r="D1475" t="s">
        <v>28</v>
      </c>
      <c r="E1475" t="s">
        <v>29</v>
      </c>
      <c r="F1475" t="s">
        <v>30</v>
      </c>
      <c r="G1475">
        <v>15</v>
      </c>
      <c r="H1475" t="s">
        <v>37</v>
      </c>
      <c r="I1475" t="s">
        <v>22</v>
      </c>
      <c r="J1475" t="s">
        <v>25</v>
      </c>
      <c r="K1475" s="2">
        <v>108279</v>
      </c>
      <c r="L1475" s="2">
        <v>119245</v>
      </c>
      <c r="M1475" t="s">
        <v>32</v>
      </c>
      <c r="N1475">
        <v>50</v>
      </c>
      <c r="O1475" t="s">
        <v>23</v>
      </c>
      <c r="P1475">
        <v>3</v>
      </c>
      <c r="Q1475" s="1">
        <v>-4.51</v>
      </c>
      <c r="R1475" s="2">
        <f t="shared" si="92"/>
        <v>10966</v>
      </c>
      <c r="S1475" s="1">
        <f t="shared" si="93"/>
        <v>10.127540889738546</v>
      </c>
      <c r="T1475" t="str">
        <f t="shared" si="94"/>
        <v>Expert</v>
      </c>
      <c r="U1475" t="str">
        <f t="shared" si="95"/>
        <v>Low Impact</v>
      </c>
    </row>
    <row r="1476" spans="1:21" x14ac:dyDescent="0.3">
      <c r="A1476" t="s">
        <v>178</v>
      </c>
      <c r="B1476">
        <v>32</v>
      </c>
      <c r="C1476" t="s">
        <v>27</v>
      </c>
      <c r="D1476" t="s">
        <v>28</v>
      </c>
      <c r="E1476" t="s">
        <v>20</v>
      </c>
      <c r="F1476" t="s">
        <v>21</v>
      </c>
      <c r="G1476">
        <v>7</v>
      </c>
      <c r="H1476" t="s">
        <v>22</v>
      </c>
      <c r="I1476" t="s">
        <v>37</v>
      </c>
      <c r="J1476" t="s">
        <v>23</v>
      </c>
      <c r="K1476" s="2">
        <v>117886</v>
      </c>
      <c r="L1476" s="2">
        <v>152101</v>
      </c>
      <c r="M1476" t="s">
        <v>38</v>
      </c>
      <c r="N1476">
        <v>40</v>
      </c>
      <c r="O1476" t="s">
        <v>23</v>
      </c>
      <c r="P1476">
        <v>5</v>
      </c>
      <c r="Q1476" s="1">
        <v>-4.53</v>
      </c>
      <c r="R1476" s="2">
        <f t="shared" si="92"/>
        <v>34215</v>
      </c>
      <c r="S1476" s="1">
        <f t="shared" si="93"/>
        <v>29.023802656804033</v>
      </c>
      <c r="T1476" t="str">
        <f t="shared" si="94"/>
        <v>Intermediate</v>
      </c>
      <c r="U1476" t="str">
        <f t="shared" si="95"/>
        <v>Medium Impact</v>
      </c>
    </row>
    <row r="1477" spans="1:21" x14ac:dyDescent="0.3">
      <c r="A1477" t="s">
        <v>1742</v>
      </c>
      <c r="B1477">
        <v>47</v>
      </c>
      <c r="C1477" t="s">
        <v>27</v>
      </c>
      <c r="D1477" t="s">
        <v>34</v>
      </c>
      <c r="E1477" t="s">
        <v>41</v>
      </c>
      <c r="F1477" t="s">
        <v>49</v>
      </c>
      <c r="G1477">
        <v>24</v>
      </c>
      <c r="H1477" t="s">
        <v>31</v>
      </c>
      <c r="I1477" t="s">
        <v>37</v>
      </c>
      <c r="J1477" t="s">
        <v>23</v>
      </c>
      <c r="K1477" s="2">
        <v>41217</v>
      </c>
      <c r="L1477" s="2">
        <v>41707</v>
      </c>
      <c r="M1477" t="s">
        <v>38</v>
      </c>
      <c r="N1477">
        <v>35</v>
      </c>
      <c r="O1477" t="s">
        <v>25</v>
      </c>
      <c r="P1477">
        <v>4</v>
      </c>
      <c r="Q1477" s="1">
        <v>-4.6100000000000003</v>
      </c>
      <c r="R1477" s="2">
        <f t="shared" si="92"/>
        <v>490</v>
      </c>
      <c r="S1477" s="1">
        <f t="shared" si="93"/>
        <v>1.1888298517601961</v>
      </c>
      <c r="T1477" t="str">
        <f t="shared" si="94"/>
        <v>Expert</v>
      </c>
      <c r="U1477" t="str">
        <f t="shared" si="95"/>
        <v>Medium Impact</v>
      </c>
    </row>
    <row r="1478" spans="1:21" x14ac:dyDescent="0.3">
      <c r="A1478" t="s">
        <v>1703</v>
      </c>
      <c r="B1478">
        <v>43</v>
      </c>
      <c r="C1478" t="s">
        <v>27</v>
      </c>
      <c r="D1478" t="s">
        <v>19</v>
      </c>
      <c r="E1478" t="s">
        <v>44</v>
      </c>
      <c r="F1478" t="s">
        <v>47</v>
      </c>
      <c r="G1478">
        <v>19</v>
      </c>
      <c r="H1478" t="s">
        <v>37</v>
      </c>
      <c r="I1478" t="s">
        <v>37</v>
      </c>
      <c r="J1478" t="s">
        <v>23</v>
      </c>
      <c r="K1478" s="2">
        <v>92583</v>
      </c>
      <c r="L1478" s="2">
        <v>107195</v>
      </c>
      <c r="M1478" t="s">
        <v>38</v>
      </c>
      <c r="N1478">
        <v>51</v>
      </c>
      <c r="O1478" t="s">
        <v>25</v>
      </c>
      <c r="P1478">
        <v>3</v>
      </c>
      <c r="Q1478" s="1">
        <v>-4.62</v>
      </c>
      <c r="R1478" s="2">
        <f t="shared" si="92"/>
        <v>14612</v>
      </c>
      <c r="S1478" s="1">
        <f t="shared" si="93"/>
        <v>15.782595076849962</v>
      </c>
      <c r="T1478" t="str">
        <f t="shared" si="94"/>
        <v>Expert</v>
      </c>
      <c r="U1478" t="str">
        <f t="shared" si="95"/>
        <v>Medium Impact</v>
      </c>
    </row>
    <row r="1479" spans="1:21" x14ac:dyDescent="0.3">
      <c r="A1479" t="s">
        <v>1663</v>
      </c>
      <c r="B1479">
        <v>33</v>
      </c>
      <c r="C1479" t="s">
        <v>27</v>
      </c>
      <c r="D1479" t="s">
        <v>34</v>
      </c>
      <c r="E1479" t="s">
        <v>35</v>
      </c>
      <c r="F1479" t="s">
        <v>132</v>
      </c>
      <c r="G1479">
        <v>9</v>
      </c>
      <c r="H1479" t="s">
        <v>31</v>
      </c>
      <c r="I1479" t="s">
        <v>37</v>
      </c>
      <c r="J1479" t="s">
        <v>23</v>
      </c>
      <c r="K1479" s="2">
        <v>86901</v>
      </c>
      <c r="L1479" s="2">
        <v>88400</v>
      </c>
      <c r="M1479" t="s">
        <v>38</v>
      </c>
      <c r="N1479">
        <v>44</v>
      </c>
      <c r="O1479" t="s">
        <v>23</v>
      </c>
      <c r="P1479">
        <v>5</v>
      </c>
      <c r="Q1479" s="1">
        <v>-4.63</v>
      </c>
      <c r="R1479" s="2">
        <f t="shared" si="92"/>
        <v>1499</v>
      </c>
      <c r="S1479" s="1">
        <f t="shared" si="93"/>
        <v>1.7249513814570603</v>
      </c>
      <c r="T1479" t="str">
        <f t="shared" si="94"/>
        <v>Intermediate</v>
      </c>
      <c r="U1479" t="str">
        <f t="shared" si="95"/>
        <v>Medium Impact</v>
      </c>
    </row>
    <row r="1480" spans="1:21" x14ac:dyDescent="0.3">
      <c r="A1480" t="s">
        <v>101</v>
      </c>
      <c r="B1480">
        <v>50</v>
      </c>
      <c r="C1480" t="s">
        <v>54</v>
      </c>
      <c r="D1480" t="s">
        <v>19</v>
      </c>
      <c r="E1480" t="s">
        <v>29</v>
      </c>
      <c r="F1480" t="s">
        <v>102</v>
      </c>
      <c r="G1480">
        <v>27</v>
      </c>
      <c r="H1480" t="s">
        <v>22</v>
      </c>
      <c r="I1480" t="s">
        <v>37</v>
      </c>
      <c r="J1480" t="s">
        <v>25</v>
      </c>
      <c r="K1480" s="2">
        <v>49190</v>
      </c>
      <c r="L1480" s="2">
        <v>51741</v>
      </c>
      <c r="M1480" t="s">
        <v>38</v>
      </c>
      <c r="N1480">
        <v>47</v>
      </c>
      <c r="O1480" t="s">
        <v>23</v>
      </c>
      <c r="P1480">
        <v>6</v>
      </c>
      <c r="Q1480" s="1">
        <v>-4.63</v>
      </c>
      <c r="R1480" s="2">
        <f t="shared" si="92"/>
        <v>2551</v>
      </c>
      <c r="S1480" s="1">
        <f t="shared" si="93"/>
        <v>5.1860134173612522</v>
      </c>
      <c r="T1480" t="str">
        <f t="shared" si="94"/>
        <v>Expert</v>
      </c>
      <c r="U1480" t="str">
        <f t="shared" si="95"/>
        <v>Medium Impact</v>
      </c>
    </row>
    <row r="1481" spans="1:21" x14ac:dyDescent="0.3">
      <c r="A1481" t="s">
        <v>1315</v>
      </c>
      <c r="B1481">
        <v>32</v>
      </c>
      <c r="C1481" t="s">
        <v>54</v>
      </c>
      <c r="D1481" t="s">
        <v>34</v>
      </c>
      <c r="E1481" t="s">
        <v>20</v>
      </c>
      <c r="F1481" t="s">
        <v>88</v>
      </c>
      <c r="G1481">
        <v>7</v>
      </c>
      <c r="H1481" t="s">
        <v>37</v>
      </c>
      <c r="I1481" t="s">
        <v>22</v>
      </c>
      <c r="J1481" t="s">
        <v>23</v>
      </c>
      <c r="K1481" s="2">
        <v>30364</v>
      </c>
      <c r="L1481" s="2">
        <v>36145</v>
      </c>
      <c r="M1481" t="s">
        <v>32</v>
      </c>
      <c r="N1481">
        <v>43</v>
      </c>
      <c r="O1481" t="s">
        <v>25</v>
      </c>
      <c r="P1481">
        <v>4</v>
      </c>
      <c r="Q1481" s="1">
        <v>-4.6900000000000004</v>
      </c>
      <c r="R1481" s="2">
        <f t="shared" si="92"/>
        <v>5781</v>
      </c>
      <c r="S1481" s="1">
        <f t="shared" si="93"/>
        <v>19.038993544987484</v>
      </c>
      <c r="T1481" t="str">
        <f t="shared" si="94"/>
        <v>Intermediate</v>
      </c>
      <c r="U1481" t="str">
        <f t="shared" si="95"/>
        <v>Low Impact</v>
      </c>
    </row>
    <row r="1482" spans="1:21" x14ac:dyDescent="0.3">
      <c r="A1482" t="s">
        <v>372</v>
      </c>
      <c r="B1482">
        <v>38</v>
      </c>
      <c r="C1482" t="s">
        <v>27</v>
      </c>
      <c r="D1482" t="s">
        <v>19</v>
      </c>
      <c r="E1482" t="s">
        <v>29</v>
      </c>
      <c r="F1482" t="s">
        <v>102</v>
      </c>
      <c r="G1482">
        <v>16</v>
      </c>
      <c r="H1482" t="s">
        <v>37</v>
      </c>
      <c r="I1482" t="s">
        <v>31</v>
      </c>
      <c r="J1482" t="s">
        <v>23</v>
      </c>
      <c r="K1482" s="2">
        <v>94641</v>
      </c>
      <c r="L1482" s="2">
        <v>97601</v>
      </c>
      <c r="M1482" t="s">
        <v>32</v>
      </c>
      <c r="N1482">
        <v>44</v>
      </c>
      <c r="O1482" t="s">
        <v>25</v>
      </c>
      <c r="P1482">
        <v>4</v>
      </c>
      <c r="Q1482" s="1">
        <v>-4.72</v>
      </c>
      <c r="R1482" s="2">
        <f t="shared" si="92"/>
        <v>2960</v>
      </c>
      <c r="S1482" s="1">
        <f t="shared" si="93"/>
        <v>3.1276085417525175</v>
      </c>
      <c r="T1482" t="str">
        <f t="shared" si="94"/>
        <v>Expert</v>
      </c>
      <c r="U1482" t="str">
        <f t="shared" si="95"/>
        <v>Low Impact</v>
      </c>
    </row>
    <row r="1483" spans="1:21" x14ac:dyDescent="0.3">
      <c r="A1483" t="s">
        <v>1321</v>
      </c>
      <c r="B1483">
        <v>43</v>
      </c>
      <c r="C1483" t="s">
        <v>27</v>
      </c>
      <c r="D1483" t="s">
        <v>28</v>
      </c>
      <c r="E1483" t="s">
        <v>41</v>
      </c>
      <c r="F1483" t="s">
        <v>49</v>
      </c>
      <c r="G1483">
        <v>19</v>
      </c>
      <c r="H1483" t="s">
        <v>22</v>
      </c>
      <c r="I1483" t="s">
        <v>31</v>
      </c>
      <c r="J1483" t="s">
        <v>23</v>
      </c>
      <c r="K1483" s="2">
        <v>92537</v>
      </c>
      <c r="L1483" s="2">
        <v>95957</v>
      </c>
      <c r="M1483" t="s">
        <v>32</v>
      </c>
      <c r="N1483">
        <v>49</v>
      </c>
      <c r="O1483" t="s">
        <v>23</v>
      </c>
      <c r="P1483">
        <v>4</v>
      </c>
      <c r="Q1483" s="1">
        <v>-4.76</v>
      </c>
      <c r="R1483" s="2">
        <f t="shared" si="92"/>
        <v>3420</v>
      </c>
      <c r="S1483" s="1">
        <f t="shared" si="93"/>
        <v>3.6958189697094133</v>
      </c>
      <c r="T1483" t="str">
        <f t="shared" si="94"/>
        <v>Expert</v>
      </c>
      <c r="U1483" t="str">
        <f t="shared" si="95"/>
        <v>Low Impact</v>
      </c>
    </row>
    <row r="1484" spans="1:21" x14ac:dyDescent="0.3">
      <c r="A1484" t="s">
        <v>1007</v>
      </c>
      <c r="B1484">
        <v>24</v>
      </c>
      <c r="C1484" t="s">
        <v>27</v>
      </c>
      <c r="D1484" t="s">
        <v>28</v>
      </c>
      <c r="E1484" t="s">
        <v>41</v>
      </c>
      <c r="F1484" t="s">
        <v>42</v>
      </c>
      <c r="G1484">
        <v>0</v>
      </c>
      <c r="H1484" t="s">
        <v>31</v>
      </c>
      <c r="I1484" t="s">
        <v>22</v>
      </c>
      <c r="J1484" t="s">
        <v>23</v>
      </c>
      <c r="K1484" s="2">
        <v>88031</v>
      </c>
      <c r="L1484" s="2">
        <v>86535</v>
      </c>
      <c r="M1484" t="s">
        <v>32</v>
      </c>
      <c r="N1484">
        <v>36</v>
      </c>
      <c r="O1484" t="s">
        <v>25</v>
      </c>
      <c r="P1484">
        <v>6</v>
      </c>
      <c r="Q1484" s="1">
        <v>-4.76</v>
      </c>
      <c r="R1484" s="2">
        <f t="shared" si="92"/>
        <v>-1496</v>
      </c>
      <c r="S1484" s="1">
        <f t="shared" si="93"/>
        <v>-1.6994013472526726</v>
      </c>
      <c r="T1484" t="str">
        <f t="shared" si="94"/>
        <v>Beginner</v>
      </c>
      <c r="U1484" t="str">
        <f t="shared" si="95"/>
        <v>Low Impact</v>
      </c>
    </row>
    <row r="1485" spans="1:21" x14ac:dyDescent="0.3">
      <c r="A1485" t="s">
        <v>72</v>
      </c>
      <c r="B1485">
        <v>53</v>
      </c>
      <c r="C1485" t="s">
        <v>54</v>
      </c>
      <c r="D1485" t="s">
        <v>34</v>
      </c>
      <c r="E1485" t="s">
        <v>41</v>
      </c>
      <c r="F1485" t="s">
        <v>42</v>
      </c>
      <c r="G1485">
        <v>31</v>
      </c>
      <c r="H1485" t="s">
        <v>31</v>
      </c>
      <c r="I1485" t="s">
        <v>22</v>
      </c>
      <c r="J1485" t="s">
        <v>25</v>
      </c>
      <c r="K1485" s="2">
        <v>84384</v>
      </c>
      <c r="L1485" s="2">
        <v>80986</v>
      </c>
      <c r="M1485" t="s">
        <v>32</v>
      </c>
      <c r="N1485">
        <v>46</v>
      </c>
      <c r="O1485" t="s">
        <v>23</v>
      </c>
      <c r="P1485">
        <v>8</v>
      </c>
      <c r="Q1485" s="1">
        <v>-4.7699999999999996</v>
      </c>
      <c r="R1485" s="2">
        <f t="shared" si="92"/>
        <v>-3398</v>
      </c>
      <c r="S1485" s="1">
        <f t="shared" si="93"/>
        <v>-4.0268297307546455</v>
      </c>
      <c r="T1485" t="str">
        <f t="shared" si="94"/>
        <v>Expert</v>
      </c>
      <c r="U1485" t="str">
        <f t="shared" si="95"/>
        <v>Low Impact</v>
      </c>
    </row>
    <row r="1486" spans="1:21" x14ac:dyDescent="0.3">
      <c r="A1486" t="s">
        <v>630</v>
      </c>
      <c r="B1486">
        <v>50</v>
      </c>
      <c r="C1486" t="s">
        <v>18</v>
      </c>
      <c r="D1486" t="s">
        <v>40</v>
      </c>
      <c r="E1486" t="s">
        <v>20</v>
      </c>
      <c r="F1486" t="s">
        <v>118</v>
      </c>
      <c r="G1486">
        <v>24</v>
      </c>
      <c r="H1486" t="s">
        <v>31</v>
      </c>
      <c r="I1486" t="s">
        <v>22</v>
      </c>
      <c r="J1486" t="s">
        <v>23</v>
      </c>
      <c r="K1486" s="2">
        <v>60698</v>
      </c>
      <c r="L1486" s="2">
        <v>63932</v>
      </c>
      <c r="M1486" t="s">
        <v>32</v>
      </c>
      <c r="N1486">
        <v>43</v>
      </c>
      <c r="O1486" t="s">
        <v>23</v>
      </c>
      <c r="P1486">
        <v>3</v>
      </c>
      <c r="Q1486" s="1">
        <v>-4.8</v>
      </c>
      <c r="R1486" s="2">
        <f t="shared" si="92"/>
        <v>3234</v>
      </c>
      <c r="S1486" s="1">
        <f t="shared" si="93"/>
        <v>5.3280173976078284</v>
      </c>
      <c r="T1486" t="str">
        <f t="shared" si="94"/>
        <v>Expert</v>
      </c>
      <c r="U1486" t="str">
        <f t="shared" si="95"/>
        <v>Low Impact</v>
      </c>
    </row>
    <row r="1487" spans="1:21" x14ac:dyDescent="0.3">
      <c r="A1487" t="s">
        <v>1106</v>
      </c>
      <c r="B1487">
        <v>51</v>
      </c>
      <c r="C1487" t="s">
        <v>18</v>
      </c>
      <c r="D1487" t="s">
        <v>19</v>
      </c>
      <c r="E1487" t="s">
        <v>41</v>
      </c>
      <c r="F1487" t="s">
        <v>55</v>
      </c>
      <c r="G1487">
        <v>25</v>
      </c>
      <c r="H1487" t="s">
        <v>22</v>
      </c>
      <c r="I1487" t="s">
        <v>37</v>
      </c>
      <c r="J1487" t="s">
        <v>25</v>
      </c>
      <c r="K1487" s="2">
        <v>32017</v>
      </c>
      <c r="L1487" s="2">
        <v>37655</v>
      </c>
      <c r="M1487" t="s">
        <v>38</v>
      </c>
      <c r="N1487">
        <v>49</v>
      </c>
      <c r="O1487" t="s">
        <v>23</v>
      </c>
      <c r="P1487">
        <v>8</v>
      </c>
      <c r="Q1487" s="1">
        <v>-4.8099999999999996</v>
      </c>
      <c r="R1487" s="2">
        <f t="shared" si="92"/>
        <v>5638</v>
      </c>
      <c r="S1487" s="1">
        <f t="shared" si="93"/>
        <v>17.609395008901522</v>
      </c>
      <c r="T1487" t="str">
        <f t="shared" si="94"/>
        <v>Expert</v>
      </c>
      <c r="U1487" t="str">
        <f t="shared" si="95"/>
        <v>Medium Impact</v>
      </c>
    </row>
    <row r="1488" spans="1:21" x14ac:dyDescent="0.3">
      <c r="A1488" t="s">
        <v>142</v>
      </c>
      <c r="B1488">
        <v>37</v>
      </c>
      <c r="C1488" t="s">
        <v>27</v>
      </c>
      <c r="D1488" t="s">
        <v>28</v>
      </c>
      <c r="E1488" t="s">
        <v>29</v>
      </c>
      <c r="F1488" t="s">
        <v>104</v>
      </c>
      <c r="G1488">
        <v>11</v>
      </c>
      <c r="H1488" t="s">
        <v>31</v>
      </c>
      <c r="I1488" t="s">
        <v>22</v>
      </c>
      <c r="J1488" t="s">
        <v>23</v>
      </c>
      <c r="K1488" s="2">
        <v>91642</v>
      </c>
      <c r="L1488" s="2">
        <v>99694</v>
      </c>
      <c r="M1488" t="s">
        <v>32</v>
      </c>
      <c r="N1488">
        <v>53</v>
      </c>
      <c r="O1488" t="s">
        <v>25</v>
      </c>
      <c r="P1488">
        <v>6</v>
      </c>
      <c r="Q1488" s="1">
        <v>-4.82</v>
      </c>
      <c r="R1488" s="2">
        <f t="shared" si="92"/>
        <v>8052</v>
      </c>
      <c r="S1488" s="1">
        <f t="shared" si="93"/>
        <v>8.7863643307653696</v>
      </c>
      <c r="T1488" t="str">
        <f t="shared" si="94"/>
        <v>Intermediate</v>
      </c>
      <c r="U1488" t="str">
        <f t="shared" si="95"/>
        <v>Low Impact</v>
      </c>
    </row>
    <row r="1489" spans="1:21" x14ac:dyDescent="0.3">
      <c r="A1489" t="s">
        <v>1788</v>
      </c>
      <c r="B1489">
        <v>51</v>
      </c>
      <c r="C1489" t="s">
        <v>27</v>
      </c>
      <c r="D1489" t="s">
        <v>28</v>
      </c>
      <c r="E1489" t="s">
        <v>41</v>
      </c>
      <c r="F1489" t="s">
        <v>42</v>
      </c>
      <c r="G1489">
        <v>28</v>
      </c>
      <c r="H1489" t="s">
        <v>31</v>
      </c>
      <c r="I1489" t="s">
        <v>22</v>
      </c>
      <c r="J1489" t="s">
        <v>25</v>
      </c>
      <c r="K1489" s="2">
        <v>117218</v>
      </c>
      <c r="L1489" s="2">
        <v>118163</v>
      </c>
      <c r="M1489" t="s">
        <v>32</v>
      </c>
      <c r="N1489">
        <v>54</v>
      </c>
      <c r="O1489" t="s">
        <v>25</v>
      </c>
      <c r="P1489">
        <v>5</v>
      </c>
      <c r="Q1489" s="1">
        <v>-4.92</v>
      </c>
      <c r="R1489" s="2">
        <f t="shared" si="92"/>
        <v>945</v>
      </c>
      <c r="S1489" s="1">
        <f t="shared" si="93"/>
        <v>0.80619017557030481</v>
      </c>
      <c r="T1489" t="str">
        <f t="shared" si="94"/>
        <v>Expert</v>
      </c>
      <c r="U1489" t="str">
        <f t="shared" si="95"/>
        <v>Low Impact</v>
      </c>
    </row>
    <row r="1490" spans="1:21" x14ac:dyDescent="0.3">
      <c r="A1490" t="s">
        <v>982</v>
      </c>
      <c r="B1490">
        <v>50</v>
      </c>
      <c r="C1490" t="s">
        <v>54</v>
      </c>
      <c r="D1490" t="s">
        <v>40</v>
      </c>
      <c r="E1490" t="s">
        <v>35</v>
      </c>
      <c r="F1490" t="s">
        <v>132</v>
      </c>
      <c r="G1490">
        <v>26</v>
      </c>
      <c r="H1490" t="s">
        <v>31</v>
      </c>
      <c r="I1490" t="s">
        <v>37</v>
      </c>
      <c r="J1490" t="s">
        <v>25</v>
      </c>
      <c r="K1490" s="2">
        <v>115936</v>
      </c>
      <c r="L1490" s="2">
        <v>127298</v>
      </c>
      <c r="M1490" t="s">
        <v>38</v>
      </c>
      <c r="N1490">
        <v>40</v>
      </c>
      <c r="O1490" t="s">
        <v>25</v>
      </c>
      <c r="P1490">
        <v>3</v>
      </c>
      <c r="Q1490" s="1">
        <v>-4.95</v>
      </c>
      <c r="R1490" s="2">
        <f t="shared" si="92"/>
        <v>11362</v>
      </c>
      <c r="S1490" s="1">
        <f t="shared" si="93"/>
        <v>9.8002346121998354</v>
      </c>
      <c r="T1490" t="str">
        <f t="shared" si="94"/>
        <v>Expert</v>
      </c>
      <c r="U1490" t="str">
        <f t="shared" si="95"/>
        <v>Medium Impact</v>
      </c>
    </row>
    <row r="1491" spans="1:21" x14ac:dyDescent="0.3">
      <c r="A1491" t="s">
        <v>1464</v>
      </c>
      <c r="B1491">
        <v>47</v>
      </c>
      <c r="C1491" t="s">
        <v>27</v>
      </c>
      <c r="D1491" t="s">
        <v>19</v>
      </c>
      <c r="E1491" t="s">
        <v>59</v>
      </c>
      <c r="F1491" t="s">
        <v>93</v>
      </c>
      <c r="G1491">
        <v>24</v>
      </c>
      <c r="H1491" t="s">
        <v>31</v>
      </c>
      <c r="I1491" t="s">
        <v>31</v>
      </c>
      <c r="J1491" t="s">
        <v>25</v>
      </c>
      <c r="K1491" s="2">
        <v>34414</v>
      </c>
      <c r="L1491" s="2">
        <v>36994</v>
      </c>
      <c r="M1491" t="s">
        <v>32</v>
      </c>
      <c r="N1491">
        <v>36</v>
      </c>
      <c r="O1491" t="s">
        <v>23</v>
      </c>
      <c r="P1491">
        <v>6</v>
      </c>
      <c r="Q1491" s="1">
        <v>-5</v>
      </c>
      <c r="R1491" s="2">
        <f t="shared" si="92"/>
        <v>2580</v>
      </c>
      <c r="S1491" s="1">
        <f t="shared" si="93"/>
        <v>7.4969489161387806</v>
      </c>
      <c r="T1491" t="str">
        <f t="shared" si="94"/>
        <v>Expert</v>
      </c>
      <c r="U1491" t="str">
        <f t="shared" si="95"/>
        <v>Low Impact</v>
      </c>
    </row>
    <row r="1492" spans="1:21" x14ac:dyDescent="0.3">
      <c r="A1492" t="s">
        <v>1721</v>
      </c>
      <c r="B1492">
        <v>36</v>
      </c>
      <c r="C1492" t="s">
        <v>27</v>
      </c>
      <c r="D1492" t="s">
        <v>34</v>
      </c>
      <c r="E1492" t="s">
        <v>29</v>
      </c>
      <c r="F1492" t="s">
        <v>102</v>
      </c>
      <c r="G1492">
        <v>11</v>
      </c>
      <c r="H1492" t="s">
        <v>31</v>
      </c>
      <c r="I1492" t="s">
        <v>31</v>
      </c>
      <c r="J1492" t="s">
        <v>23</v>
      </c>
      <c r="K1492" s="2">
        <v>56119</v>
      </c>
      <c r="L1492" s="2">
        <v>58213</v>
      </c>
      <c r="M1492" t="s">
        <v>32</v>
      </c>
      <c r="N1492">
        <v>46</v>
      </c>
      <c r="O1492" t="s">
        <v>23</v>
      </c>
      <c r="P1492">
        <v>4</v>
      </c>
      <c r="Q1492" s="1">
        <v>-5.07</v>
      </c>
      <c r="R1492" s="2">
        <f t="shared" si="92"/>
        <v>2094</v>
      </c>
      <c r="S1492" s="1">
        <f t="shared" si="93"/>
        <v>3.731356581549921</v>
      </c>
      <c r="T1492" t="str">
        <f t="shared" si="94"/>
        <v>Intermediate</v>
      </c>
      <c r="U1492" t="str">
        <f t="shared" si="95"/>
        <v>Low Impact</v>
      </c>
    </row>
    <row r="1493" spans="1:21" x14ac:dyDescent="0.3">
      <c r="A1493" t="s">
        <v>889</v>
      </c>
      <c r="B1493">
        <v>39</v>
      </c>
      <c r="C1493" t="s">
        <v>27</v>
      </c>
      <c r="D1493" t="s">
        <v>28</v>
      </c>
      <c r="E1493" t="s">
        <v>51</v>
      </c>
      <c r="F1493" t="s">
        <v>52</v>
      </c>
      <c r="G1493">
        <v>16</v>
      </c>
      <c r="H1493" t="s">
        <v>31</v>
      </c>
      <c r="I1493" t="s">
        <v>31</v>
      </c>
      <c r="J1493" t="s">
        <v>23</v>
      </c>
      <c r="K1493" s="2">
        <v>119862</v>
      </c>
      <c r="L1493" s="2">
        <v>127435</v>
      </c>
      <c r="M1493" t="s">
        <v>32</v>
      </c>
      <c r="N1493">
        <v>35</v>
      </c>
      <c r="O1493" t="s">
        <v>23</v>
      </c>
      <c r="P1493">
        <v>6</v>
      </c>
      <c r="Q1493" s="1">
        <v>-5.08</v>
      </c>
      <c r="R1493" s="2">
        <f t="shared" si="92"/>
        <v>7573</v>
      </c>
      <c r="S1493" s="1">
        <f t="shared" si="93"/>
        <v>6.3180991473527888</v>
      </c>
      <c r="T1493" t="str">
        <f t="shared" si="94"/>
        <v>Expert</v>
      </c>
      <c r="U1493" t="str">
        <f t="shared" si="95"/>
        <v>Low Impact</v>
      </c>
    </row>
    <row r="1494" spans="1:21" x14ac:dyDescent="0.3">
      <c r="A1494" t="s">
        <v>306</v>
      </c>
      <c r="B1494">
        <v>31</v>
      </c>
      <c r="C1494" t="s">
        <v>27</v>
      </c>
      <c r="D1494" t="s">
        <v>34</v>
      </c>
      <c r="E1494" t="s">
        <v>41</v>
      </c>
      <c r="F1494" t="s">
        <v>55</v>
      </c>
      <c r="G1494">
        <v>6</v>
      </c>
      <c r="H1494" t="s">
        <v>37</v>
      </c>
      <c r="I1494" t="s">
        <v>31</v>
      </c>
      <c r="J1494" t="s">
        <v>25</v>
      </c>
      <c r="K1494" s="2">
        <v>49816</v>
      </c>
      <c r="L1494" s="2">
        <v>51273</v>
      </c>
      <c r="M1494" t="s">
        <v>32</v>
      </c>
      <c r="N1494">
        <v>45</v>
      </c>
      <c r="O1494" t="s">
        <v>23</v>
      </c>
      <c r="P1494">
        <v>6</v>
      </c>
      <c r="Q1494" s="1">
        <v>-5.08</v>
      </c>
      <c r="R1494" s="2">
        <f t="shared" si="92"/>
        <v>1457</v>
      </c>
      <c r="S1494" s="1">
        <f t="shared" si="93"/>
        <v>2.9247631283121889</v>
      </c>
      <c r="T1494" t="str">
        <f t="shared" si="94"/>
        <v>Intermediate</v>
      </c>
      <c r="U1494" t="str">
        <f t="shared" si="95"/>
        <v>Low Impact</v>
      </c>
    </row>
    <row r="1495" spans="1:21" x14ac:dyDescent="0.3">
      <c r="A1495" t="s">
        <v>1409</v>
      </c>
      <c r="B1495">
        <v>57</v>
      </c>
      <c r="C1495" t="s">
        <v>27</v>
      </c>
      <c r="D1495" t="s">
        <v>28</v>
      </c>
      <c r="E1495" t="s">
        <v>29</v>
      </c>
      <c r="F1495" t="s">
        <v>104</v>
      </c>
      <c r="G1495">
        <v>35</v>
      </c>
      <c r="H1495" t="s">
        <v>37</v>
      </c>
      <c r="I1495" t="s">
        <v>31</v>
      </c>
      <c r="J1495" t="s">
        <v>23</v>
      </c>
      <c r="K1495" s="2">
        <v>55854</v>
      </c>
      <c r="L1495" s="2">
        <v>57395</v>
      </c>
      <c r="M1495" t="s">
        <v>32</v>
      </c>
      <c r="N1495">
        <v>48</v>
      </c>
      <c r="O1495" t="s">
        <v>23</v>
      </c>
      <c r="P1495">
        <v>8</v>
      </c>
      <c r="Q1495" s="1">
        <v>-5.17</v>
      </c>
      <c r="R1495" s="2">
        <f t="shared" si="92"/>
        <v>1541</v>
      </c>
      <c r="S1495" s="1">
        <f t="shared" si="93"/>
        <v>2.7589787660686791</v>
      </c>
      <c r="T1495" t="str">
        <f t="shared" si="94"/>
        <v>Expert</v>
      </c>
      <c r="U1495" t="str">
        <f t="shared" si="95"/>
        <v>Low Impact</v>
      </c>
    </row>
    <row r="1496" spans="1:21" x14ac:dyDescent="0.3">
      <c r="A1496" t="s">
        <v>292</v>
      </c>
      <c r="B1496">
        <v>35</v>
      </c>
      <c r="C1496" t="s">
        <v>54</v>
      </c>
      <c r="D1496" t="s">
        <v>19</v>
      </c>
      <c r="E1496" t="s">
        <v>29</v>
      </c>
      <c r="F1496" t="s">
        <v>102</v>
      </c>
      <c r="G1496">
        <v>11</v>
      </c>
      <c r="H1496" t="s">
        <v>22</v>
      </c>
      <c r="I1496" t="s">
        <v>22</v>
      </c>
      <c r="J1496" t="s">
        <v>23</v>
      </c>
      <c r="K1496" s="2">
        <v>45313</v>
      </c>
      <c r="L1496" s="2">
        <v>37891</v>
      </c>
      <c r="M1496" t="s">
        <v>38</v>
      </c>
      <c r="N1496">
        <v>47</v>
      </c>
      <c r="O1496" t="s">
        <v>25</v>
      </c>
      <c r="P1496">
        <v>3</v>
      </c>
      <c r="Q1496" s="1">
        <v>-5.17</v>
      </c>
      <c r="R1496" s="2">
        <f t="shared" si="92"/>
        <v>-7422</v>
      </c>
      <c r="S1496" s="1">
        <f t="shared" si="93"/>
        <v>-16.379405468629312</v>
      </c>
      <c r="T1496" t="str">
        <f t="shared" si="94"/>
        <v>Intermediate</v>
      </c>
      <c r="U1496" t="str">
        <f t="shared" si="95"/>
        <v>Medium Impact</v>
      </c>
    </row>
    <row r="1497" spans="1:21" x14ac:dyDescent="0.3">
      <c r="A1497" t="s">
        <v>1170</v>
      </c>
      <c r="B1497">
        <v>26</v>
      </c>
      <c r="C1497" t="s">
        <v>27</v>
      </c>
      <c r="D1497" t="s">
        <v>34</v>
      </c>
      <c r="E1497" t="s">
        <v>51</v>
      </c>
      <c r="F1497" t="s">
        <v>130</v>
      </c>
      <c r="G1497">
        <v>0</v>
      </c>
      <c r="H1497" t="s">
        <v>22</v>
      </c>
      <c r="I1497" t="s">
        <v>22</v>
      </c>
      <c r="J1497" t="s">
        <v>25</v>
      </c>
      <c r="K1497" s="2">
        <v>98906</v>
      </c>
      <c r="L1497" s="2">
        <v>80776</v>
      </c>
      <c r="M1497" t="s">
        <v>24</v>
      </c>
      <c r="N1497">
        <v>41</v>
      </c>
      <c r="O1497" t="s">
        <v>25</v>
      </c>
      <c r="P1497">
        <v>9</v>
      </c>
      <c r="Q1497" s="1">
        <v>-5.2</v>
      </c>
      <c r="R1497" s="2">
        <f t="shared" si="92"/>
        <v>-18130</v>
      </c>
      <c r="S1497" s="1">
        <f t="shared" si="93"/>
        <v>-18.330536064546134</v>
      </c>
      <c r="T1497" t="str">
        <f t="shared" si="94"/>
        <v>Beginner</v>
      </c>
      <c r="U1497" t="str">
        <f t="shared" si="95"/>
        <v>High Impact</v>
      </c>
    </row>
    <row r="1498" spans="1:21" x14ac:dyDescent="0.3">
      <c r="A1498" t="s">
        <v>229</v>
      </c>
      <c r="B1498">
        <v>22</v>
      </c>
      <c r="C1498" t="s">
        <v>27</v>
      </c>
      <c r="D1498" t="s">
        <v>40</v>
      </c>
      <c r="E1498" t="s">
        <v>41</v>
      </c>
      <c r="F1498" t="s">
        <v>42</v>
      </c>
      <c r="G1498">
        <v>0</v>
      </c>
      <c r="H1498" t="s">
        <v>31</v>
      </c>
      <c r="I1498" t="s">
        <v>37</v>
      </c>
      <c r="J1498" t="s">
        <v>23</v>
      </c>
      <c r="K1498" s="2">
        <v>51172</v>
      </c>
      <c r="L1498" s="2">
        <v>53243</v>
      </c>
      <c r="M1498" t="s">
        <v>38</v>
      </c>
      <c r="N1498">
        <v>45</v>
      </c>
      <c r="O1498" t="s">
        <v>23</v>
      </c>
      <c r="P1498">
        <v>5</v>
      </c>
      <c r="Q1498" s="1">
        <v>-5.28</v>
      </c>
      <c r="R1498" s="2">
        <f t="shared" si="92"/>
        <v>2071</v>
      </c>
      <c r="S1498" s="1">
        <f t="shared" si="93"/>
        <v>4.0471351520362697</v>
      </c>
      <c r="T1498" t="str">
        <f t="shared" si="94"/>
        <v>Beginner</v>
      </c>
      <c r="U1498" t="str">
        <f t="shared" si="95"/>
        <v>Medium Impact</v>
      </c>
    </row>
    <row r="1499" spans="1:21" x14ac:dyDescent="0.3">
      <c r="A1499" t="s">
        <v>174</v>
      </c>
      <c r="B1499">
        <v>58</v>
      </c>
      <c r="C1499" t="s">
        <v>27</v>
      </c>
      <c r="D1499" t="s">
        <v>34</v>
      </c>
      <c r="E1499" t="s">
        <v>35</v>
      </c>
      <c r="F1499" t="s">
        <v>132</v>
      </c>
      <c r="G1499">
        <v>33</v>
      </c>
      <c r="H1499" t="s">
        <v>31</v>
      </c>
      <c r="I1499" t="s">
        <v>37</v>
      </c>
      <c r="J1499" t="s">
        <v>23</v>
      </c>
      <c r="K1499" s="2">
        <v>84553</v>
      </c>
      <c r="L1499" s="2">
        <v>88030</v>
      </c>
      <c r="M1499" t="s">
        <v>38</v>
      </c>
      <c r="N1499">
        <v>47</v>
      </c>
      <c r="O1499" t="s">
        <v>23</v>
      </c>
      <c r="P1499">
        <v>8</v>
      </c>
      <c r="Q1499" s="1">
        <v>-5.34</v>
      </c>
      <c r="R1499" s="2">
        <f t="shared" si="92"/>
        <v>3477</v>
      </c>
      <c r="S1499" s="1">
        <f t="shared" si="93"/>
        <v>4.1122136411481556</v>
      </c>
      <c r="T1499" t="str">
        <f t="shared" si="94"/>
        <v>Expert</v>
      </c>
      <c r="U1499" t="str">
        <f t="shared" si="95"/>
        <v>Medium Impact</v>
      </c>
    </row>
    <row r="1500" spans="1:21" x14ac:dyDescent="0.3">
      <c r="A1500" t="s">
        <v>436</v>
      </c>
      <c r="B1500">
        <v>24</v>
      </c>
      <c r="C1500" t="s">
        <v>18</v>
      </c>
      <c r="D1500" t="s">
        <v>28</v>
      </c>
      <c r="E1500" t="s">
        <v>51</v>
      </c>
      <c r="F1500" t="s">
        <v>52</v>
      </c>
      <c r="G1500">
        <v>0</v>
      </c>
      <c r="H1500" t="s">
        <v>22</v>
      </c>
      <c r="I1500" t="s">
        <v>31</v>
      </c>
      <c r="J1500" t="s">
        <v>25</v>
      </c>
      <c r="K1500" s="2">
        <v>42763</v>
      </c>
      <c r="L1500" s="2">
        <v>47691</v>
      </c>
      <c r="M1500" t="s">
        <v>32</v>
      </c>
      <c r="N1500">
        <v>35</v>
      </c>
      <c r="O1500" t="s">
        <v>23</v>
      </c>
      <c r="P1500">
        <v>7</v>
      </c>
      <c r="Q1500" s="1">
        <v>-5.34</v>
      </c>
      <c r="R1500" s="2">
        <f t="shared" si="92"/>
        <v>4928</v>
      </c>
      <c r="S1500" s="1">
        <f t="shared" si="93"/>
        <v>11.523981011622196</v>
      </c>
      <c r="T1500" t="str">
        <f t="shared" si="94"/>
        <v>Beginner</v>
      </c>
      <c r="U1500" t="str">
        <f t="shared" si="95"/>
        <v>Low Impact</v>
      </c>
    </row>
    <row r="1501" spans="1:21" x14ac:dyDescent="0.3">
      <c r="A1501" t="s">
        <v>316</v>
      </c>
      <c r="B1501">
        <v>47</v>
      </c>
      <c r="C1501" t="s">
        <v>18</v>
      </c>
      <c r="D1501" t="s">
        <v>19</v>
      </c>
      <c r="E1501" t="s">
        <v>51</v>
      </c>
      <c r="F1501" t="s">
        <v>75</v>
      </c>
      <c r="G1501">
        <v>23</v>
      </c>
      <c r="H1501" t="s">
        <v>31</v>
      </c>
      <c r="I1501" t="s">
        <v>22</v>
      </c>
      <c r="J1501" t="s">
        <v>25</v>
      </c>
      <c r="K1501" s="2">
        <v>118009</v>
      </c>
      <c r="L1501" s="2">
        <v>112418</v>
      </c>
      <c r="M1501" t="s">
        <v>32</v>
      </c>
      <c r="N1501">
        <v>42</v>
      </c>
      <c r="O1501" t="s">
        <v>23</v>
      </c>
      <c r="P1501">
        <v>9</v>
      </c>
      <c r="Q1501" s="1">
        <v>-5.35</v>
      </c>
      <c r="R1501" s="2">
        <f t="shared" si="92"/>
        <v>-5591</v>
      </c>
      <c r="S1501" s="1">
        <f t="shared" si="93"/>
        <v>-4.7377742375581526</v>
      </c>
      <c r="T1501" t="str">
        <f t="shared" si="94"/>
        <v>Expert</v>
      </c>
      <c r="U1501" t="str">
        <f t="shared" si="95"/>
        <v>Low Impact</v>
      </c>
    </row>
    <row r="1502" spans="1:21" x14ac:dyDescent="0.3">
      <c r="A1502" t="s">
        <v>839</v>
      </c>
      <c r="B1502">
        <v>44</v>
      </c>
      <c r="C1502" t="s">
        <v>54</v>
      </c>
      <c r="D1502" t="s">
        <v>40</v>
      </c>
      <c r="E1502" t="s">
        <v>35</v>
      </c>
      <c r="F1502" t="s">
        <v>132</v>
      </c>
      <c r="G1502">
        <v>18</v>
      </c>
      <c r="H1502" t="s">
        <v>37</v>
      </c>
      <c r="I1502" t="s">
        <v>31</v>
      </c>
      <c r="J1502" t="s">
        <v>25</v>
      </c>
      <c r="K1502" s="2">
        <v>30490</v>
      </c>
      <c r="L1502" s="2">
        <v>30641</v>
      </c>
      <c r="M1502" t="s">
        <v>32</v>
      </c>
      <c r="N1502">
        <v>41</v>
      </c>
      <c r="O1502" t="s">
        <v>25</v>
      </c>
      <c r="P1502">
        <v>9</v>
      </c>
      <c r="Q1502" s="1">
        <v>-5.37</v>
      </c>
      <c r="R1502" s="2">
        <f t="shared" si="92"/>
        <v>151</v>
      </c>
      <c r="S1502" s="1">
        <f t="shared" si="93"/>
        <v>0.49524434240734666</v>
      </c>
      <c r="T1502" t="str">
        <f t="shared" si="94"/>
        <v>Expert</v>
      </c>
      <c r="U1502" t="str">
        <f t="shared" si="95"/>
        <v>Low Impact</v>
      </c>
    </row>
    <row r="1503" spans="1:21" x14ac:dyDescent="0.3">
      <c r="A1503" t="s">
        <v>1119</v>
      </c>
      <c r="B1503">
        <v>42</v>
      </c>
      <c r="C1503" t="s">
        <v>54</v>
      </c>
      <c r="D1503" t="s">
        <v>40</v>
      </c>
      <c r="E1503" t="s">
        <v>35</v>
      </c>
      <c r="F1503" t="s">
        <v>132</v>
      </c>
      <c r="G1503">
        <v>19</v>
      </c>
      <c r="H1503" t="s">
        <v>22</v>
      </c>
      <c r="I1503" t="s">
        <v>37</v>
      </c>
      <c r="J1503" t="s">
        <v>25</v>
      </c>
      <c r="K1503" s="2">
        <v>53535</v>
      </c>
      <c r="L1503" s="2">
        <v>51122</v>
      </c>
      <c r="M1503" t="s">
        <v>38</v>
      </c>
      <c r="N1503">
        <v>54</v>
      </c>
      <c r="O1503" t="s">
        <v>23</v>
      </c>
      <c r="P1503">
        <v>3</v>
      </c>
      <c r="Q1503" s="1">
        <v>-5.39</v>
      </c>
      <c r="R1503" s="2">
        <f t="shared" si="92"/>
        <v>-2413</v>
      </c>
      <c r="S1503" s="1">
        <f t="shared" si="93"/>
        <v>-4.5073316521901559</v>
      </c>
      <c r="T1503" t="str">
        <f t="shared" si="94"/>
        <v>Expert</v>
      </c>
      <c r="U1503" t="str">
        <f t="shared" si="95"/>
        <v>Medium Impact</v>
      </c>
    </row>
    <row r="1504" spans="1:21" x14ac:dyDescent="0.3">
      <c r="A1504" t="s">
        <v>1138</v>
      </c>
      <c r="B1504">
        <v>55</v>
      </c>
      <c r="C1504" t="s">
        <v>18</v>
      </c>
      <c r="D1504" t="s">
        <v>34</v>
      </c>
      <c r="E1504" t="s">
        <v>20</v>
      </c>
      <c r="F1504" t="s">
        <v>118</v>
      </c>
      <c r="G1504">
        <v>31</v>
      </c>
      <c r="H1504" t="s">
        <v>31</v>
      </c>
      <c r="I1504" t="s">
        <v>31</v>
      </c>
      <c r="J1504" t="s">
        <v>23</v>
      </c>
      <c r="K1504" s="2">
        <v>33285</v>
      </c>
      <c r="L1504" s="2">
        <v>32398</v>
      </c>
      <c r="M1504" t="s">
        <v>32</v>
      </c>
      <c r="N1504">
        <v>46</v>
      </c>
      <c r="O1504" t="s">
        <v>25</v>
      </c>
      <c r="P1504">
        <v>6</v>
      </c>
      <c r="Q1504" s="1">
        <v>-5.39</v>
      </c>
      <c r="R1504" s="2">
        <f t="shared" si="92"/>
        <v>-887</v>
      </c>
      <c r="S1504" s="1">
        <f t="shared" si="93"/>
        <v>-2.6648640528766712</v>
      </c>
      <c r="T1504" t="str">
        <f t="shared" si="94"/>
        <v>Expert</v>
      </c>
      <c r="U1504" t="str">
        <f t="shared" si="95"/>
        <v>Low Impact</v>
      </c>
    </row>
    <row r="1505" spans="1:21" x14ac:dyDescent="0.3">
      <c r="A1505" t="s">
        <v>170</v>
      </c>
      <c r="B1505">
        <v>39</v>
      </c>
      <c r="C1505" t="s">
        <v>27</v>
      </c>
      <c r="D1505" t="s">
        <v>19</v>
      </c>
      <c r="E1505" t="s">
        <v>20</v>
      </c>
      <c r="F1505" t="s">
        <v>88</v>
      </c>
      <c r="G1505">
        <v>16</v>
      </c>
      <c r="H1505" t="s">
        <v>22</v>
      </c>
      <c r="I1505" t="s">
        <v>37</v>
      </c>
      <c r="J1505" t="s">
        <v>25</v>
      </c>
      <c r="K1505" s="2">
        <v>118869</v>
      </c>
      <c r="L1505" s="2">
        <v>133082</v>
      </c>
      <c r="M1505" t="s">
        <v>38</v>
      </c>
      <c r="N1505">
        <v>39</v>
      </c>
      <c r="O1505" t="s">
        <v>25</v>
      </c>
      <c r="P1505">
        <v>6</v>
      </c>
      <c r="Q1505" s="1">
        <v>-5.45</v>
      </c>
      <c r="R1505" s="2">
        <f t="shared" si="92"/>
        <v>14213</v>
      </c>
      <c r="S1505" s="1">
        <f t="shared" si="93"/>
        <v>11.95686007285331</v>
      </c>
      <c r="T1505" t="str">
        <f t="shared" si="94"/>
        <v>Expert</v>
      </c>
      <c r="U1505" t="str">
        <f t="shared" si="95"/>
        <v>Medium Impact</v>
      </c>
    </row>
    <row r="1506" spans="1:21" x14ac:dyDescent="0.3">
      <c r="A1506" t="s">
        <v>1920</v>
      </c>
      <c r="B1506">
        <v>59</v>
      </c>
      <c r="C1506" t="s">
        <v>54</v>
      </c>
      <c r="D1506" t="s">
        <v>19</v>
      </c>
      <c r="E1506" t="s">
        <v>51</v>
      </c>
      <c r="F1506" t="s">
        <v>75</v>
      </c>
      <c r="G1506">
        <v>36</v>
      </c>
      <c r="H1506" t="s">
        <v>37</v>
      </c>
      <c r="I1506" t="s">
        <v>37</v>
      </c>
      <c r="J1506" t="s">
        <v>25</v>
      </c>
      <c r="K1506" s="2">
        <v>103905</v>
      </c>
      <c r="L1506" s="2">
        <v>121502</v>
      </c>
      <c r="M1506" t="s">
        <v>38</v>
      </c>
      <c r="N1506">
        <v>48</v>
      </c>
      <c r="O1506" t="s">
        <v>23</v>
      </c>
      <c r="P1506">
        <v>8</v>
      </c>
      <c r="Q1506" s="1">
        <v>-5.45</v>
      </c>
      <c r="R1506" s="2">
        <f t="shared" si="92"/>
        <v>17597</v>
      </c>
      <c r="S1506" s="1">
        <f t="shared" si="93"/>
        <v>16.93566238390838</v>
      </c>
      <c r="T1506" t="str">
        <f t="shared" si="94"/>
        <v>Expert</v>
      </c>
      <c r="U1506" t="str">
        <f t="shared" si="95"/>
        <v>Medium Impact</v>
      </c>
    </row>
    <row r="1507" spans="1:21" x14ac:dyDescent="0.3">
      <c r="A1507" t="s">
        <v>1855</v>
      </c>
      <c r="B1507">
        <v>35</v>
      </c>
      <c r="C1507" t="s">
        <v>18</v>
      </c>
      <c r="D1507" t="s">
        <v>34</v>
      </c>
      <c r="E1507" t="s">
        <v>35</v>
      </c>
      <c r="F1507" t="s">
        <v>36</v>
      </c>
      <c r="G1507">
        <v>13</v>
      </c>
      <c r="H1507" t="s">
        <v>31</v>
      </c>
      <c r="I1507" t="s">
        <v>22</v>
      </c>
      <c r="J1507" t="s">
        <v>25</v>
      </c>
      <c r="K1507" s="2">
        <v>113301</v>
      </c>
      <c r="L1507" s="2">
        <v>111030</v>
      </c>
      <c r="M1507" t="s">
        <v>32</v>
      </c>
      <c r="N1507">
        <v>35</v>
      </c>
      <c r="O1507" t="s">
        <v>25</v>
      </c>
      <c r="P1507">
        <v>3</v>
      </c>
      <c r="Q1507" s="1">
        <v>-5.46</v>
      </c>
      <c r="R1507" s="2">
        <f t="shared" si="92"/>
        <v>-2271</v>
      </c>
      <c r="S1507" s="1">
        <f t="shared" si="93"/>
        <v>-2.0043953716207272</v>
      </c>
      <c r="T1507" t="str">
        <f t="shared" si="94"/>
        <v>Intermediate</v>
      </c>
      <c r="U1507" t="str">
        <f t="shared" si="95"/>
        <v>Low Impact</v>
      </c>
    </row>
    <row r="1508" spans="1:21" x14ac:dyDescent="0.3">
      <c r="A1508" t="s">
        <v>180</v>
      </c>
      <c r="B1508">
        <v>47</v>
      </c>
      <c r="C1508" t="s">
        <v>54</v>
      </c>
      <c r="D1508" t="s">
        <v>34</v>
      </c>
      <c r="E1508" t="s">
        <v>51</v>
      </c>
      <c r="F1508" t="s">
        <v>75</v>
      </c>
      <c r="G1508">
        <v>22</v>
      </c>
      <c r="H1508" t="s">
        <v>31</v>
      </c>
      <c r="I1508" t="s">
        <v>37</v>
      </c>
      <c r="J1508" t="s">
        <v>23</v>
      </c>
      <c r="K1508" s="2">
        <v>88067</v>
      </c>
      <c r="L1508" s="2">
        <v>90369</v>
      </c>
      <c r="M1508" t="s">
        <v>38</v>
      </c>
      <c r="N1508">
        <v>49</v>
      </c>
      <c r="O1508" t="s">
        <v>23</v>
      </c>
      <c r="P1508">
        <v>3</v>
      </c>
      <c r="Q1508" s="1">
        <v>-5.46</v>
      </c>
      <c r="R1508" s="2">
        <f t="shared" si="92"/>
        <v>2302</v>
      </c>
      <c r="S1508" s="1">
        <f t="shared" si="93"/>
        <v>2.6139189480736258</v>
      </c>
      <c r="T1508" t="str">
        <f t="shared" si="94"/>
        <v>Expert</v>
      </c>
      <c r="U1508" t="str">
        <f t="shared" si="95"/>
        <v>Medium Impact</v>
      </c>
    </row>
    <row r="1509" spans="1:21" x14ac:dyDescent="0.3">
      <c r="A1509" t="s">
        <v>884</v>
      </c>
      <c r="B1509">
        <v>22</v>
      </c>
      <c r="C1509" t="s">
        <v>27</v>
      </c>
      <c r="D1509" t="s">
        <v>28</v>
      </c>
      <c r="E1509" t="s">
        <v>51</v>
      </c>
      <c r="F1509" t="s">
        <v>75</v>
      </c>
      <c r="G1509">
        <v>0</v>
      </c>
      <c r="H1509" t="s">
        <v>37</v>
      </c>
      <c r="I1509" t="s">
        <v>22</v>
      </c>
      <c r="J1509" t="s">
        <v>23</v>
      </c>
      <c r="K1509" s="2">
        <v>30215</v>
      </c>
      <c r="L1509" s="2">
        <v>29982</v>
      </c>
      <c r="M1509" t="s">
        <v>32</v>
      </c>
      <c r="N1509">
        <v>45</v>
      </c>
      <c r="O1509" t="s">
        <v>23</v>
      </c>
      <c r="P1509">
        <v>5</v>
      </c>
      <c r="Q1509" s="1">
        <v>-5.47</v>
      </c>
      <c r="R1509" s="2">
        <f t="shared" si="92"/>
        <v>-233</v>
      </c>
      <c r="S1509" s="1">
        <f t="shared" si="93"/>
        <v>-0.77114016217110704</v>
      </c>
      <c r="T1509" t="str">
        <f t="shared" si="94"/>
        <v>Beginner</v>
      </c>
      <c r="U1509" t="str">
        <f t="shared" si="95"/>
        <v>Low Impact</v>
      </c>
    </row>
    <row r="1510" spans="1:21" x14ac:dyDescent="0.3">
      <c r="A1510" t="s">
        <v>545</v>
      </c>
      <c r="B1510">
        <v>32</v>
      </c>
      <c r="C1510" t="s">
        <v>27</v>
      </c>
      <c r="D1510" t="s">
        <v>34</v>
      </c>
      <c r="E1510" t="s">
        <v>51</v>
      </c>
      <c r="F1510" t="s">
        <v>130</v>
      </c>
      <c r="G1510">
        <v>6</v>
      </c>
      <c r="H1510" t="s">
        <v>31</v>
      </c>
      <c r="I1510" t="s">
        <v>31</v>
      </c>
      <c r="J1510" t="s">
        <v>23</v>
      </c>
      <c r="K1510" s="2">
        <v>77153</v>
      </c>
      <c r="L1510" s="2">
        <v>83176</v>
      </c>
      <c r="M1510" t="s">
        <v>32</v>
      </c>
      <c r="N1510">
        <v>40</v>
      </c>
      <c r="O1510" t="s">
        <v>25</v>
      </c>
      <c r="P1510">
        <v>3</v>
      </c>
      <c r="Q1510" s="1">
        <v>-5.48</v>
      </c>
      <c r="R1510" s="2">
        <f t="shared" si="92"/>
        <v>6023</v>
      </c>
      <c r="S1510" s="1">
        <f t="shared" si="93"/>
        <v>7.8065661737067904</v>
      </c>
      <c r="T1510" t="str">
        <f t="shared" si="94"/>
        <v>Intermediate</v>
      </c>
      <c r="U1510" t="str">
        <f t="shared" si="95"/>
        <v>Low Impact</v>
      </c>
    </row>
    <row r="1511" spans="1:21" x14ac:dyDescent="0.3">
      <c r="A1511" t="s">
        <v>542</v>
      </c>
      <c r="B1511">
        <v>54</v>
      </c>
      <c r="C1511" t="s">
        <v>18</v>
      </c>
      <c r="D1511" t="s">
        <v>28</v>
      </c>
      <c r="E1511" t="s">
        <v>51</v>
      </c>
      <c r="F1511" t="s">
        <v>75</v>
      </c>
      <c r="G1511">
        <v>31</v>
      </c>
      <c r="H1511" t="s">
        <v>22</v>
      </c>
      <c r="I1511" t="s">
        <v>37</v>
      </c>
      <c r="J1511" t="s">
        <v>23</v>
      </c>
      <c r="K1511" s="2">
        <v>57045</v>
      </c>
      <c r="L1511" s="2">
        <v>63764</v>
      </c>
      <c r="M1511" t="s">
        <v>38</v>
      </c>
      <c r="N1511">
        <v>48</v>
      </c>
      <c r="O1511" t="s">
        <v>23</v>
      </c>
      <c r="P1511">
        <v>7</v>
      </c>
      <c r="Q1511" s="1">
        <v>-5.49</v>
      </c>
      <c r="R1511" s="2">
        <f t="shared" si="92"/>
        <v>6719</v>
      </c>
      <c r="S1511" s="1">
        <f t="shared" si="93"/>
        <v>11.778420545183627</v>
      </c>
      <c r="T1511" t="str">
        <f t="shared" si="94"/>
        <v>Expert</v>
      </c>
      <c r="U1511" t="str">
        <f t="shared" si="95"/>
        <v>Medium Impact</v>
      </c>
    </row>
    <row r="1512" spans="1:21" x14ac:dyDescent="0.3">
      <c r="A1512" t="s">
        <v>83</v>
      </c>
      <c r="B1512">
        <v>28</v>
      </c>
      <c r="C1512" t="s">
        <v>54</v>
      </c>
      <c r="D1512" t="s">
        <v>19</v>
      </c>
      <c r="E1512" t="s">
        <v>29</v>
      </c>
      <c r="F1512" t="s">
        <v>30</v>
      </c>
      <c r="G1512">
        <v>3</v>
      </c>
      <c r="H1512" t="s">
        <v>31</v>
      </c>
      <c r="I1512" t="s">
        <v>22</v>
      </c>
      <c r="J1512" t="s">
        <v>23</v>
      </c>
      <c r="K1512" s="2">
        <v>46371</v>
      </c>
      <c r="L1512" s="2">
        <v>47736</v>
      </c>
      <c r="M1512" t="s">
        <v>32</v>
      </c>
      <c r="N1512">
        <v>50</v>
      </c>
      <c r="O1512" t="s">
        <v>25</v>
      </c>
      <c r="P1512">
        <v>8</v>
      </c>
      <c r="Q1512" s="1">
        <v>-5.49</v>
      </c>
      <c r="R1512" s="2">
        <f t="shared" si="92"/>
        <v>1365</v>
      </c>
      <c r="S1512" s="1">
        <f t="shared" si="93"/>
        <v>2.9436501261564341</v>
      </c>
      <c r="T1512" t="str">
        <f t="shared" si="94"/>
        <v>Beginner</v>
      </c>
      <c r="U1512" t="str">
        <f t="shared" si="95"/>
        <v>Low Impact</v>
      </c>
    </row>
    <row r="1513" spans="1:21" x14ac:dyDescent="0.3">
      <c r="A1513" t="s">
        <v>1518</v>
      </c>
      <c r="B1513">
        <v>47</v>
      </c>
      <c r="C1513" t="s">
        <v>27</v>
      </c>
      <c r="D1513" t="s">
        <v>28</v>
      </c>
      <c r="E1513" t="s">
        <v>41</v>
      </c>
      <c r="F1513" t="s">
        <v>49</v>
      </c>
      <c r="G1513">
        <v>21</v>
      </c>
      <c r="H1513" t="s">
        <v>31</v>
      </c>
      <c r="I1513" t="s">
        <v>31</v>
      </c>
      <c r="J1513" t="s">
        <v>25</v>
      </c>
      <c r="K1513" s="2">
        <v>70581</v>
      </c>
      <c r="L1513" s="2">
        <v>67091</v>
      </c>
      <c r="M1513" t="s">
        <v>32</v>
      </c>
      <c r="N1513">
        <v>46</v>
      </c>
      <c r="O1513" t="s">
        <v>23</v>
      </c>
      <c r="P1513">
        <v>8</v>
      </c>
      <c r="Q1513" s="1">
        <v>-5.51</v>
      </c>
      <c r="R1513" s="2">
        <f t="shared" si="92"/>
        <v>-3490</v>
      </c>
      <c r="S1513" s="1">
        <f t="shared" si="93"/>
        <v>-4.9446734956999761</v>
      </c>
      <c r="T1513" t="str">
        <f t="shared" si="94"/>
        <v>Expert</v>
      </c>
      <c r="U1513" t="str">
        <f t="shared" si="95"/>
        <v>Low Impact</v>
      </c>
    </row>
    <row r="1514" spans="1:21" x14ac:dyDescent="0.3">
      <c r="A1514" t="s">
        <v>368</v>
      </c>
      <c r="B1514">
        <v>26</v>
      </c>
      <c r="C1514" t="s">
        <v>27</v>
      </c>
      <c r="D1514" t="s">
        <v>40</v>
      </c>
      <c r="E1514" t="s">
        <v>51</v>
      </c>
      <c r="F1514" t="s">
        <v>75</v>
      </c>
      <c r="G1514">
        <v>4</v>
      </c>
      <c r="H1514" t="s">
        <v>31</v>
      </c>
      <c r="I1514" t="s">
        <v>37</v>
      </c>
      <c r="J1514" t="s">
        <v>23</v>
      </c>
      <c r="K1514" s="2">
        <v>90428</v>
      </c>
      <c r="L1514" s="2">
        <v>86071</v>
      </c>
      <c r="M1514" t="s">
        <v>38</v>
      </c>
      <c r="N1514">
        <v>52</v>
      </c>
      <c r="O1514" t="s">
        <v>23</v>
      </c>
      <c r="P1514">
        <v>7</v>
      </c>
      <c r="Q1514" s="1">
        <v>-5.53</v>
      </c>
      <c r="R1514" s="2">
        <f t="shared" si="92"/>
        <v>-4357</v>
      </c>
      <c r="S1514" s="1">
        <f t="shared" si="93"/>
        <v>-4.8181979033042861</v>
      </c>
      <c r="T1514" t="str">
        <f t="shared" si="94"/>
        <v>Beginner</v>
      </c>
      <c r="U1514" t="str">
        <f t="shared" si="95"/>
        <v>Medium Impact</v>
      </c>
    </row>
    <row r="1515" spans="1:21" x14ac:dyDescent="0.3">
      <c r="A1515" t="s">
        <v>497</v>
      </c>
      <c r="B1515">
        <v>38</v>
      </c>
      <c r="C1515" t="s">
        <v>18</v>
      </c>
      <c r="D1515" t="s">
        <v>40</v>
      </c>
      <c r="E1515" t="s">
        <v>59</v>
      </c>
      <c r="F1515" t="s">
        <v>93</v>
      </c>
      <c r="G1515">
        <v>16</v>
      </c>
      <c r="H1515" t="s">
        <v>37</v>
      </c>
      <c r="I1515" t="s">
        <v>22</v>
      </c>
      <c r="J1515" t="s">
        <v>25</v>
      </c>
      <c r="K1515" s="2">
        <v>92320</v>
      </c>
      <c r="L1515" s="2">
        <v>91353</v>
      </c>
      <c r="M1515" t="s">
        <v>32</v>
      </c>
      <c r="N1515">
        <v>40</v>
      </c>
      <c r="O1515" t="s">
        <v>25</v>
      </c>
      <c r="P1515">
        <v>5</v>
      </c>
      <c r="Q1515" s="1">
        <v>-5.58</v>
      </c>
      <c r="R1515" s="2">
        <f t="shared" si="92"/>
        <v>-967</v>
      </c>
      <c r="S1515" s="1">
        <f t="shared" si="93"/>
        <v>-1.0474436741767763</v>
      </c>
      <c r="T1515" t="str">
        <f t="shared" si="94"/>
        <v>Expert</v>
      </c>
      <c r="U1515" t="str">
        <f t="shared" si="95"/>
        <v>Low Impact</v>
      </c>
    </row>
    <row r="1516" spans="1:21" x14ac:dyDescent="0.3">
      <c r="A1516" t="s">
        <v>111</v>
      </c>
      <c r="B1516">
        <v>22</v>
      </c>
      <c r="C1516" t="s">
        <v>54</v>
      </c>
      <c r="D1516" t="s">
        <v>19</v>
      </c>
      <c r="E1516" t="s">
        <v>20</v>
      </c>
      <c r="F1516" t="s">
        <v>88</v>
      </c>
      <c r="G1516">
        <v>0</v>
      </c>
      <c r="H1516" t="s">
        <v>37</v>
      </c>
      <c r="I1516" t="s">
        <v>31</v>
      </c>
      <c r="J1516" t="s">
        <v>25</v>
      </c>
      <c r="K1516" s="2">
        <v>46896</v>
      </c>
      <c r="L1516" s="2">
        <v>48429</v>
      </c>
      <c r="M1516" t="s">
        <v>32</v>
      </c>
      <c r="N1516">
        <v>50</v>
      </c>
      <c r="O1516" t="s">
        <v>23</v>
      </c>
      <c r="P1516">
        <v>3</v>
      </c>
      <c r="Q1516" s="1">
        <v>-5.61</v>
      </c>
      <c r="R1516" s="2">
        <f t="shared" si="92"/>
        <v>1533</v>
      </c>
      <c r="S1516" s="1">
        <f t="shared" si="93"/>
        <v>3.2689355168884342</v>
      </c>
      <c r="T1516" t="str">
        <f t="shared" si="94"/>
        <v>Beginner</v>
      </c>
      <c r="U1516" t="str">
        <f t="shared" si="95"/>
        <v>Low Impact</v>
      </c>
    </row>
    <row r="1517" spans="1:21" x14ac:dyDescent="0.3">
      <c r="A1517" t="s">
        <v>1188</v>
      </c>
      <c r="B1517">
        <v>33</v>
      </c>
      <c r="C1517" t="s">
        <v>54</v>
      </c>
      <c r="D1517" t="s">
        <v>40</v>
      </c>
      <c r="E1517" t="s">
        <v>41</v>
      </c>
      <c r="F1517" t="s">
        <v>55</v>
      </c>
      <c r="G1517">
        <v>7</v>
      </c>
      <c r="H1517" t="s">
        <v>37</v>
      </c>
      <c r="I1517" t="s">
        <v>31</v>
      </c>
      <c r="J1517" t="s">
        <v>25</v>
      </c>
      <c r="K1517" s="2">
        <v>57785</v>
      </c>
      <c r="L1517" s="2">
        <v>64245</v>
      </c>
      <c r="M1517" t="s">
        <v>32</v>
      </c>
      <c r="N1517">
        <v>51</v>
      </c>
      <c r="O1517" t="s">
        <v>23</v>
      </c>
      <c r="P1517">
        <v>6</v>
      </c>
      <c r="Q1517" s="1">
        <v>-5.71</v>
      </c>
      <c r="R1517" s="2">
        <f t="shared" si="92"/>
        <v>6460</v>
      </c>
      <c r="S1517" s="1">
        <f t="shared" si="93"/>
        <v>11.17937180929307</v>
      </c>
      <c r="T1517" t="str">
        <f t="shared" si="94"/>
        <v>Intermediate</v>
      </c>
      <c r="U1517" t="str">
        <f t="shared" si="95"/>
        <v>Low Impact</v>
      </c>
    </row>
    <row r="1518" spans="1:21" x14ac:dyDescent="0.3">
      <c r="A1518" t="s">
        <v>1161</v>
      </c>
      <c r="B1518">
        <v>24</v>
      </c>
      <c r="C1518" t="s">
        <v>27</v>
      </c>
      <c r="D1518" t="s">
        <v>19</v>
      </c>
      <c r="E1518" t="s">
        <v>44</v>
      </c>
      <c r="F1518" t="s">
        <v>57</v>
      </c>
      <c r="G1518">
        <v>0</v>
      </c>
      <c r="H1518" t="s">
        <v>22</v>
      </c>
      <c r="I1518" t="s">
        <v>31</v>
      </c>
      <c r="J1518" t="s">
        <v>23</v>
      </c>
      <c r="K1518" s="2">
        <v>65851</v>
      </c>
      <c r="L1518" s="2">
        <v>87113</v>
      </c>
      <c r="M1518" t="s">
        <v>32</v>
      </c>
      <c r="N1518">
        <v>45</v>
      </c>
      <c r="O1518" t="s">
        <v>23</v>
      </c>
      <c r="P1518">
        <v>8</v>
      </c>
      <c r="Q1518" s="1">
        <v>-5.75</v>
      </c>
      <c r="R1518" s="2">
        <f t="shared" si="92"/>
        <v>21262</v>
      </c>
      <c r="S1518" s="1">
        <f t="shared" si="93"/>
        <v>32.28804422104448</v>
      </c>
      <c r="T1518" t="str">
        <f t="shared" si="94"/>
        <v>Beginner</v>
      </c>
      <c r="U1518" t="str">
        <f t="shared" si="95"/>
        <v>Low Impact</v>
      </c>
    </row>
    <row r="1519" spans="1:21" x14ac:dyDescent="0.3">
      <c r="A1519" t="s">
        <v>1120</v>
      </c>
      <c r="B1519">
        <v>23</v>
      </c>
      <c r="C1519" t="s">
        <v>18</v>
      </c>
      <c r="D1519" t="s">
        <v>40</v>
      </c>
      <c r="E1519" t="s">
        <v>51</v>
      </c>
      <c r="F1519" t="s">
        <v>75</v>
      </c>
      <c r="G1519">
        <v>1</v>
      </c>
      <c r="H1519" t="s">
        <v>31</v>
      </c>
      <c r="I1519" t="s">
        <v>22</v>
      </c>
      <c r="J1519" t="s">
        <v>23</v>
      </c>
      <c r="K1519" s="2">
        <v>58251</v>
      </c>
      <c r="L1519" s="2">
        <v>61140</v>
      </c>
      <c r="M1519" t="s">
        <v>32</v>
      </c>
      <c r="N1519">
        <v>54</v>
      </c>
      <c r="O1519" t="s">
        <v>23</v>
      </c>
      <c r="P1519">
        <v>8</v>
      </c>
      <c r="Q1519" s="1">
        <v>-5.75</v>
      </c>
      <c r="R1519" s="2">
        <f t="shared" si="92"/>
        <v>2889</v>
      </c>
      <c r="S1519" s="1">
        <f t="shared" si="93"/>
        <v>4.9595715095019832</v>
      </c>
      <c r="T1519" t="str">
        <f t="shared" si="94"/>
        <v>Beginner</v>
      </c>
      <c r="U1519" t="str">
        <f t="shared" si="95"/>
        <v>Low Impact</v>
      </c>
    </row>
    <row r="1520" spans="1:21" x14ac:dyDescent="0.3">
      <c r="A1520" t="s">
        <v>202</v>
      </c>
      <c r="B1520">
        <v>43</v>
      </c>
      <c r="C1520" t="s">
        <v>27</v>
      </c>
      <c r="D1520" t="s">
        <v>40</v>
      </c>
      <c r="E1520" t="s">
        <v>29</v>
      </c>
      <c r="F1520" t="s">
        <v>104</v>
      </c>
      <c r="G1520">
        <v>19</v>
      </c>
      <c r="H1520" t="s">
        <v>22</v>
      </c>
      <c r="I1520" t="s">
        <v>31</v>
      </c>
      <c r="J1520" t="s">
        <v>23</v>
      </c>
      <c r="K1520" s="2">
        <v>43718</v>
      </c>
      <c r="L1520" s="2">
        <v>38195</v>
      </c>
      <c r="M1520" t="s">
        <v>32</v>
      </c>
      <c r="N1520">
        <v>48</v>
      </c>
      <c r="O1520" t="s">
        <v>23</v>
      </c>
      <c r="P1520">
        <v>6</v>
      </c>
      <c r="Q1520" s="1">
        <v>-5.85</v>
      </c>
      <c r="R1520" s="2">
        <f t="shared" si="92"/>
        <v>-5523</v>
      </c>
      <c r="S1520" s="1">
        <f t="shared" si="93"/>
        <v>-12.633240312914589</v>
      </c>
      <c r="T1520" t="str">
        <f t="shared" si="94"/>
        <v>Expert</v>
      </c>
      <c r="U1520" t="str">
        <f t="shared" si="95"/>
        <v>Low Impact</v>
      </c>
    </row>
    <row r="1521" spans="1:21" x14ac:dyDescent="0.3">
      <c r="A1521" t="s">
        <v>187</v>
      </c>
      <c r="B1521">
        <v>51</v>
      </c>
      <c r="C1521" t="s">
        <v>18</v>
      </c>
      <c r="D1521" t="s">
        <v>28</v>
      </c>
      <c r="E1521" t="s">
        <v>51</v>
      </c>
      <c r="F1521" t="s">
        <v>130</v>
      </c>
      <c r="G1521">
        <v>27</v>
      </c>
      <c r="H1521" t="s">
        <v>31</v>
      </c>
      <c r="I1521" t="s">
        <v>31</v>
      </c>
      <c r="J1521" t="s">
        <v>23</v>
      </c>
      <c r="K1521" s="2">
        <v>116740</v>
      </c>
      <c r="L1521" s="2">
        <v>114167</v>
      </c>
      <c r="M1521" t="s">
        <v>32</v>
      </c>
      <c r="N1521">
        <v>48</v>
      </c>
      <c r="O1521" t="s">
        <v>25</v>
      </c>
      <c r="P1521">
        <v>4</v>
      </c>
      <c r="Q1521" s="1">
        <v>-5.86</v>
      </c>
      <c r="R1521" s="2">
        <f t="shared" si="92"/>
        <v>-2573</v>
      </c>
      <c r="S1521" s="1">
        <f t="shared" si="93"/>
        <v>-2.2040431728627721</v>
      </c>
      <c r="T1521" t="str">
        <f t="shared" si="94"/>
        <v>Expert</v>
      </c>
      <c r="U1521" t="str">
        <f t="shared" si="95"/>
        <v>Low Impact</v>
      </c>
    </row>
    <row r="1522" spans="1:21" x14ac:dyDescent="0.3">
      <c r="A1522" t="s">
        <v>1245</v>
      </c>
      <c r="B1522">
        <v>41</v>
      </c>
      <c r="C1522" t="s">
        <v>54</v>
      </c>
      <c r="D1522" t="s">
        <v>40</v>
      </c>
      <c r="E1522" t="s">
        <v>35</v>
      </c>
      <c r="F1522" t="s">
        <v>132</v>
      </c>
      <c r="G1522">
        <v>19</v>
      </c>
      <c r="H1522" t="s">
        <v>37</v>
      </c>
      <c r="I1522" t="s">
        <v>31</v>
      </c>
      <c r="J1522" t="s">
        <v>25</v>
      </c>
      <c r="K1522" s="2">
        <v>102833</v>
      </c>
      <c r="L1522" s="2">
        <v>96587</v>
      </c>
      <c r="M1522" t="s">
        <v>32</v>
      </c>
      <c r="N1522">
        <v>37</v>
      </c>
      <c r="O1522" t="s">
        <v>25</v>
      </c>
      <c r="P1522">
        <v>3</v>
      </c>
      <c r="Q1522" s="1">
        <v>-5.87</v>
      </c>
      <c r="R1522" s="2">
        <f t="shared" si="92"/>
        <v>-6246</v>
      </c>
      <c r="S1522" s="1">
        <f t="shared" si="93"/>
        <v>-6.0739256853344736</v>
      </c>
      <c r="T1522" t="str">
        <f t="shared" si="94"/>
        <v>Expert</v>
      </c>
      <c r="U1522" t="str">
        <f t="shared" si="95"/>
        <v>Low Impact</v>
      </c>
    </row>
    <row r="1523" spans="1:21" x14ac:dyDescent="0.3">
      <c r="A1523" t="s">
        <v>890</v>
      </c>
      <c r="B1523">
        <v>50</v>
      </c>
      <c r="C1523" t="s">
        <v>18</v>
      </c>
      <c r="D1523" t="s">
        <v>19</v>
      </c>
      <c r="E1523" t="s">
        <v>20</v>
      </c>
      <c r="F1523" t="s">
        <v>118</v>
      </c>
      <c r="G1523">
        <v>24</v>
      </c>
      <c r="H1523" t="s">
        <v>22</v>
      </c>
      <c r="I1523" t="s">
        <v>37</v>
      </c>
      <c r="J1523" t="s">
        <v>25</v>
      </c>
      <c r="K1523" s="2">
        <v>92894</v>
      </c>
      <c r="L1523" s="2">
        <v>96803</v>
      </c>
      <c r="M1523" t="s">
        <v>38</v>
      </c>
      <c r="N1523">
        <v>53</v>
      </c>
      <c r="O1523" t="s">
        <v>23</v>
      </c>
      <c r="P1523">
        <v>8</v>
      </c>
      <c r="Q1523" s="1">
        <v>-5.91</v>
      </c>
      <c r="R1523" s="2">
        <f t="shared" si="92"/>
        <v>3909</v>
      </c>
      <c r="S1523" s="1">
        <f t="shared" si="93"/>
        <v>4.2080220466337979</v>
      </c>
      <c r="T1523" t="str">
        <f t="shared" si="94"/>
        <v>Expert</v>
      </c>
      <c r="U1523" t="str">
        <f t="shared" si="95"/>
        <v>Medium Impact</v>
      </c>
    </row>
    <row r="1524" spans="1:21" x14ac:dyDescent="0.3">
      <c r="A1524" t="s">
        <v>1446</v>
      </c>
      <c r="B1524">
        <v>50</v>
      </c>
      <c r="C1524" t="s">
        <v>18</v>
      </c>
      <c r="D1524" t="s">
        <v>34</v>
      </c>
      <c r="E1524" t="s">
        <v>44</v>
      </c>
      <c r="F1524" t="s">
        <v>57</v>
      </c>
      <c r="G1524">
        <v>24</v>
      </c>
      <c r="H1524" t="s">
        <v>31</v>
      </c>
      <c r="I1524" t="s">
        <v>37</v>
      </c>
      <c r="J1524" t="s">
        <v>25</v>
      </c>
      <c r="K1524" s="2">
        <v>102089</v>
      </c>
      <c r="L1524" s="2">
        <v>111315</v>
      </c>
      <c r="M1524" t="s">
        <v>38</v>
      </c>
      <c r="N1524">
        <v>53</v>
      </c>
      <c r="O1524" t="s">
        <v>25</v>
      </c>
      <c r="P1524">
        <v>7</v>
      </c>
      <c r="Q1524" s="1">
        <v>-5.96</v>
      </c>
      <c r="R1524" s="2">
        <f t="shared" si="92"/>
        <v>9226</v>
      </c>
      <c r="S1524" s="1">
        <f t="shared" si="93"/>
        <v>9.0372126281969649</v>
      </c>
      <c r="T1524" t="str">
        <f t="shared" si="94"/>
        <v>Expert</v>
      </c>
      <c r="U1524" t="str">
        <f t="shared" si="95"/>
        <v>Medium Impact</v>
      </c>
    </row>
    <row r="1525" spans="1:21" x14ac:dyDescent="0.3">
      <c r="A1525" t="s">
        <v>1789</v>
      </c>
      <c r="B1525">
        <v>31</v>
      </c>
      <c r="C1525" t="s">
        <v>18</v>
      </c>
      <c r="D1525" t="s">
        <v>40</v>
      </c>
      <c r="E1525" t="s">
        <v>41</v>
      </c>
      <c r="F1525" t="s">
        <v>55</v>
      </c>
      <c r="G1525">
        <v>5</v>
      </c>
      <c r="H1525" t="s">
        <v>22</v>
      </c>
      <c r="I1525" t="s">
        <v>31</v>
      </c>
      <c r="J1525" t="s">
        <v>25</v>
      </c>
      <c r="K1525" s="2">
        <v>31942</v>
      </c>
      <c r="L1525" s="2">
        <v>38334</v>
      </c>
      <c r="M1525" t="s">
        <v>32</v>
      </c>
      <c r="N1525">
        <v>47</v>
      </c>
      <c r="O1525" t="s">
        <v>25</v>
      </c>
      <c r="P1525">
        <v>4</v>
      </c>
      <c r="Q1525" s="1">
        <v>-5.96</v>
      </c>
      <c r="R1525" s="2">
        <f t="shared" si="92"/>
        <v>6392</v>
      </c>
      <c r="S1525" s="1">
        <f t="shared" si="93"/>
        <v>20.011270427650114</v>
      </c>
      <c r="T1525" t="str">
        <f t="shared" si="94"/>
        <v>Intermediate</v>
      </c>
      <c r="U1525" t="str">
        <f t="shared" si="95"/>
        <v>Low Impact</v>
      </c>
    </row>
    <row r="1526" spans="1:21" x14ac:dyDescent="0.3">
      <c r="A1526" t="s">
        <v>1307</v>
      </c>
      <c r="B1526">
        <v>39</v>
      </c>
      <c r="C1526" t="s">
        <v>27</v>
      </c>
      <c r="D1526" t="s">
        <v>40</v>
      </c>
      <c r="E1526" t="s">
        <v>41</v>
      </c>
      <c r="F1526" t="s">
        <v>49</v>
      </c>
      <c r="G1526">
        <v>14</v>
      </c>
      <c r="H1526" t="s">
        <v>37</v>
      </c>
      <c r="I1526" t="s">
        <v>37</v>
      </c>
      <c r="J1526" t="s">
        <v>23</v>
      </c>
      <c r="K1526" s="2">
        <v>61075</v>
      </c>
      <c r="L1526" s="2">
        <v>64155</v>
      </c>
      <c r="M1526" t="s">
        <v>38</v>
      </c>
      <c r="N1526">
        <v>46</v>
      </c>
      <c r="O1526" t="s">
        <v>25</v>
      </c>
      <c r="P1526">
        <v>7</v>
      </c>
      <c r="Q1526" s="1">
        <v>-5.98</v>
      </c>
      <c r="R1526" s="2">
        <f t="shared" si="92"/>
        <v>3080</v>
      </c>
      <c r="S1526" s="1">
        <f t="shared" si="93"/>
        <v>5.0429799426934094</v>
      </c>
      <c r="T1526" t="str">
        <f t="shared" si="94"/>
        <v>Intermediate</v>
      </c>
      <c r="U1526" t="str">
        <f t="shared" si="95"/>
        <v>Medium Impact</v>
      </c>
    </row>
    <row r="1527" spans="1:21" x14ac:dyDescent="0.3">
      <c r="A1527" t="s">
        <v>1222</v>
      </c>
      <c r="B1527">
        <v>47</v>
      </c>
      <c r="C1527" t="s">
        <v>18</v>
      </c>
      <c r="D1527" t="s">
        <v>40</v>
      </c>
      <c r="E1527" t="s">
        <v>35</v>
      </c>
      <c r="F1527" t="s">
        <v>98</v>
      </c>
      <c r="G1527">
        <v>24</v>
      </c>
      <c r="H1527" t="s">
        <v>22</v>
      </c>
      <c r="I1527" t="s">
        <v>22</v>
      </c>
      <c r="J1527" t="s">
        <v>25</v>
      </c>
      <c r="K1527" s="2">
        <v>79573</v>
      </c>
      <c r="L1527" s="2">
        <v>94951</v>
      </c>
      <c r="M1527" t="s">
        <v>38</v>
      </c>
      <c r="N1527">
        <v>53</v>
      </c>
      <c r="O1527" t="s">
        <v>23</v>
      </c>
      <c r="P1527">
        <v>5</v>
      </c>
      <c r="Q1527" s="1">
        <v>-6.01</v>
      </c>
      <c r="R1527" s="2">
        <f t="shared" si="92"/>
        <v>15378</v>
      </c>
      <c r="S1527" s="1">
        <f t="shared" si="93"/>
        <v>19.325650660399884</v>
      </c>
      <c r="T1527" t="str">
        <f t="shared" si="94"/>
        <v>Expert</v>
      </c>
      <c r="U1527" t="str">
        <f t="shared" si="95"/>
        <v>Medium Impact</v>
      </c>
    </row>
    <row r="1528" spans="1:21" x14ac:dyDescent="0.3">
      <c r="A1528" t="s">
        <v>1236</v>
      </c>
      <c r="B1528">
        <v>52</v>
      </c>
      <c r="C1528" t="s">
        <v>54</v>
      </c>
      <c r="D1528" t="s">
        <v>40</v>
      </c>
      <c r="E1528" t="s">
        <v>41</v>
      </c>
      <c r="F1528" t="s">
        <v>42</v>
      </c>
      <c r="G1528">
        <v>29</v>
      </c>
      <c r="H1528" t="s">
        <v>22</v>
      </c>
      <c r="I1528" t="s">
        <v>37</v>
      </c>
      <c r="J1528" t="s">
        <v>25</v>
      </c>
      <c r="K1528" s="2">
        <v>80617</v>
      </c>
      <c r="L1528" s="2">
        <v>111658</v>
      </c>
      <c r="M1528" t="s">
        <v>38</v>
      </c>
      <c r="N1528">
        <v>49</v>
      </c>
      <c r="O1528" t="s">
        <v>25</v>
      </c>
      <c r="P1528">
        <v>4</v>
      </c>
      <c r="Q1528" s="1">
        <v>-6.06</v>
      </c>
      <c r="R1528" s="2">
        <f t="shared" si="92"/>
        <v>31041</v>
      </c>
      <c r="S1528" s="1">
        <f t="shared" si="93"/>
        <v>38.50428569656524</v>
      </c>
      <c r="T1528" t="str">
        <f t="shared" si="94"/>
        <v>Expert</v>
      </c>
      <c r="U1528" t="str">
        <f t="shared" si="95"/>
        <v>Medium Impact</v>
      </c>
    </row>
    <row r="1529" spans="1:21" x14ac:dyDescent="0.3">
      <c r="A1529" t="s">
        <v>339</v>
      </c>
      <c r="B1529">
        <v>56</v>
      </c>
      <c r="C1529" t="s">
        <v>18</v>
      </c>
      <c r="D1529" t="s">
        <v>28</v>
      </c>
      <c r="E1529" t="s">
        <v>35</v>
      </c>
      <c r="F1529" t="s">
        <v>132</v>
      </c>
      <c r="G1529">
        <v>31</v>
      </c>
      <c r="H1529" t="s">
        <v>22</v>
      </c>
      <c r="I1529" t="s">
        <v>22</v>
      </c>
      <c r="J1529" t="s">
        <v>25</v>
      </c>
      <c r="K1529" s="2">
        <v>70390</v>
      </c>
      <c r="L1529" s="2">
        <v>79401</v>
      </c>
      <c r="M1529" t="s">
        <v>38</v>
      </c>
      <c r="N1529">
        <v>48</v>
      </c>
      <c r="O1529" t="s">
        <v>23</v>
      </c>
      <c r="P1529">
        <v>7</v>
      </c>
      <c r="Q1529" s="1">
        <v>-6.08</v>
      </c>
      <c r="R1529" s="2">
        <f t="shared" si="92"/>
        <v>9011</v>
      </c>
      <c r="S1529" s="1">
        <f t="shared" si="93"/>
        <v>12.801534308850689</v>
      </c>
      <c r="T1529" t="str">
        <f t="shared" si="94"/>
        <v>Expert</v>
      </c>
      <c r="U1529" t="str">
        <f t="shared" si="95"/>
        <v>Medium Impact</v>
      </c>
    </row>
    <row r="1530" spans="1:21" x14ac:dyDescent="0.3">
      <c r="A1530" t="s">
        <v>1654</v>
      </c>
      <c r="B1530">
        <v>38</v>
      </c>
      <c r="C1530" t="s">
        <v>18</v>
      </c>
      <c r="D1530" t="s">
        <v>40</v>
      </c>
      <c r="E1530" t="s">
        <v>35</v>
      </c>
      <c r="F1530" t="s">
        <v>98</v>
      </c>
      <c r="G1530">
        <v>12</v>
      </c>
      <c r="H1530" t="s">
        <v>31</v>
      </c>
      <c r="I1530" t="s">
        <v>37</v>
      </c>
      <c r="J1530" t="s">
        <v>25</v>
      </c>
      <c r="K1530" s="2">
        <v>76099</v>
      </c>
      <c r="L1530" s="2">
        <v>74575</v>
      </c>
      <c r="M1530" t="s">
        <v>38</v>
      </c>
      <c r="N1530">
        <v>53</v>
      </c>
      <c r="O1530" t="s">
        <v>25</v>
      </c>
      <c r="P1530">
        <v>7</v>
      </c>
      <c r="Q1530" s="1">
        <v>-6.09</v>
      </c>
      <c r="R1530" s="2">
        <f t="shared" si="92"/>
        <v>-1524</v>
      </c>
      <c r="S1530" s="1">
        <f t="shared" si="93"/>
        <v>-2.002654436983403</v>
      </c>
      <c r="T1530" t="str">
        <f t="shared" si="94"/>
        <v>Intermediate</v>
      </c>
      <c r="U1530" t="str">
        <f t="shared" si="95"/>
        <v>Medium Impact</v>
      </c>
    </row>
    <row r="1531" spans="1:21" x14ac:dyDescent="0.3">
      <c r="A1531" t="s">
        <v>1427</v>
      </c>
      <c r="B1531">
        <v>58</v>
      </c>
      <c r="C1531" t="s">
        <v>27</v>
      </c>
      <c r="D1531" t="s">
        <v>19</v>
      </c>
      <c r="E1531" t="s">
        <v>20</v>
      </c>
      <c r="F1531" t="s">
        <v>21</v>
      </c>
      <c r="G1531">
        <v>35</v>
      </c>
      <c r="H1531" t="s">
        <v>37</v>
      </c>
      <c r="I1531" t="s">
        <v>37</v>
      </c>
      <c r="J1531" t="s">
        <v>23</v>
      </c>
      <c r="K1531" s="2">
        <v>63001</v>
      </c>
      <c r="L1531" s="2">
        <v>64459</v>
      </c>
      <c r="M1531" t="s">
        <v>38</v>
      </c>
      <c r="N1531">
        <v>43</v>
      </c>
      <c r="O1531" t="s">
        <v>23</v>
      </c>
      <c r="P1531">
        <v>5</v>
      </c>
      <c r="Q1531" s="1">
        <v>-6.12</v>
      </c>
      <c r="R1531" s="2">
        <f t="shared" si="92"/>
        <v>1458</v>
      </c>
      <c r="S1531" s="1">
        <f t="shared" si="93"/>
        <v>2.3142489801749178</v>
      </c>
      <c r="T1531" t="str">
        <f t="shared" si="94"/>
        <v>Expert</v>
      </c>
      <c r="U1531" t="str">
        <f t="shared" si="95"/>
        <v>Medium Impact</v>
      </c>
    </row>
    <row r="1532" spans="1:21" x14ac:dyDescent="0.3">
      <c r="A1532" t="s">
        <v>309</v>
      </c>
      <c r="B1532">
        <v>41</v>
      </c>
      <c r="C1532" t="s">
        <v>54</v>
      </c>
      <c r="D1532" t="s">
        <v>19</v>
      </c>
      <c r="E1532" t="s">
        <v>41</v>
      </c>
      <c r="F1532" t="s">
        <v>49</v>
      </c>
      <c r="G1532">
        <v>18</v>
      </c>
      <c r="H1532" t="s">
        <v>37</v>
      </c>
      <c r="I1532" t="s">
        <v>37</v>
      </c>
      <c r="J1532" t="s">
        <v>25</v>
      </c>
      <c r="K1532" s="2">
        <v>111537</v>
      </c>
      <c r="L1532" s="2">
        <v>104498</v>
      </c>
      <c r="M1532" t="s">
        <v>38</v>
      </c>
      <c r="N1532">
        <v>35</v>
      </c>
      <c r="O1532" t="s">
        <v>25</v>
      </c>
      <c r="P1532">
        <v>9</v>
      </c>
      <c r="Q1532" s="1">
        <v>-6.13</v>
      </c>
      <c r="R1532" s="2">
        <f t="shared" si="92"/>
        <v>-7039</v>
      </c>
      <c r="S1532" s="1">
        <f t="shared" si="93"/>
        <v>-6.3109102808933368</v>
      </c>
      <c r="T1532" t="str">
        <f t="shared" si="94"/>
        <v>Expert</v>
      </c>
      <c r="U1532" t="str">
        <f t="shared" si="95"/>
        <v>Medium Impact</v>
      </c>
    </row>
    <row r="1533" spans="1:21" x14ac:dyDescent="0.3">
      <c r="A1533" t="s">
        <v>1261</v>
      </c>
      <c r="B1533">
        <v>24</v>
      </c>
      <c r="C1533" t="s">
        <v>54</v>
      </c>
      <c r="D1533" t="s">
        <v>19</v>
      </c>
      <c r="E1533" t="s">
        <v>20</v>
      </c>
      <c r="F1533" t="s">
        <v>118</v>
      </c>
      <c r="G1533">
        <v>0</v>
      </c>
      <c r="H1533" t="s">
        <v>31</v>
      </c>
      <c r="I1533" t="s">
        <v>37</v>
      </c>
      <c r="J1533" t="s">
        <v>23</v>
      </c>
      <c r="K1533" s="2">
        <v>80411</v>
      </c>
      <c r="L1533" s="2">
        <v>77021</v>
      </c>
      <c r="M1533" t="s">
        <v>38</v>
      </c>
      <c r="N1533">
        <v>51</v>
      </c>
      <c r="O1533" t="s">
        <v>25</v>
      </c>
      <c r="P1533">
        <v>8</v>
      </c>
      <c r="Q1533" s="1">
        <v>-6.14</v>
      </c>
      <c r="R1533" s="2">
        <f t="shared" si="92"/>
        <v>-3390</v>
      </c>
      <c r="S1533" s="1">
        <f t="shared" si="93"/>
        <v>-4.2158411162651879</v>
      </c>
      <c r="T1533" t="str">
        <f t="shared" si="94"/>
        <v>Beginner</v>
      </c>
      <c r="U1533" t="str">
        <f t="shared" si="95"/>
        <v>Medium Impact</v>
      </c>
    </row>
    <row r="1534" spans="1:21" x14ac:dyDescent="0.3">
      <c r="A1534" t="s">
        <v>854</v>
      </c>
      <c r="B1534">
        <v>52</v>
      </c>
      <c r="C1534" t="s">
        <v>27</v>
      </c>
      <c r="D1534" t="s">
        <v>34</v>
      </c>
      <c r="E1534" t="s">
        <v>20</v>
      </c>
      <c r="F1534" t="s">
        <v>118</v>
      </c>
      <c r="G1534">
        <v>30</v>
      </c>
      <c r="H1534" t="s">
        <v>37</v>
      </c>
      <c r="I1534" t="s">
        <v>22</v>
      </c>
      <c r="J1534" t="s">
        <v>25</v>
      </c>
      <c r="K1534" s="2">
        <v>30066</v>
      </c>
      <c r="L1534" s="2">
        <v>27503</v>
      </c>
      <c r="M1534" t="s">
        <v>32</v>
      </c>
      <c r="N1534">
        <v>43</v>
      </c>
      <c r="O1534" t="s">
        <v>25</v>
      </c>
      <c r="P1534">
        <v>8</v>
      </c>
      <c r="Q1534" s="1">
        <v>-6.14</v>
      </c>
      <c r="R1534" s="2">
        <f t="shared" si="92"/>
        <v>-2563</v>
      </c>
      <c r="S1534" s="1">
        <f t="shared" si="93"/>
        <v>-8.5245792589636125</v>
      </c>
      <c r="T1534" t="str">
        <f t="shared" si="94"/>
        <v>Expert</v>
      </c>
      <c r="U1534" t="str">
        <f t="shared" si="95"/>
        <v>Low Impact</v>
      </c>
    </row>
    <row r="1535" spans="1:21" x14ac:dyDescent="0.3">
      <c r="A1535" t="s">
        <v>669</v>
      </c>
      <c r="B1535">
        <v>43</v>
      </c>
      <c r="C1535" t="s">
        <v>54</v>
      </c>
      <c r="D1535" t="s">
        <v>28</v>
      </c>
      <c r="E1535" t="s">
        <v>51</v>
      </c>
      <c r="F1535" t="s">
        <v>52</v>
      </c>
      <c r="G1535">
        <v>18</v>
      </c>
      <c r="H1535" t="s">
        <v>31</v>
      </c>
      <c r="I1535" t="s">
        <v>22</v>
      </c>
      <c r="J1535" t="s">
        <v>25</v>
      </c>
      <c r="K1535" s="2">
        <v>53559</v>
      </c>
      <c r="L1535" s="2">
        <v>51415</v>
      </c>
      <c r="M1535" t="s">
        <v>32</v>
      </c>
      <c r="N1535">
        <v>51</v>
      </c>
      <c r="O1535" t="s">
        <v>23</v>
      </c>
      <c r="P1535">
        <v>6</v>
      </c>
      <c r="Q1535" s="1">
        <v>-6.15</v>
      </c>
      <c r="R1535" s="2">
        <f t="shared" si="92"/>
        <v>-2144</v>
      </c>
      <c r="S1535" s="1">
        <f t="shared" si="93"/>
        <v>-4.0030620437274784</v>
      </c>
      <c r="T1535" t="str">
        <f t="shared" si="94"/>
        <v>Expert</v>
      </c>
      <c r="U1535" t="str">
        <f t="shared" si="95"/>
        <v>Low Impact</v>
      </c>
    </row>
    <row r="1536" spans="1:21" x14ac:dyDescent="0.3">
      <c r="A1536" t="s">
        <v>252</v>
      </c>
      <c r="B1536">
        <v>50</v>
      </c>
      <c r="C1536" t="s">
        <v>54</v>
      </c>
      <c r="D1536" t="s">
        <v>34</v>
      </c>
      <c r="E1536" t="s">
        <v>51</v>
      </c>
      <c r="F1536" t="s">
        <v>75</v>
      </c>
      <c r="G1536">
        <v>24</v>
      </c>
      <c r="H1536" t="s">
        <v>31</v>
      </c>
      <c r="I1536" t="s">
        <v>22</v>
      </c>
      <c r="J1536" t="s">
        <v>25</v>
      </c>
      <c r="K1536" s="2">
        <v>94754</v>
      </c>
      <c r="L1536" s="2">
        <v>97303</v>
      </c>
      <c r="M1536" t="s">
        <v>32</v>
      </c>
      <c r="N1536">
        <v>36</v>
      </c>
      <c r="O1536" t="s">
        <v>23</v>
      </c>
      <c r="P1536">
        <v>3</v>
      </c>
      <c r="Q1536" s="1">
        <v>-6.16</v>
      </c>
      <c r="R1536" s="2">
        <f t="shared" si="92"/>
        <v>2549</v>
      </c>
      <c r="S1536" s="1">
        <f t="shared" si="93"/>
        <v>2.6901238997825949</v>
      </c>
      <c r="T1536" t="str">
        <f t="shared" si="94"/>
        <v>Expert</v>
      </c>
      <c r="U1536" t="str">
        <f t="shared" si="95"/>
        <v>Low Impact</v>
      </c>
    </row>
    <row r="1537" spans="1:21" x14ac:dyDescent="0.3">
      <c r="A1537" t="s">
        <v>1228</v>
      </c>
      <c r="B1537">
        <v>30</v>
      </c>
      <c r="C1537" t="s">
        <v>18</v>
      </c>
      <c r="D1537" t="s">
        <v>40</v>
      </c>
      <c r="E1537" t="s">
        <v>59</v>
      </c>
      <c r="F1537" t="s">
        <v>60</v>
      </c>
      <c r="G1537">
        <v>6</v>
      </c>
      <c r="H1537" t="s">
        <v>31</v>
      </c>
      <c r="I1537" t="s">
        <v>31</v>
      </c>
      <c r="J1537" t="s">
        <v>23</v>
      </c>
      <c r="K1537" s="2">
        <v>45407</v>
      </c>
      <c r="L1537" s="2">
        <v>46118</v>
      </c>
      <c r="M1537" t="s">
        <v>32</v>
      </c>
      <c r="N1537">
        <v>39</v>
      </c>
      <c r="O1537" t="s">
        <v>25</v>
      </c>
      <c r="P1537">
        <v>3</v>
      </c>
      <c r="Q1537" s="1">
        <v>-6.16</v>
      </c>
      <c r="R1537" s="2">
        <f t="shared" si="92"/>
        <v>711</v>
      </c>
      <c r="S1537" s="1">
        <f t="shared" si="93"/>
        <v>1.5658378664082631</v>
      </c>
      <c r="T1537" t="str">
        <f t="shared" si="94"/>
        <v>Intermediate</v>
      </c>
      <c r="U1537" t="str">
        <f t="shared" si="95"/>
        <v>Low Impact</v>
      </c>
    </row>
    <row r="1538" spans="1:21" x14ac:dyDescent="0.3">
      <c r="A1538" t="s">
        <v>1467</v>
      </c>
      <c r="B1538">
        <v>52</v>
      </c>
      <c r="C1538" t="s">
        <v>54</v>
      </c>
      <c r="D1538" t="s">
        <v>34</v>
      </c>
      <c r="E1538" t="s">
        <v>59</v>
      </c>
      <c r="F1538" t="s">
        <v>77</v>
      </c>
      <c r="G1538">
        <v>29</v>
      </c>
      <c r="H1538" t="s">
        <v>22</v>
      </c>
      <c r="I1538" t="s">
        <v>37</v>
      </c>
      <c r="J1538" t="s">
        <v>23</v>
      </c>
      <c r="K1538" s="2">
        <v>48325</v>
      </c>
      <c r="L1538" s="2">
        <v>49463</v>
      </c>
      <c r="M1538" t="s">
        <v>38</v>
      </c>
      <c r="N1538">
        <v>40</v>
      </c>
      <c r="O1538" t="s">
        <v>23</v>
      </c>
      <c r="P1538">
        <v>4</v>
      </c>
      <c r="Q1538" s="1">
        <v>-6.18</v>
      </c>
      <c r="R1538" s="2">
        <f t="shared" ref="R1538:R1601" si="96">L1538-K1538</f>
        <v>1138</v>
      </c>
      <c r="S1538" s="1">
        <f t="shared" ref="S1538:S1601" si="97">(L1538-K1538)/K1538*100</f>
        <v>2.3548887739265387</v>
      </c>
      <c r="T1538" t="str">
        <f t="shared" ref="T1538:T1601" si="98">IF(G1538&lt;5,"Beginner",IF(G1538&lt;15,"Intermediate","Expert"))</f>
        <v>Expert</v>
      </c>
      <c r="U1538" t="str">
        <f t="shared" ref="U1538:U1601" si="99">IF(M1538="Replaced","High Impact",IF(M1538="Modified","Medium Impact","Low Impact"))</f>
        <v>Medium Impact</v>
      </c>
    </row>
    <row r="1539" spans="1:21" x14ac:dyDescent="0.3">
      <c r="A1539" t="s">
        <v>1807</v>
      </c>
      <c r="B1539">
        <v>46</v>
      </c>
      <c r="C1539" t="s">
        <v>18</v>
      </c>
      <c r="D1539" t="s">
        <v>28</v>
      </c>
      <c r="E1539" t="s">
        <v>44</v>
      </c>
      <c r="F1539" t="s">
        <v>45</v>
      </c>
      <c r="G1539">
        <v>23</v>
      </c>
      <c r="H1539" t="s">
        <v>31</v>
      </c>
      <c r="I1539" t="s">
        <v>22</v>
      </c>
      <c r="J1539" t="s">
        <v>25</v>
      </c>
      <c r="K1539" s="2">
        <v>50662</v>
      </c>
      <c r="L1539" s="2">
        <v>52560</v>
      </c>
      <c r="M1539" t="s">
        <v>32</v>
      </c>
      <c r="N1539">
        <v>49</v>
      </c>
      <c r="O1539" t="s">
        <v>25</v>
      </c>
      <c r="P1539">
        <v>7</v>
      </c>
      <c r="Q1539" s="1">
        <v>-6.2</v>
      </c>
      <c r="R1539" s="2">
        <f t="shared" si="96"/>
        <v>1898</v>
      </c>
      <c r="S1539" s="1">
        <f t="shared" si="97"/>
        <v>3.7463976945244957</v>
      </c>
      <c r="T1539" t="str">
        <f t="shared" si="98"/>
        <v>Expert</v>
      </c>
      <c r="U1539" t="str">
        <f t="shared" si="99"/>
        <v>Low Impact</v>
      </c>
    </row>
    <row r="1540" spans="1:21" x14ac:dyDescent="0.3">
      <c r="A1540" t="s">
        <v>1700</v>
      </c>
      <c r="B1540">
        <v>38</v>
      </c>
      <c r="C1540" t="s">
        <v>27</v>
      </c>
      <c r="D1540" t="s">
        <v>34</v>
      </c>
      <c r="E1540" t="s">
        <v>29</v>
      </c>
      <c r="F1540" t="s">
        <v>30</v>
      </c>
      <c r="G1540">
        <v>12</v>
      </c>
      <c r="H1540" t="s">
        <v>31</v>
      </c>
      <c r="I1540" t="s">
        <v>37</v>
      </c>
      <c r="J1540" t="s">
        <v>25</v>
      </c>
      <c r="K1540" s="2">
        <v>32389</v>
      </c>
      <c r="L1540" s="2">
        <v>34294</v>
      </c>
      <c r="M1540" t="s">
        <v>38</v>
      </c>
      <c r="N1540">
        <v>50</v>
      </c>
      <c r="O1540" t="s">
        <v>25</v>
      </c>
      <c r="P1540">
        <v>8</v>
      </c>
      <c r="Q1540" s="1">
        <v>-6.21</v>
      </c>
      <c r="R1540" s="2">
        <f t="shared" si="96"/>
        <v>1905</v>
      </c>
      <c r="S1540" s="1">
        <f t="shared" si="97"/>
        <v>5.8816264781252894</v>
      </c>
      <c r="T1540" t="str">
        <f t="shared" si="98"/>
        <v>Intermediate</v>
      </c>
      <c r="U1540" t="str">
        <f t="shared" si="99"/>
        <v>Medium Impact</v>
      </c>
    </row>
    <row r="1541" spans="1:21" x14ac:dyDescent="0.3">
      <c r="A1541" t="s">
        <v>674</v>
      </c>
      <c r="B1541">
        <v>55</v>
      </c>
      <c r="C1541" t="s">
        <v>18</v>
      </c>
      <c r="D1541" t="s">
        <v>40</v>
      </c>
      <c r="E1541" t="s">
        <v>29</v>
      </c>
      <c r="F1541" t="s">
        <v>30</v>
      </c>
      <c r="G1541">
        <v>32</v>
      </c>
      <c r="H1541" t="s">
        <v>37</v>
      </c>
      <c r="I1541" t="s">
        <v>22</v>
      </c>
      <c r="J1541" t="s">
        <v>25</v>
      </c>
      <c r="K1541" s="2">
        <v>113014</v>
      </c>
      <c r="L1541" s="2">
        <v>108859</v>
      </c>
      <c r="M1541" t="s">
        <v>32</v>
      </c>
      <c r="N1541">
        <v>54</v>
      </c>
      <c r="O1541" t="s">
        <v>23</v>
      </c>
      <c r="P1541">
        <v>4</v>
      </c>
      <c r="Q1541" s="1">
        <v>-6.24</v>
      </c>
      <c r="R1541" s="2">
        <f t="shared" si="96"/>
        <v>-4155</v>
      </c>
      <c r="S1541" s="1">
        <f t="shared" si="97"/>
        <v>-3.6765356504503868</v>
      </c>
      <c r="T1541" t="str">
        <f t="shared" si="98"/>
        <v>Expert</v>
      </c>
      <c r="U1541" t="str">
        <f t="shared" si="99"/>
        <v>Low Impact</v>
      </c>
    </row>
    <row r="1542" spans="1:21" x14ac:dyDescent="0.3">
      <c r="A1542" t="s">
        <v>145</v>
      </c>
      <c r="B1542">
        <v>49</v>
      </c>
      <c r="C1542" t="s">
        <v>18</v>
      </c>
      <c r="D1542" t="s">
        <v>19</v>
      </c>
      <c r="E1542" t="s">
        <v>20</v>
      </c>
      <c r="F1542" t="s">
        <v>88</v>
      </c>
      <c r="G1542">
        <v>24</v>
      </c>
      <c r="H1542" t="s">
        <v>31</v>
      </c>
      <c r="I1542" t="s">
        <v>22</v>
      </c>
      <c r="J1542" t="s">
        <v>25</v>
      </c>
      <c r="K1542" s="2">
        <v>91529</v>
      </c>
      <c r="L1542" s="2">
        <v>92283</v>
      </c>
      <c r="M1542" t="s">
        <v>32</v>
      </c>
      <c r="N1542">
        <v>39</v>
      </c>
      <c r="O1542" t="s">
        <v>23</v>
      </c>
      <c r="P1542">
        <v>3</v>
      </c>
      <c r="Q1542" s="1">
        <v>-6.24</v>
      </c>
      <c r="R1542" s="2">
        <f t="shared" si="96"/>
        <v>754</v>
      </c>
      <c r="S1542" s="1">
        <f t="shared" si="97"/>
        <v>0.82378262627145504</v>
      </c>
      <c r="T1542" t="str">
        <f t="shared" si="98"/>
        <v>Expert</v>
      </c>
      <c r="U1542" t="str">
        <f t="shared" si="99"/>
        <v>Low Impact</v>
      </c>
    </row>
    <row r="1543" spans="1:21" x14ac:dyDescent="0.3">
      <c r="A1543" t="s">
        <v>1925</v>
      </c>
      <c r="B1543">
        <v>38</v>
      </c>
      <c r="C1543" t="s">
        <v>54</v>
      </c>
      <c r="D1543" t="s">
        <v>19</v>
      </c>
      <c r="E1543" t="s">
        <v>59</v>
      </c>
      <c r="F1543" t="s">
        <v>93</v>
      </c>
      <c r="G1543">
        <v>12</v>
      </c>
      <c r="H1543" t="s">
        <v>22</v>
      </c>
      <c r="I1543" t="s">
        <v>37</v>
      </c>
      <c r="J1543" t="s">
        <v>25</v>
      </c>
      <c r="K1543" s="2">
        <v>114954</v>
      </c>
      <c r="L1543" s="2">
        <v>145565</v>
      </c>
      <c r="M1543" t="s">
        <v>38</v>
      </c>
      <c r="N1543">
        <v>42</v>
      </c>
      <c r="O1543" t="s">
        <v>23</v>
      </c>
      <c r="P1543">
        <v>7</v>
      </c>
      <c r="Q1543" s="1">
        <v>-6.26</v>
      </c>
      <c r="R1543" s="2">
        <f t="shared" si="96"/>
        <v>30611</v>
      </c>
      <c r="S1543" s="1">
        <f t="shared" si="97"/>
        <v>26.628912434539032</v>
      </c>
      <c r="T1543" t="str">
        <f t="shared" si="98"/>
        <v>Intermediate</v>
      </c>
      <c r="U1543" t="str">
        <f t="shared" si="99"/>
        <v>Medium Impact</v>
      </c>
    </row>
    <row r="1544" spans="1:21" x14ac:dyDescent="0.3">
      <c r="A1544" t="s">
        <v>535</v>
      </c>
      <c r="B1544">
        <v>43</v>
      </c>
      <c r="C1544" t="s">
        <v>18</v>
      </c>
      <c r="D1544" t="s">
        <v>34</v>
      </c>
      <c r="E1544" t="s">
        <v>51</v>
      </c>
      <c r="F1544" t="s">
        <v>130</v>
      </c>
      <c r="G1544">
        <v>19</v>
      </c>
      <c r="H1544" t="s">
        <v>37</v>
      </c>
      <c r="I1544" t="s">
        <v>37</v>
      </c>
      <c r="J1544" t="s">
        <v>25</v>
      </c>
      <c r="K1544" s="2">
        <v>75671</v>
      </c>
      <c r="L1544" s="2">
        <v>69595</v>
      </c>
      <c r="M1544" t="s">
        <v>38</v>
      </c>
      <c r="N1544">
        <v>36</v>
      </c>
      <c r="O1544" t="s">
        <v>23</v>
      </c>
      <c r="P1544">
        <v>4</v>
      </c>
      <c r="Q1544" s="1">
        <v>-6.31</v>
      </c>
      <c r="R1544" s="2">
        <f t="shared" si="96"/>
        <v>-6076</v>
      </c>
      <c r="S1544" s="1">
        <f t="shared" si="97"/>
        <v>-8.0294961081523972</v>
      </c>
      <c r="T1544" t="str">
        <f t="shared" si="98"/>
        <v>Expert</v>
      </c>
      <c r="U1544" t="str">
        <f t="shared" si="99"/>
        <v>Medium Impact</v>
      </c>
    </row>
    <row r="1545" spans="1:21" x14ac:dyDescent="0.3">
      <c r="A1545" t="s">
        <v>2006</v>
      </c>
      <c r="B1545">
        <v>32</v>
      </c>
      <c r="C1545" t="s">
        <v>54</v>
      </c>
      <c r="D1545" t="s">
        <v>40</v>
      </c>
      <c r="E1545" t="s">
        <v>44</v>
      </c>
      <c r="F1545" t="s">
        <v>57</v>
      </c>
      <c r="G1545">
        <v>6</v>
      </c>
      <c r="H1545" t="s">
        <v>22</v>
      </c>
      <c r="I1545" t="s">
        <v>37</v>
      </c>
      <c r="J1545" t="s">
        <v>23</v>
      </c>
      <c r="K1545" s="2">
        <v>117063</v>
      </c>
      <c r="L1545" s="2">
        <v>159754</v>
      </c>
      <c r="M1545" t="s">
        <v>38</v>
      </c>
      <c r="N1545">
        <v>47</v>
      </c>
      <c r="O1545" t="s">
        <v>23</v>
      </c>
      <c r="P1545">
        <v>7</v>
      </c>
      <c r="Q1545" s="1">
        <v>-6.37</v>
      </c>
      <c r="R1545" s="2">
        <f t="shared" si="96"/>
        <v>42691</v>
      </c>
      <c r="S1545" s="1">
        <f t="shared" si="97"/>
        <v>36.468397358687206</v>
      </c>
      <c r="T1545" t="str">
        <f t="shared" si="98"/>
        <v>Intermediate</v>
      </c>
      <c r="U1545" t="str">
        <f t="shared" si="99"/>
        <v>Medium Impact</v>
      </c>
    </row>
    <row r="1546" spans="1:21" x14ac:dyDescent="0.3">
      <c r="A1546" t="s">
        <v>373</v>
      </c>
      <c r="B1546">
        <v>42</v>
      </c>
      <c r="C1546" t="s">
        <v>18</v>
      </c>
      <c r="D1546" t="s">
        <v>19</v>
      </c>
      <c r="E1546" t="s">
        <v>35</v>
      </c>
      <c r="F1546" t="s">
        <v>132</v>
      </c>
      <c r="G1546">
        <v>17</v>
      </c>
      <c r="H1546" t="s">
        <v>31</v>
      </c>
      <c r="I1546" t="s">
        <v>22</v>
      </c>
      <c r="J1546" t="s">
        <v>23</v>
      </c>
      <c r="K1546" s="2">
        <v>58602</v>
      </c>
      <c r="L1546" s="2">
        <v>59628</v>
      </c>
      <c r="M1546" t="s">
        <v>32</v>
      </c>
      <c r="N1546">
        <v>51</v>
      </c>
      <c r="O1546" t="s">
        <v>23</v>
      </c>
      <c r="P1546">
        <v>6</v>
      </c>
      <c r="Q1546" s="1">
        <v>-6.38</v>
      </c>
      <c r="R1546" s="2">
        <f t="shared" si="96"/>
        <v>1026</v>
      </c>
      <c r="S1546" s="1">
        <f t="shared" si="97"/>
        <v>1.7507934882768508</v>
      </c>
      <c r="T1546" t="str">
        <f t="shared" si="98"/>
        <v>Expert</v>
      </c>
      <c r="U1546" t="str">
        <f t="shared" si="99"/>
        <v>Low Impact</v>
      </c>
    </row>
    <row r="1547" spans="1:21" x14ac:dyDescent="0.3">
      <c r="A1547" t="s">
        <v>1253</v>
      </c>
      <c r="B1547">
        <v>46</v>
      </c>
      <c r="C1547" t="s">
        <v>18</v>
      </c>
      <c r="D1547" t="s">
        <v>19</v>
      </c>
      <c r="E1547" t="s">
        <v>59</v>
      </c>
      <c r="F1547" t="s">
        <v>60</v>
      </c>
      <c r="G1547">
        <v>22</v>
      </c>
      <c r="H1547" t="s">
        <v>37</v>
      </c>
      <c r="I1547" t="s">
        <v>37</v>
      </c>
      <c r="J1547" t="s">
        <v>25</v>
      </c>
      <c r="K1547" s="2">
        <v>68015</v>
      </c>
      <c r="L1547" s="2">
        <v>68769</v>
      </c>
      <c r="M1547" t="s">
        <v>38</v>
      </c>
      <c r="N1547">
        <v>53</v>
      </c>
      <c r="O1547" t="s">
        <v>25</v>
      </c>
      <c r="P1547">
        <v>9</v>
      </c>
      <c r="Q1547" s="1">
        <v>-6.43</v>
      </c>
      <c r="R1547" s="2">
        <f t="shared" si="96"/>
        <v>754</v>
      </c>
      <c r="S1547" s="1">
        <f t="shared" si="97"/>
        <v>1.1085789899286922</v>
      </c>
      <c r="T1547" t="str">
        <f t="shared" si="98"/>
        <v>Expert</v>
      </c>
      <c r="U1547" t="str">
        <f t="shared" si="99"/>
        <v>Medium Impact</v>
      </c>
    </row>
    <row r="1548" spans="1:21" x14ac:dyDescent="0.3">
      <c r="A1548" t="s">
        <v>508</v>
      </c>
      <c r="B1548">
        <v>24</v>
      </c>
      <c r="C1548" t="s">
        <v>27</v>
      </c>
      <c r="D1548" t="s">
        <v>40</v>
      </c>
      <c r="E1548" t="s">
        <v>44</v>
      </c>
      <c r="F1548" t="s">
        <v>47</v>
      </c>
      <c r="G1548">
        <v>0</v>
      </c>
      <c r="H1548" t="s">
        <v>22</v>
      </c>
      <c r="I1548" t="s">
        <v>31</v>
      </c>
      <c r="J1548" t="s">
        <v>23</v>
      </c>
      <c r="K1548" s="2">
        <v>53782</v>
      </c>
      <c r="L1548" s="2">
        <v>58399</v>
      </c>
      <c r="M1548" t="s">
        <v>32</v>
      </c>
      <c r="N1548">
        <v>43</v>
      </c>
      <c r="O1548" t="s">
        <v>25</v>
      </c>
      <c r="P1548">
        <v>8</v>
      </c>
      <c r="Q1548" s="1">
        <v>-6.44</v>
      </c>
      <c r="R1548" s="2">
        <f t="shared" si="96"/>
        <v>4617</v>
      </c>
      <c r="S1548" s="1">
        <f t="shared" si="97"/>
        <v>8.584656576549774</v>
      </c>
      <c r="T1548" t="str">
        <f t="shared" si="98"/>
        <v>Beginner</v>
      </c>
      <c r="U1548" t="str">
        <f t="shared" si="99"/>
        <v>Low Impact</v>
      </c>
    </row>
    <row r="1549" spans="1:21" x14ac:dyDescent="0.3">
      <c r="A1549" t="s">
        <v>1012</v>
      </c>
      <c r="B1549">
        <v>56</v>
      </c>
      <c r="C1549" t="s">
        <v>27</v>
      </c>
      <c r="D1549" t="s">
        <v>28</v>
      </c>
      <c r="E1549" t="s">
        <v>41</v>
      </c>
      <c r="F1549" t="s">
        <v>42</v>
      </c>
      <c r="G1549">
        <v>34</v>
      </c>
      <c r="H1549" t="s">
        <v>22</v>
      </c>
      <c r="I1549" t="s">
        <v>37</v>
      </c>
      <c r="J1549" t="s">
        <v>25</v>
      </c>
      <c r="K1549" s="2">
        <v>33832</v>
      </c>
      <c r="L1549" s="2">
        <v>42852</v>
      </c>
      <c r="M1549" t="s">
        <v>38</v>
      </c>
      <c r="N1549">
        <v>45</v>
      </c>
      <c r="O1549" t="s">
        <v>23</v>
      </c>
      <c r="P1549">
        <v>5</v>
      </c>
      <c r="Q1549" s="1">
        <v>-6.45</v>
      </c>
      <c r="R1549" s="2">
        <f t="shared" si="96"/>
        <v>9020</v>
      </c>
      <c r="S1549" s="1">
        <f t="shared" si="97"/>
        <v>26.661149207850553</v>
      </c>
      <c r="T1549" t="str">
        <f t="shared" si="98"/>
        <v>Expert</v>
      </c>
      <c r="U1549" t="str">
        <f t="shared" si="99"/>
        <v>Medium Impact</v>
      </c>
    </row>
    <row r="1550" spans="1:21" x14ac:dyDescent="0.3">
      <c r="A1550" t="s">
        <v>785</v>
      </c>
      <c r="B1550">
        <v>46</v>
      </c>
      <c r="C1550" t="s">
        <v>54</v>
      </c>
      <c r="D1550" t="s">
        <v>19</v>
      </c>
      <c r="E1550" t="s">
        <v>20</v>
      </c>
      <c r="F1550" t="s">
        <v>88</v>
      </c>
      <c r="G1550">
        <v>23</v>
      </c>
      <c r="H1550" t="s">
        <v>22</v>
      </c>
      <c r="I1550" t="s">
        <v>31</v>
      </c>
      <c r="J1550" t="s">
        <v>25</v>
      </c>
      <c r="K1550" s="2">
        <v>109788</v>
      </c>
      <c r="L1550" s="2">
        <v>152967</v>
      </c>
      <c r="M1550" t="s">
        <v>32</v>
      </c>
      <c r="N1550">
        <v>42</v>
      </c>
      <c r="O1550" t="s">
        <v>25</v>
      </c>
      <c r="P1550">
        <v>9</v>
      </c>
      <c r="Q1550" s="1">
        <v>-6.46</v>
      </c>
      <c r="R1550" s="2">
        <f t="shared" si="96"/>
        <v>43179</v>
      </c>
      <c r="S1550" s="1">
        <f t="shared" si="97"/>
        <v>39.329434910919225</v>
      </c>
      <c r="T1550" t="str">
        <f t="shared" si="98"/>
        <v>Expert</v>
      </c>
      <c r="U1550" t="str">
        <f t="shared" si="99"/>
        <v>Low Impact</v>
      </c>
    </row>
    <row r="1551" spans="1:21" x14ac:dyDescent="0.3">
      <c r="A1551" t="s">
        <v>175</v>
      </c>
      <c r="B1551">
        <v>58</v>
      </c>
      <c r="C1551" t="s">
        <v>54</v>
      </c>
      <c r="D1551" t="s">
        <v>34</v>
      </c>
      <c r="E1551" t="s">
        <v>35</v>
      </c>
      <c r="F1551" t="s">
        <v>132</v>
      </c>
      <c r="G1551">
        <v>36</v>
      </c>
      <c r="H1551" t="s">
        <v>37</v>
      </c>
      <c r="I1551" t="s">
        <v>37</v>
      </c>
      <c r="J1551" t="s">
        <v>23</v>
      </c>
      <c r="K1551" s="2">
        <v>88656</v>
      </c>
      <c r="L1551" s="2">
        <v>79990</v>
      </c>
      <c r="M1551" t="s">
        <v>38</v>
      </c>
      <c r="N1551">
        <v>40</v>
      </c>
      <c r="O1551" t="s">
        <v>23</v>
      </c>
      <c r="P1551">
        <v>9</v>
      </c>
      <c r="Q1551" s="1">
        <v>-6.48</v>
      </c>
      <c r="R1551" s="2">
        <f t="shared" si="96"/>
        <v>-8666</v>
      </c>
      <c r="S1551" s="1">
        <f t="shared" si="97"/>
        <v>-9.7748601335499004</v>
      </c>
      <c r="T1551" t="str">
        <f t="shared" si="98"/>
        <v>Expert</v>
      </c>
      <c r="U1551" t="str">
        <f t="shared" si="99"/>
        <v>Medium Impact</v>
      </c>
    </row>
    <row r="1552" spans="1:21" x14ac:dyDescent="0.3">
      <c r="A1552" t="s">
        <v>1726</v>
      </c>
      <c r="B1552">
        <v>45</v>
      </c>
      <c r="C1552" t="s">
        <v>18</v>
      </c>
      <c r="D1552" t="s">
        <v>19</v>
      </c>
      <c r="E1552" t="s">
        <v>41</v>
      </c>
      <c r="F1552" t="s">
        <v>42</v>
      </c>
      <c r="G1552">
        <v>19</v>
      </c>
      <c r="H1552" t="s">
        <v>22</v>
      </c>
      <c r="I1552" t="s">
        <v>37</v>
      </c>
      <c r="J1552" t="s">
        <v>23</v>
      </c>
      <c r="K1552" s="2">
        <v>116089</v>
      </c>
      <c r="L1552" s="2">
        <v>123932</v>
      </c>
      <c r="M1552" t="s">
        <v>38</v>
      </c>
      <c r="N1552">
        <v>52</v>
      </c>
      <c r="O1552" t="s">
        <v>25</v>
      </c>
      <c r="P1552">
        <v>3</v>
      </c>
      <c r="Q1552" s="1">
        <v>-6.52</v>
      </c>
      <c r="R1552" s="2">
        <f t="shared" si="96"/>
        <v>7843</v>
      </c>
      <c r="S1552" s="1">
        <f t="shared" si="97"/>
        <v>6.7560233958428446</v>
      </c>
      <c r="T1552" t="str">
        <f t="shared" si="98"/>
        <v>Expert</v>
      </c>
      <c r="U1552" t="str">
        <f t="shared" si="99"/>
        <v>Medium Impact</v>
      </c>
    </row>
    <row r="1553" spans="1:21" x14ac:dyDescent="0.3">
      <c r="A1553" t="s">
        <v>255</v>
      </c>
      <c r="B1553">
        <v>39</v>
      </c>
      <c r="C1553" t="s">
        <v>27</v>
      </c>
      <c r="D1553" t="s">
        <v>28</v>
      </c>
      <c r="E1553" t="s">
        <v>35</v>
      </c>
      <c r="F1553" t="s">
        <v>98</v>
      </c>
      <c r="G1553">
        <v>17</v>
      </c>
      <c r="H1553" t="s">
        <v>31</v>
      </c>
      <c r="I1553" t="s">
        <v>37</v>
      </c>
      <c r="J1553" t="s">
        <v>23</v>
      </c>
      <c r="K1553" s="2">
        <v>54578</v>
      </c>
      <c r="L1553" s="2">
        <v>58528</v>
      </c>
      <c r="M1553" t="s">
        <v>38</v>
      </c>
      <c r="N1553">
        <v>49</v>
      </c>
      <c r="O1553" t="s">
        <v>25</v>
      </c>
      <c r="P1553">
        <v>3</v>
      </c>
      <c r="Q1553" s="1">
        <v>-6.53</v>
      </c>
      <c r="R1553" s="2">
        <f t="shared" si="96"/>
        <v>3950</v>
      </c>
      <c r="S1553" s="1">
        <f t="shared" si="97"/>
        <v>7.2373483821319944</v>
      </c>
      <c r="T1553" t="str">
        <f t="shared" si="98"/>
        <v>Expert</v>
      </c>
      <c r="U1553" t="str">
        <f t="shared" si="99"/>
        <v>Medium Impact</v>
      </c>
    </row>
    <row r="1554" spans="1:21" x14ac:dyDescent="0.3">
      <c r="A1554" t="s">
        <v>2022</v>
      </c>
      <c r="B1554">
        <v>36</v>
      </c>
      <c r="C1554" t="s">
        <v>18</v>
      </c>
      <c r="D1554" t="s">
        <v>19</v>
      </c>
      <c r="E1554" t="s">
        <v>59</v>
      </c>
      <c r="F1554" t="s">
        <v>77</v>
      </c>
      <c r="G1554">
        <v>11</v>
      </c>
      <c r="H1554" t="s">
        <v>37</v>
      </c>
      <c r="I1554" t="s">
        <v>31</v>
      </c>
      <c r="J1554" t="s">
        <v>23</v>
      </c>
      <c r="K1554" s="2">
        <v>60932</v>
      </c>
      <c r="L1554" s="2">
        <v>63523</v>
      </c>
      <c r="M1554" t="s">
        <v>32</v>
      </c>
      <c r="N1554">
        <v>52</v>
      </c>
      <c r="O1554" t="s">
        <v>23</v>
      </c>
      <c r="P1554">
        <v>9</v>
      </c>
      <c r="Q1554" s="1">
        <v>-6.56</v>
      </c>
      <c r="R1554" s="2">
        <f t="shared" si="96"/>
        <v>2591</v>
      </c>
      <c r="S1554" s="1">
        <f t="shared" si="97"/>
        <v>4.252281231536795</v>
      </c>
      <c r="T1554" t="str">
        <f t="shared" si="98"/>
        <v>Intermediate</v>
      </c>
      <c r="U1554" t="str">
        <f t="shared" si="99"/>
        <v>Low Impact</v>
      </c>
    </row>
    <row r="1555" spans="1:21" x14ac:dyDescent="0.3">
      <c r="A1555" t="s">
        <v>892</v>
      </c>
      <c r="B1555">
        <v>28</v>
      </c>
      <c r="C1555" t="s">
        <v>27</v>
      </c>
      <c r="D1555" t="s">
        <v>28</v>
      </c>
      <c r="E1555" t="s">
        <v>41</v>
      </c>
      <c r="F1555" t="s">
        <v>42</v>
      </c>
      <c r="G1555">
        <v>4</v>
      </c>
      <c r="H1555" t="s">
        <v>37</v>
      </c>
      <c r="I1555" t="s">
        <v>22</v>
      </c>
      <c r="J1555" t="s">
        <v>25</v>
      </c>
      <c r="K1555" s="2">
        <v>62574</v>
      </c>
      <c r="L1555" s="2">
        <v>57469</v>
      </c>
      <c r="M1555" t="s">
        <v>32</v>
      </c>
      <c r="N1555">
        <v>45</v>
      </c>
      <c r="O1555" t="s">
        <v>23</v>
      </c>
      <c r="P1555">
        <v>6</v>
      </c>
      <c r="Q1555" s="1">
        <v>-6.56</v>
      </c>
      <c r="R1555" s="2">
        <f t="shared" si="96"/>
        <v>-5105</v>
      </c>
      <c r="S1555" s="1">
        <f t="shared" si="97"/>
        <v>-8.1583405248186143</v>
      </c>
      <c r="T1555" t="str">
        <f t="shared" si="98"/>
        <v>Beginner</v>
      </c>
      <c r="U1555" t="str">
        <f t="shared" si="99"/>
        <v>Low Impact</v>
      </c>
    </row>
    <row r="1556" spans="1:21" x14ac:dyDescent="0.3">
      <c r="A1556" t="s">
        <v>2047</v>
      </c>
      <c r="B1556">
        <v>58</v>
      </c>
      <c r="C1556" t="s">
        <v>27</v>
      </c>
      <c r="D1556" t="s">
        <v>19</v>
      </c>
      <c r="E1556" t="s">
        <v>20</v>
      </c>
      <c r="F1556" t="s">
        <v>118</v>
      </c>
      <c r="G1556">
        <v>34</v>
      </c>
      <c r="H1556" t="s">
        <v>22</v>
      </c>
      <c r="I1556" t="s">
        <v>37</v>
      </c>
      <c r="J1556" t="s">
        <v>23</v>
      </c>
      <c r="K1556" s="2">
        <v>78469</v>
      </c>
      <c r="L1556" s="2">
        <v>88434</v>
      </c>
      <c r="M1556" t="s">
        <v>38</v>
      </c>
      <c r="N1556">
        <v>37</v>
      </c>
      <c r="O1556" t="s">
        <v>25</v>
      </c>
      <c r="P1556">
        <v>3</v>
      </c>
      <c r="Q1556" s="1">
        <v>-6.57</v>
      </c>
      <c r="R1556" s="2">
        <f t="shared" si="96"/>
        <v>9965</v>
      </c>
      <c r="S1556" s="1">
        <f t="shared" si="97"/>
        <v>12.699282519211408</v>
      </c>
      <c r="T1556" t="str">
        <f t="shared" si="98"/>
        <v>Expert</v>
      </c>
      <c r="U1556" t="str">
        <f t="shared" si="99"/>
        <v>Medium Impact</v>
      </c>
    </row>
    <row r="1557" spans="1:21" x14ac:dyDescent="0.3">
      <c r="A1557" t="s">
        <v>1053</v>
      </c>
      <c r="B1557">
        <v>36</v>
      </c>
      <c r="C1557" t="s">
        <v>27</v>
      </c>
      <c r="D1557" t="s">
        <v>40</v>
      </c>
      <c r="E1557" t="s">
        <v>41</v>
      </c>
      <c r="F1557" t="s">
        <v>49</v>
      </c>
      <c r="G1557">
        <v>13</v>
      </c>
      <c r="H1557" t="s">
        <v>37</v>
      </c>
      <c r="I1557" t="s">
        <v>22</v>
      </c>
      <c r="J1557" t="s">
        <v>23</v>
      </c>
      <c r="K1557" s="2">
        <v>43288</v>
      </c>
      <c r="L1557" s="2">
        <v>46928</v>
      </c>
      <c r="M1557" t="s">
        <v>32</v>
      </c>
      <c r="N1557">
        <v>54</v>
      </c>
      <c r="O1557" t="s">
        <v>25</v>
      </c>
      <c r="P1557">
        <v>4</v>
      </c>
      <c r="Q1557" s="1">
        <v>-6.61</v>
      </c>
      <c r="R1557" s="2">
        <f t="shared" si="96"/>
        <v>3640</v>
      </c>
      <c r="S1557" s="1">
        <f t="shared" si="97"/>
        <v>8.4087968952134542</v>
      </c>
      <c r="T1557" t="str">
        <f t="shared" si="98"/>
        <v>Intermediate</v>
      </c>
      <c r="U1557" t="str">
        <f t="shared" si="99"/>
        <v>Low Impact</v>
      </c>
    </row>
    <row r="1558" spans="1:21" x14ac:dyDescent="0.3">
      <c r="A1558" t="s">
        <v>1815</v>
      </c>
      <c r="B1558">
        <v>44</v>
      </c>
      <c r="C1558" t="s">
        <v>27</v>
      </c>
      <c r="D1558" t="s">
        <v>40</v>
      </c>
      <c r="E1558" t="s">
        <v>20</v>
      </c>
      <c r="F1558" t="s">
        <v>118</v>
      </c>
      <c r="G1558">
        <v>22</v>
      </c>
      <c r="H1558" t="s">
        <v>22</v>
      </c>
      <c r="I1558" t="s">
        <v>22</v>
      </c>
      <c r="J1558" t="s">
        <v>23</v>
      </c>
      <c r="K1558" s="2">
        <v>80877</v>
      </c>
      <c r="L1558" s="2">
        <v>98817</v>
      </c>
      <c r="M1558" t="s">
        <v>24</v>
      </c>
      <c r="N1558">
        <v>54</v>
      </c>
      <c r="O1558" t="s">
        <v>25</v>
      </c>
      <c r="P1558">
        <v>9</v>
      </c>
      <c r="Q1558" s="1">
        <v>-6.64</v>
      </c>
      <c r="R1558" s="2">
        <f t="shared" si="96"/>
        <v>17940</v>
      </c>
      <c r="S1558" s="1">
        <f t="shared" si="97"/>
        <v>22.181831670314182</v>
      </c>
      <c r="T1558" t="str">
        <f t="shared" si="98"/>
        <v>Expert</v>
      </c>
      <c r="U1558" t="str">
        <f t="shared" si="99"/>
        <v>High Impact</v>
      </c>
    </row>
    <row r="1559" spans="1:21" x14ac:dyDescent="0.3">
      <c r="A1559" t="s">
        <v>1049</v>
      </c>
      <c r="B1559">
        <v>45</v>
      </c>
      <c r="C1559" t="s">
        <v>54</v>
      </c>
      <c r="D1559" t="s">
        <v>34</v>
      </c>
      <c r="E1559" t="s">
        <v>20</v>
      </c>
      <c r="F1559" t="s">
        <v>88</v>
      </c>
      <c r="G1559">
        <v>22</v>
      </c>
      <c r="H1559" t="s">
        <v>22</v>
      </c>
      <c r="I1559" t="s">
        <v>31</v>
      </c>
      <c r="J1559" t="s">
        <v>23</v>
      </c>
      <c r="K1559" s="2">
        <v>50002</v>
      </c>
      <c r="L1559" s="2">
        <v>69285</v>
      </c>
      <c r="M1559" t="s">
        <v>32</v>
      </c>
      <c r="N1559">
        <v>42</v>
      </c>
      <c r="O1559" t="s">
        <v>25</v>
      </c>
      <c r="P1559">
        <v>5</v>
      </c>
      <c r="Q1559" s="1">
        <v>-6.66</v>
      </c>
      <c r="R1559" s="2">
        <f t="shared" si="96"/>
        <v>19283</v>
      </c>
      <c r="S1559" s="1">
        <f t="shared" si="97"/>
        <v>38.564457421703132</v>
      </c>
      <c r="T1559" t="str">
        <f t="shared" si="98"/>
        <v>Expert</v>
      </c>
      <c r="U1559" t="str">
        <f t="shared" si="99"/>
        <v>Low Impact</v>
      </c>
    </row>
    <row r="1560" spans="1:21" x14ac:dyDescent="0.3">
      <c r="A1560" t="s">
        <v>552</v>
      </c>
      <c r="B1560">
        <v>49</v>
      </c>
      <c r="C1560" t="s">
        <v>18</v>
      </c>
      <c r="D1560" t="s">
        <v>34</v>
      </c>
      <c r="E1560" t="s">
        <v>44</v>
      </c>
      <c r="F1560" t="s">
        <v>47</v>
      </c>
      <c r="G1560">
        <v>26</v>
      </c>
      <c r="H1560" t="s">
        <v>22</v>
      </c>
      <c r="I1560" t="s">
        <v>31</v>
      </c>
      <c r="J1560" t="s">
        <v>25</v>
      </c>
      <c r="K1560" s="2">
        <v>49710</v>
      </c>
      <c r="L1560" s="2">
        <v>58688</v>
      </c>
      <c r="M1560" t="s">
        <v>32</v>
      </c>
      <c r="N1560">
        <v>42</v>
      </c>
      <c r="O1560" t="s">
        <v>25</v>
      </c>
      <c r="P1560">
        <v>4</v>
      </c>
      <c r="Q1560" s="1">
        <v>-6.68</v>
      </c>
      <c r="R1560" s="2">
        <f t="shared" si="96"/>
        <v>8978</v>
      </c>
      <c r="S1560" s="1">
        <f t="shared" si="97"/>
        <v>18.060752363709515</v>
      </c>
      <c r="T1560" t="str">
        <f t="shared" si="98"/>
        <v>Expert</v>
      </c>
      <c r="U1560" t="str">
        <f t="shared" si="99"/>
        <v>Low Impact</v>
      </c>
    </row>
    <row r="1561" spans="1:21" x14ac:dyDescent="0.3">
      <c r="A1561" t="s">
        <v>401</v>
      </c>
      <c r="B1561">
        <v>57</v>
      </c>
      <c r="C1561" t="s">
        <v>27</v>
      </c>
      <c r="D1561" t="s">
        <v>19</v>
      </c>
      <c r="E1561" t="s">
        <v>44</v>
      </c>
      <c r="F1561" t="s">
        <v>57</v>
      </c>
      <c r="G1561">
        <v>35</v>
      </c>
      <c r="H1561" t="s">
        <v>37</v>
      </c>
      <c r="I1561" t="s">
        <v>37</v>
      </c>
      <c r="J1561" t="s">
        <v>23</v>
      </c>
      <c r="K1561" s="2">
        <v>106256</v>
      </c>
      <c r="L1561" s="2">
        <v>98454</v>
      </c>
      <c r="M1561" t="s">
        <v>38</v>
      </c>
      <c r="N1561">
        <v>49</v>
      </c>
      <c r="O1561" t="s">
        <v>23</v>
      </c>
      <c r="P1561">
        <v>5</v>
      </c>
      <c r="Q1561" s="1">
        <v>-6.76</v>
      </c>
      <c r="R1561" s="2">
        <f t="shared" si="96"/>
        <v>-7802</v>
      </c>
      <c r="S1561" s="1">
        <f t="shared" si="97"/>
        <v>-7.3426441800933588</v>
      </c>
      <c r="T1561" t="str">
        <f t="shared" si="98"/>
        <v>Expert</v>
      </c>
      <c r="U1561" t="str">
        <f t="shared" si="99"/>
        <v>Medium Impact</v>
      </c>
    </row>
    <row r="1562" spans="1:21" x14ac:dyDescent="0.3">
      <c r="A1562" t="s">
        <v>973</v>
      </c>
      <c r="B1562">
        <v>42</v>
      </c>
      <c r="C1562" t="s">
        <v>54</v>
      </c>
      <c r="D1562" t="s">
        <v>28</v>
      </c>
      <c r="E1562" t="s">
        <v>51</v>
      </c>
      <c r="F1562" t="s">
        <v>130</v>
      </c>
      <c r="G1562">
        <v>17</v>
      </c>
      <c r="H1562" t="s">
        <v>37</v>
      </c>
      <c r="I1562" t="s">
        <v>22</v>
      </c>
      <c r="J1562" t="s">
        <v>25</v>
      </c>
      <c r="K1562" s="2">
        <v>42126</v>
      </c>
      <c r="L1562" s="2">
        <v>48959</v>
      </c>
      <c r="M1562" t="s">
        <v>32</v>
      </c>
      <c r="N1562">
        <v>54</v>
      </c>
      <c r="O1562" t="s">
        <v>23</v>
      </c>
      <c r="P1562">
        <v>9</v>
      </c>
      <c r="Q1562" s="1">
        <v>-6.76</v>
      </c>
      <c r="R1562" s="2">
        <f t="shared" si="96"/>
        <v>6833</v>
      </c>
      <c r="S1562" s="1">
        <f t="shared" si="97"/>
        <v>16.22038645966861</v>
      </c>
      <c r="T1562" t="str">
        <f t="shared" si="98"/>
        <v>Expert</v>
      </c>
      <c r="U1562" t="str">
        <f t="shared" si="99"/>
        <v>Low Impact</v>
      </c>
    </row>
    <row r="1563" spans="1:21" x14ac:dyDescent="0.3">
      <c r="A1563" t="s">
        <v>295</v>
      </c>
      <c r="B1563">
        <v>24</v>
      </c>
      <c r="C1563" t="s">
        <v>18</v>
      </c>
      <c r="D1563" t="s">
        <v>28</v>
      </c>
      <c r="E1563" t="s">
        <v>59</v>
      </c>
      <c r="F1563" t="s">
        <v>60</v>
      </c>
      <c r="G1563">
        <v>0</v>
      </c>
      <c r="H1563" t="s">
        <v>22</v>
      </c>
      <c r="I1563" t="s">
        <v>22</v>
      </c>
      <c r="J1563" t="s">
        <v>25</v>
      </c>
      <c r="K1563" s="2">
        <v>109561</v>
      </c>
      <c r="L1563" s="2">
        <v>114157</v>
      </c>
      <c r="M1563" t="s">
        <v>38</v>
      </c>
      <c r="N1563">
        <v>49</v>
      </c>
      <c r="O1563" t="s">
        <v>25</v>
      </c>
      <c r="P1563">
        <v>3</v>
      </c>
      <c r="Q1563" s="1">
        <v>-6.77</v>
      </c>
      <c r="R1563" s="2">
        <f t="shared" si="96"/>
        <v>4596</v>
      </c>
      <c r="S1563" s="1">
        <f t="shared" si="97"/>
        <v>4.1949233760188385</v>
      </c>
      <c r="T1563" t="str">
        <f t="shared" si="98"/>
        <v>Beginner</v>
      </c>
      <c r="U1563" t="str">
        <f t="shared" si="99"/>
        <v>Medium Impact</v>
      </c>
    </row>
    <row r="1564" spans="1:21" x14ac:dyDescent="0.3">
      <c r="A1564" t="s">
        <v>734</v>
      </c>
      <c r="B1564">
        <v>37</v>
      </c>
      <c r="C1564" t="s">
        <v>18</v>
      </c>
      <c r="D1564" t="s">
        <v>34</v>
      </c>
      <c r="E1564" t="s">
        <v>51</v>
      </c>
      <c r="F1564" t="s">
        <v>130</v>
      </c>
      <c r="G1564">
        <v>12</v>
      </c>
      <c r="H1564" t="s">
        <v>37</v>
      </c>
      <c r="I1564" t="s">
        <v>37</v>
      </c>
      <c r="J1564" t="s">
        <v>23</v>
      </c>
      <c r="K1564" s="2">
        <v>92653</v>
      </c>
      <c r="L1564" s="2">
        <v>87731</v>
      </c>
      <c r="M1564" t="s">
        <v>38</v>
      </c>
      <c r="N1564">
        <v>47</v>
      </c>
      <c r="O1564" t="s">
        <v>25</v>
      </c>
      <c r="P1564">
        <v>4</v>
      </c>
      <c r="Q1564" s="1">
        <v>-6.79</v>
      </c>
      <c r="R1564" s="2">
        <f t="shared" si="96"/>
        <v>-4922</v>
      </c>
      <c r="S1564" s="1">
        <f t="shared" si="97"/>
        <v>-5.3122942592252818</v>
      </c>
      <c r="T1564" t="str">
        <f t="shared" si="98"/>
        <v>Intermediate</v>
      </c>
      <c r="U1564" t="str">
        <f t="shared" si="99"/>
        <v>Medium Impact</v>
      </c>
    </row>
    <row r="1565" spans="1:21" x14ac:dyDescent="0.3">
      <c r="A1565" t="s">
        <v>1633</v>
      </c>
      <c r="B1565">
        <v>36</v>
      </c>
      <c r="C1565" t="s">
        <v>54</v>
      </c>
      <c r="D1565" t="s">
        <v>28</v>
      </c>
      <c r="E1565" t="s">
        <v>20</v>
      </c>
      <c r="F1565" t="s">
        <v>118</v>
      </c>
      <c r="G1565">
        <v>14</v>
      </c>
      <c r="H1565" t="s">
        <v>37</v>
      </c>
      <c r="I1565" t="s">
        <v>22</v>
      </c>
      <c r="J1565" t="s">
        <v>23</v>
      </c>
      <c r="K1565" s="2">
        <v>87183</v>
      </c>
      <c r="L1565" s="2">
        <v>84437</v>
      </c>
      <c r="M1565" t="s">
        <v>32</v>
      </c>
      <c r="N1565">
        <v>37</v>
      </c>
      <c r="O1565" t="s">
        <v>25</v>
      </c>
      <c r="P1565">
        <v>9</v>
      </c>
      <c r="Q1565" s="1">
        <v>-6.79</v>
      </c>
      <c r="R1565" s="2">
        <f t="shared" si="96"/>
        <v>-2746</v>
      </c>
      <c r="S1565" s="1">
        <f t="shared" si="97"/>
        <v>-3.1496966151658006</v>
      </c>
      <c r="T1565" t="str">
        <f t="shared" si="98"/>
        <v>Intermediate</v>
      </c>
      <c r="U1565" t="str">
        <f t="shared" si="99"/>
        <v>Low Impact</v>
      </c>
    </row>
    <row r="1566" spans="1:21" x14ac:dyDescent="0.3">
      <c r="A1566" t="s">
        <v>452</v>
      </c>
      <c r="B1566">
        <v>42</v>
      </c>
      <c r="C1566" t="s">
        <v>18</v>
      </c>
      <c r="D1566" t="s">
        <v>34</v>
      </c>
      <c r="E1566" t="s">
        <v>44</v>
      </c>
      <c r="F1566" t="s">
        <v>57</v>
      </c>
      <c r="G1566">
        <v>16</v>
      </c>
      <c r="H1566" t="s">
        <v>37</v>
      </c>
      <c r="I1566" t="s">
        <v>31</v>
      </c>
      <c r="J1566" t="s">
        <v>23</v>
      </c>
      <c r="K1566" s="2">
        <v>80500</v>
      </c>
      <c r="L1566" s="2">
        <v>78543</v>
      </c>
      <c r="M1566" t="s">
        <v>32</v>
      </c>
      <c r="N1566">
        <v>46</v>
      </c>
      <c r="O1566" t="s">
        <v>23</v>
      </c>
      <c r="P1566">
        <v>3</v>
      </c>
      <c r="Q1566" s="1">
        <v>-6.79</v>
      </c>
      <c r="R1566" s="2">
        <f t="shared" si="96"/>
        <v>-1957</v>
      </c>
      <c r="S1566" s="1">
        <f t="shared" si="97"/>
        <v>-2.4310559006211179</v>
      </c>
      <c r="T1566" t="str">
        <f t="shared" si="98"/>
        <v>Expert</v>
      </c>
      <c r="U1566" t="str">
        <f t="shared" si="99"/>
        <v>Low Impact</v>
      </c>
    </row>
    <row r="1567" spans="1:21" x14ac:dyDescent="0.3">
      <c r="A1567" t="s">
        <v>1933</v>
      </c>
      <c r="B1567">
        <v>32</v>
      </c>
      <c r="C1567" t="s">
        <v>18</v>
      </c>
      <c r="D1567" t="s">
        <v>34</v>
      </c>
      <c r="E1567" t="s">
        <v>59</v>
      </c>
      <c r="F1567" t="s">
        <v>60</v>
      </c>
      <c r="G1567">
        <v>8</v>
      </c>
      <c r="H1567" t="s">
        <v>31</v>
      </c>
      <c r="I1567" t="s">
        <v>31</v>
      </c>
      <c r="J1567" t="s">
        <v>23</v>
      </c>
      <c r="K1567" s="2">
        <v>114437</v>
      </c>
      <c r="L1567" s="2">
        <v>110174</v>
      </c>
      <c r="M1567" t="s">
        <v>32</v>
      </c>
      <c r="N1567">
        <v>54</v>
      </c>
      <c r="O1567" t="s">
        <v>25</v>
      </c>
      <c r="P1567">
        <v>5</v>
      </c>
      <c r="Q1567" s="1">
        <v>-6.8</v>
      </c>
      <c r="R1567" s="2">
        <f t="shared" si="96"/>
        <v>-4263</v>
      </c>
      <c r="S1567" s="1">
        <f t="shared" si="97"/>
        <v>-3.7251937747406871</v>
      </c>
      <c r="T1567" t="str">
        <f t="shared" si="98"/>
        <v>Intermediate</v>
      </c>
      <c r="U1567" t="str">
        <f t="shared" si="99"/>
        <v>Low Impact</v>
      </c>
    </row>
    <row r="1568" spans="1:21" x14ac:dyDescent="0.3">
      <c r="A1568" t="s">
        <v>922</v>
      </c>
      <c r="B1568">
        <v>27</v>
      </c>
      <c r="C1568" t="s">
        <v>27</v>
      </c>
      <c r="D1568" t="s">
        <v>40</v>
      </c>
      <c r="E1568" t="s">
        <v>29</v>
      </c>
      <c r="F1568" t="s">
        <v>104</v>
      </c>
      <c r="G1568">
        <v>2</v>
      </c>
      <c r="H1568" t="s">
        <v>31</v>
      </c>
      <c r="I1568" t="s">
        <v>22</v>
      </c>
      <c r="J1568" t="s">
        <v>23</v>
      </c>
      <c r="K1568" s="2">
        <v>109183</v>
      </c>
      <c r="L1568" s="2">
        <v>114560</v>
      </c>
      <c r="M1568" t="s">
        <v>32</v>
      </c>
      <c r="N1568">
        <v>48</v>
      </c>
      <c r="O1568" t="s">
        <v>25</v>
      </c>
      <c r="P1568">
        <v>9</v>
      </c>
      <c r="Q1568" s="1">
        <v>-6.85</v>
      </c>
      <c r="R1568" s="2">
        <f t="shared" si="96"/>
        <v>5377</v>
      </c>
      <c r="S1568" s="1">
        <f t="shared" si="97"/>
        <v>4.9247593489829002</v>
      </c>
      <c r="T1568" t="str">
        <f t="shared" si="98"/>
        <v>Beginner</v>
      </c>
      <c r="U1568" t="str">
        <f t="shared" si="99"/>
        <v>Low Impact</v>
      </c>
    </row>
    <row r="1569" spans="1:21" x14ac:dyDescent="0.3">
      <c r="A1569" t="s">
        <v>688</v>
      </c>
      <c r="B1569">
        <v>59</v>
      </c>
      <c r="C1569" t="s">
        <v>18</v>
      </c>
      <c r="D1569" t="s">
        <v>40</v>
      </c>
      <c r="E1569" t="s">
        <v>59</v>
      </c>
      <c r="F1569" t="s">
        <v>77</v>
      </c>
      <c r="G1569">
        <v>34</v>
      </c>
      <c r="H1569" t="s">
        <v>31</v>
      </c>
      <c r="I1569" t="s">
        <v>31</v>
      </c>
      <c r="J1569" t="s">
        <v>23</v>
      </c>
      <c r="K1569" s="2">
        <v>111972</v>
      </c>
      <c r="L1569" s="2">
        <v>111053</v>
      </c>
      <c r="M1569" t="s">
        <v>32</v>
      </c>
      <c r="N1569">
        <v>47</v>
      </c>
      <c r="O1569" t="s">
        <v>23</v>
      </c>
      <c r="P1569">
        <v>8</v>
      </c>
      <c r="Q1569" s="1">
        <v>-6.88</v>
      </c>
      <c r="R1569" s="2">
        <f t="shared" si="96"/>
        <v>-919</v>
      </c>
      <c r="S1569" s="1">
        <f t="shared" si="97"/>
        <v>-0.82074089951059193</v>
      </c>
      <c r="T1569" t="str">
        <f t="shared" si="98"/>
        <v>Expert</v>
      </c>
      <c r="U1569" t="str">
        <f t="shared" si="99"/>
        <v>Low Impact</v>
      </c>
    </row>
    <row r="1570" spans="1:21" x14ac:dyDescent="0.3">
      <c r="A1570" t="s">
        <v>647</v>
      </c>
      <c r="B1570">
        <v>53</v>
      </c>
      <c r="C1570" t="s">
        <v>54</v>
      </c>
      <c r="D1570" t="s">
        <v>40</v>
      </c>
      <c r="E1570" t="s">
        <v>59</v>
      </c>
      <c r="F1570" t="s">
        <v>77</v>
      </c>
      <c r="G1570">
        <v>28</v>
      </c>
      <c r="H1570" t="s">
        <v>31</v>
      </c>
      <c r="I1570" t="s">
        <v>22</v>
      </c>
      <c r="J1570" t="s">
        <v>25</v>
      </c>
      <c r="K1570" s="2">
        <v>74948</v>
      </c>
      <c r="L1570" s="2">
        <v>79009</v>
      </c>
      <c r="M1570" t="s">
        <v>32</v>
      </c>
      <c r="N1570">
        <v>38</v>
      </c>
      <c r="O1570" t="s">
        <v>23</v>
      </c>
      <c r="P1570">
        <v>9</v>
      </c>
      <c r="Q1570" s="1">
        <v>-6.88</v>
      </c>
      <c r="R1570" s="2">
        <f t="shared" si="96"/>
        <v>4061</v>
      </c>
      <c r="S1570" s="1">
        <f t="shared" si="97"/>
        <v>5.4184234402519076</v>
      </c>
      <c r="T1570" t="str">
        <f t="shared" si="98"/>
        <v>Expert</v>
      </c>
      <c r="U1570" t="str">
        <f t="shared" si="99"/>
        <v>Low Impact</v>
      </c>
    </row>
    <row r="1571" spans="1:21" x14ac:dyDescent="0.3">
      <c r="A1571" t="s">
        <v>461</v>
      </c>
      <c r="B1571">
        <v>29</v>
      </c>
      <c r="C1571" t="s">
        <v>54</v>
      </c>
      <c r="D1571" t="s">
        <v>19</v>
      </c>
      <c r="E1571" t="s">
        <v>29</v>
      </c>
      <c r="F1571" t="s">
        <v>102</v>
      </c>
      <c r="G1571">
        <v>5</v>
      </c>
      <c r="H1571" t="s">
        <v>22</v>
      </c>
      <c r="I1571" t="s">
        <v>31</v>
      </c>
      <c r="J1571" t="s">
        <v>25</v>
      </c>
      <c r="K1571" s="2">
        <v>46724</v>
      </c>
      <c r="L1571" s="2">
        <v>49673</v>
      </c>
      <c r="M1571" t="s">
        <v>32</v>
      </c>
      <c r="N1571">
        <v>44</v>
      </c>
      <c r="O1571" t="s">
        <v>23</v>
      </c>
      <c r="P1571">
        <v>5</v>
      </c>
      <c r="Q1571" s="1">
        <v>-6.89</v>
      </c>
      <c r="R1571" s="2">
        <f t="shared" si="96"/>
        <v>2949</v>
      </c>
      <c r="S1571" s="1">
        <f t="shared" si="97"/>
        <v>6.311531546956596</v>
      </c>
      <c r="T1571" t="str">
        <f t="shared" si="98"/>
        <v>Intermediate</v>
      </c>
      <c r="U1571" t="str">
        <f t="shared" si="99"/>
        <v>Low Impact</v>
      </c>
    </row>
    <row r="1572" spans="1:21" x14ac:dyDescent="0.3">
      <c r="A1572" t="s">
        <v>1006</v>
      </c>
      <c r="B1572">
        <v>36</v>
      </c>
      <c r="C1572" t="s">
        <v>18</v>
      </c>
      <c r="D1572" t="s">
        <v>40</v>
      </c>
      <c r="E1572" t="s">
        <v>20</v>
      </c>
      <c r="F1572" t="s">
        <v>118</v>
      </c>
      <c r="G1572">
        <v>13</v>
      </c>
      <c r="H1572" t="s">
        <v>37</v>
      </c>
      <c r="I1572" t="s">
        <v>22</v>
      </c>
      <c r="J1572" t="s">
        <v>23</v>
      </c>
      <c r="K1572" s="2">
        <v>41620</v>
      </c>
      <c r="L1572" s="2">
        <v>43205</v>
      </c>
      <c r="M1572" t="s">
        <v>32</v>
      </c>
      <c r="N1572">
        <v>44</v>
      </c>
      <c r="O1572" t="s">
        <v>25</v>
      </c>
      <c r="P1572">
        <v>5</v>
      </c>
      <c r="Q1572" s="1">
        <v>-6.94</v>
      </c>
      <c r="R1572" s="2">
        <f t="shared" si="96"/>
        <v>1585</v>
      </c>
      <c r="S1572" s="1">
        <f t="shared" si="97"/>
        <v>3.8082652570879385</v>
      </c>
      <c r="T1572" t="str">
        <f t="shared" si="98"/>
        <v>Intermediate</v>
      </c>
      <c r="U1572" t="str">
        <f t="shared" si="99"/>
        <v>Low Impact</v>
      </c>
    </row>
    <row r="1573" spans="1:21" x14ac:dyDescent="0.3">
      <c r="A1573" t="s">
        <v>649</v>
      </c>
      <c r="B1573">
        <v>58</v>
      </c>
      <c r="C1573" t="s">
        <v>54</v>
      </c>
      <c r="D1573" t="s">
        <v>28</v>
      </c>
      <c r="E1573" t="s">
        <v>20</v>
      </c>
      <c r="F1573" t="s">
        <v>118</v>
      </c>
      <c r="G1573">
        <v>33</v>
      </c>
      <c r="H1573" t="s">
        <v>31</v>
      </c>
      <c r="I1573" t="s">
        <v>37</v>
      </c>
      <c r="J1573" t="s">
        <v>25</v>
      </c>
      <c r="K1573" s="2">
        <v>30203</v>
      </c>
      <c r="L1573" s="2">
        <v>29375</v>
      </c>
      <c r="M1573" t="s">
        <v>38</v>
      </c>
      <c r="N1573">
        <v>39</v>
      </c>
      <c r="O1573" t="s">
        <v>25</v>
      </c>
      <c r="P1573">
        <v>9</v>
      </c>
      <c r="Q1573" s="1">
        <v>-6.97</v>
      </c>
      <c r="R1573" s="2">
        <f t="shared" si="96"/>
        <v>-828</v>
      </c>
      <c r="S1573" s="1">
        <f t="shared" si="97"/>
        <v>-2.7414495248816344</v>
      </c>
      <c r="T1573" t="str">
        <f t="shared" si="98"/>
        <v>Expert</v>
      </c>
      <c r="U1573" t="str">
        <f t="shared" si="99"/>
        <v>Medium Impact</v>
      </c>
    </row>
    <row r="1574" spans="1:21" x14ac:dyDescent="0.3">
      <c r="A1574" t="s">
        <v>916</v>
      </c>
      <c r="B1574">
        <v>30</v>
      </c>
      <c r="C1574" t="s">
        <v>18</v>
      </c>
      <c r="D1574" t="s">
        <v>28</v>
      </c>
      <c r="E1574" t="s">
        <v>35</v>
      </c>
      <c r="F1574" t="s">
        <v>132</v>
      </c>
      <c r="G1574">
        <v>4</v>
      </c>
      <c r="H1574" t="s">
        <v>31</v>
      </c>
      <c r="I1574" t="s">
        <v>22</v>
      </c>
      <c r="J1574" t="s">
        <v>25</v>
      </c>
      <c r="K1574" s="2">
        <v>86398</v>
      </c>
      <c r="L1574" s="2">
        <v>88547</v>
      </c>
      <c r="M1574" t="s">
        <v>32</v>
      </c>
      <c r="N1574">
        <v>53</v>
      </c>
      <c r="O1574" t="s">
        <v>23</v>
      </c>
      <c r="P1574">
        <v>4</v>
      </c>
      <c r="Q1574" s="1">
        <v>-7.01</v>
      </c>
      <c r="R1574" s="2">
        <f t="shared" si="96"/>
        <v>2149</v>
      </c>
      <c r="S1574" s="1">
        <f t="shared" si="97"/>
        <v>2.4873260955114702</v>
      </c>
      <c r="T1574" t="str">
        <f t="shared" si="98"/>
        <v>Beginner</v>
      </c>
      <c r="U1574" t="str">
        <f t="shared" si="99"/>
        <v>Low Impact</v>
      </c>
    </row>
    <row r="1575" spans="1:21" x14ac:dyDescent="0.3">
      <c r="A1575" t="s">
        <v>671</v>
      </c>
      <c r="B1575">
        <v>44</v>
      </c>
      <c r="C1575" t="s">
        <v>18</v>
      </c>
      <c r="D1575" t="s">
        <v>34</v>
      </c>
      <c r="E1575" t="s">
        <v>44</v>
      </c>
      <c r="F1575" t="s">
        <v>45</v>
      </c>
      <c r="G1575">
        <v>22</v>
      </c>
      <c r="H1575" t="s">
        <v>31</v>
      </c>
      <c r="I1575" t="s">
        <v>31</v>
      </c>
      <c r="J1575" t="s">
        <v>23</v>
      </c>
      <c r="K1575" s="2">
        <v>94418</v>
      </c>
      <c r="L1575" s="2">
        <v>92537</v>
      </c>
      <c r="M1575" t="s">
        <v>32</v>
      </c>
      <c r="N1575">
        <v>51</v>
      </c>
      <c r="O1575" t="s">
        <v>23</v>
      </c>
      <c r="P1575">
        <v>9</v>
      </c>
      <c r="Q1575" s="1">
        <v>-7.03</v>
      </c>
      <c r="R1575" s="2">
        <f t="shared" si="96"/>
        <v>-1881</v>
      </c>
      <c r="S1575" s="1">
        <f t="shared" si="97"/>
        <v>-1.9922048761888622</v>
      </c>
      <c r="T1575" t="str">
        <f t="shared" si="98"/>
        <v>Expert</v>
      </c>
      <c r="U1575" t="str">
        <f t="shared" si="99"/>
        <v>Low Impact</v>
      </c>
    </row>
    <row r="1576" spans="1:21" x14ac:dyDescent="0.3">
      <c r="A1576" t="s">
        <v>923</v>
      </c>
      <c r="B1576">
        <v>54</v>
      </c>
      <c r="C1576" t="s">
        <v>54</v>
      </c>
      <c r="D1576" t="s">
        <v>28</v>
      </c>
      <c r="E1576" t="s">
        <v>51</v>
      </c>
      <c r="F1576" t="s">
        <v>130</v>
      </c>
      <c r="G1576">
        <v>31</v>
      </c>
      <c r="H1576" t="s">
        <v>31</v>
      </c>
      <c r="I1576" t="s">
        <v>31</v>
      </c>
      <c r="J1576" t="s">
        <v>23</v>
      </c>
      <c r="K1576" s="2">
        <v>82344</v>
      </c>
      <c r="L1576" s="2">
        <v>84187</v>
      </c>
      <c r="M1576" t="s">
        <v>32</v>
      </c>
      <c r="N1576">
        <v>54</v>
      </c>
      <c r="O1576" t="s">
        <v>23</v>
      </c>
      <c r="P1576">
        <v>6</v>
      </c>
      <c r="Q1576" s="1">
        <v>-7.04</v>
      </c>
      <c r="R1576" s="2">
        <f t="shared" si="96"/>
        <v>1843</v>
      </c>
      <c r="S1576" s="1">
        <f t="shared" si="97"/>
        <v>2.2381715729136307</v>
      </c>
      <c r="T1576" t="str">
        <f t="shared" si="98"/>
        <v>Expert</v>
      </c>
      <c r="U1576" t="str">
        <f t="shared" si="99"/>
        <v>Low Impact</v>
      </c>
    </row>
    <row r="1577" spans="1:21" x14ac:dyDescent="0.3">
      <c r="A1577" t="s">
        <v>1953</v>
      </c>
      <c r="B1577">
        <v>45</v>
      </c>
      <c r="C1577" t="s">
        <v>54</v>
      </c>
      <c r="D1577" t="s">
        <v>34</v>
      </c>
      <c r="E1577" t="s">
        <v>29</v>
      </c>
      <c r="F1577" t="s">
        <v>102</v>
      </c>
      <c r="G1577">
        <v>20</v>
      </c>
      <c r="H1577" t="s">
        <v>22</v>
      </c>
      <c r="I1577" t="s">
        <v>22</v>
      </c>
      <c r="J1577" t="s">
        <v>25</v>
      </c>
      <c r="K1577" s="2">
        <v>86680</v>
      </c>
      <c r="L1577" s="2">
        <v>72785</v>
      </c>
      <c r="M1577" t="s">
        <v>38</v>
      </c>
      <c r="N1577">
        <v>53</v>
      </c>
      <c r="O1577" t="s">
        <v>23</v>
      </c>
      <c r="P1577">
        <v>9</v>
      </c>
      <c r="Q1577" s="1">
        <v>-7.04</v>
      </c>
      <c r="R1577" s="2">
        <f t="shared" si="96"/>
        <v>-13895</v>
      </c>
      <c r="S1577" s="1">
        <f t="shared" si="97"/>
        <v>-16.030226119058607</v>
      </c>
      <c r="T1577" t="str">
        <f t="shared" si="98"/>
        <v>Expert</v>
      </c>
      <c r="U1577" t="str">
        <f t="shared" si="99"/>
        <v>Medium Impact</v>
      </c>
    </row>
    <row r="1578" spans="1:21" x14ac:dyDescent="0.3">
      <c r="A1578" t="s">
        <v>107</v>
      </c>
      <c r="B1578">
        <v>58</v>
      </c>
      <c r="C1578" t="s">
        <v>27</v>
      </c>
      <c r="D1578" t="s">
        <v>19</v>
      </c>
      <c r="E1578" t="s">
        <v>44</v>
      </c>
      <c r="F1578" t="s">
        <v>47</v>
      </c>
      <c r="G1578">
        <v>36</v>
      </c>
      <c r="H1578" t="s">
        <v>31</v>
      </c>
      <c r="I1578" t="s">
        <v>31</v>
      </c>
      <c r="J1578" t="s">
        <v>23</v>
      </c>
      <c r="K1578" s="2">
        <v>110135</v>
      </c>
      <c r="L1578" s="2">
        <v>117348</v>
      </c>
      <c r="M1578" t="s">
        <v>32</v>
      </c>
      <c r="N1578">
        <v>39</v>
      </c>
      <c r="O1578" t="s">
        <v>25</v>
      </c>
      <c r="P1578">
        <v>9</v>
      </c>
      <c r="Q1578" s="1">
        <v>-7.05</v>
      </c>
      <c r="R1578" s="2">
        <f t="shared" si="96"/>
        <v>7213</v>
      </c>
      <c r="S1578" s="1">
        <f t="shared" si="97"/>
        <v>6.5492350297362334</v>
      </c>
      <c r="T1578" t="str">
        <f t="shared" si="98"/>
        <v>Expert</v>
      </c>
      <c r="U1578" t="str">
        <f t="shared" si="99"/>
        <v>Low Impact</v>
      </c>
    </row>
    <row r="1579" spans="1:21" x14ac:dyDescent="0.3">
      <c r="A1579" t="s">
        <v>1607</v>
      </c>
      <c r="B1579">
        <v>59</v>
      </c>
      <c r="C1579" t="s">
        <v>27</v>
      </c>
      <c r="D1579" t="s">
        <v>34</v>
      </c>
      <c r="E1579" t="s">
        <v>35</v>
      </c>
      <c r="F1579" t="s">
        <v>132</v>
      </c>
      <c r="G1579">
        <v>36</v>
      </c>
      <c r="H1579" t="s">
        <v>22</v>
      </c>
      <c r="I1579" t="s">
        <v>22</v>
      </c>
      <c r="J1579" t="s">
        <v>23</v>
      </c>
      <c r="K1579" s="2">
        <v>106215</v>
      </c>
      <c r="L1579" s="2">
        <v>140573</v>
      </c>
      <c r="M1579" t="s">
        <v>24</v>
      </c>
      <c r="N1579">
        <v>42</v>
      </c>
      <c r="O1579" t="s">
        <v>25</v>
      </c>
      <c r="P1579">
        <v>8</v>
      </c>
      <c r="Q1579" s="1">
        <v>-7.06</v>
      </c>
      <c r="R1579" s="2">
        <f t="shared" si="96"/>
        <v>34358</v>
      </c>
      <c r="S1579" s="1">
        <f t="shared" si="97"/>
        <v>32.34759685543473</v>
      </c>
      <c r="T1579" t="str">
        <f t="shared" si="98"/>
        <v>Expert</v>
      </c>
      <c r="U1579" t="str">
        <f t="shared" si="99"/>
        <v>High Impact</v>
      </c>
    </row>
    <row r="1580" spans="1:21" x14ac:dyDescent="0.3">
      <c r="A1580" t="s">
        <v>1099</v>
      </c>
      <c r="B1580">
        <v>38</v>
      </c>
      <c r="C1580" t="s">
        <v>18</v>
      </c>
      <c r="D1580" t="s">
        <v>19</v>
      </c>
      <c r="E1580" t="s">
        <v>41</v>
      </c>
      <c r="F1580" t="s">
        <v>55</v>
      </c>
      <c r="G1580">
        <v>14</v>
      </c>
      <c r="H1580" t="s">
        <v>31</v>
      </c>
      <c r="I1580" t="s">
        <v>31</v>
      </c>
      <c r="J1580" t="s">
        <v>23</v>
      </c>
      <c r="K1580" s="2">
        <v>92119</v>
      </c>
      <c r="L1580" s="2">
        <v>92231</v>
      </c>
      <c r="M1580" t="s">
        <v>32</v>
      </c>
      <c r="N1580">
        <v>41</v>
      </c>
      <c r="O1580" t="s">
        <v>25</v>
      </c>
      <c r="P1580">
        <v>6</v>
      </c>
      <c r="Q1580" s="1">
        <v>-7.06</v>
      </c>
      <c r="R1580" s="2">
        <f t="shared" si="96"/>
        <v>112</v>
      </c>
      <c r="S1580" s="1">
        <f t="shared" si="97"/>
        <v>0.12158186693298884</v>
      </c>
      <c r="T1580" t="str">
        <f t="shared" si="98"/>
        <v>Intermediate</v>
      </c>
      <c r="U1580" t="str">
        <f t="shared" si="99"/>
        <v>Low Impact</v>
      </c>
    </row>
    <row r="1581" spans="1:21" x14ac:dyDescent="0.3">
      <c r="A1581" t="s">
        <v>605</v>
      </c>
      <c r="B1581">
        <v>55</v>
      </c>
      <c r="C1581" t="s">
        <v>54</v>
      </c>
      <c r="D1581" t="s">
        <v>40</v>
      </c>
      <c r="E1581" t="s">
        <v>35</v>
      </c>
      <c r="F1581" t="s">
        <v>98</v>
      </c>
      <c r="G1581">
        <v>31</v>
      </c>
      <c r="H1581" t="s">
        <v>31</v>
      </c>
      <c r="I1581" t="s">
        <v>31</v>
      </c>
      <c r="J1581" t="s">
        <v>23</v>
      </c>
      <c r="K1581" s="2">
        <v>103788</v>
      </c>
      <c r="L1581" s="2">
        <v>105211</v>
      </c>
      <c r="M1581" t="s">
        <v>32</v>
      </c>
      <c r="N1581">
        <v>35</v>
      </c>
      <c r="O1581" t="s">
        <v>25</v>
      </c>
      <c r="P1581">
        <v>5</v>
      </c>
      <c r="Q1581" s="1">
        <v>-7.08</v>
      </c>
      <c r="R1581" s="2">
        <f t="shared" si="96"/>
        <v>1423</v>
      </c>
      <c r="S1581" s="1">
        <f t="shared" si="97"/>
        <v>1.3710640921879216</v>
      </c>
      <c r="T1581" t="str">
        <f t="shared" si="98"/>
        <v>Expert</v>
      </c>
      <c r="U1581" t="str">
        <f t="shared" si="99"/>
        <v>Low Impact</v>
      </c>
    </row>
    <row r="1582" spans="1:21" x14ac:dyDescent="0.3">
      <c r="A1582" t="s">
        <v>1615</v>
      </c>
      <c r="B1582">
        <v>59</v>
      </c>
      <c r="C1582" t="s">
        <v>27</v>
      </c>
      <c r="D1582" t="s">
        <v>40</v>
      </c>
      <c r="E1582" t="s">
        <v>41</v>
      </c>
      <c r="F1582" t="s">
        <v>55</v>
      </c>
      <c r="G1582">
        <v>33</v>
      </c>
      <c r="H1582" t="s">
        <v>31</v>
      </c>
      <c r="I1582" t="s">
        <v>31</v>
      </c>
      <c r="J1582" t="s">
        <v>23</v>
      </c>
      <c r="K1582" s="2">
        <v>68057</v>
      </c>
      <c r="L1582" s="2">
        <v>70391</v>
      </c>
      <c r="M1582" t="s">
        <v>32</v>
      </c>
      <c r="N1582">
        <v>44</v>
      </c>
      <c r="O1582" t="s">
        <v>25</v>
      </c>
      <c r="P1582">
        <v>9</v>
      </c>
      <c r="Q1582" s="1">
        <v>-7.14</v>
      </c>
      <c r="R1582" s="2">
        <f t="shared" si="96"/>
        <v>2334</v>
      </c>
      <c r="S1582" s="1">
        <f t="shared" si="97"/>
        <v>3.4294782314824337</v>
      </c>
      <c r="T1582" t="str">
        <f t="shared" si="98"/>
        <v>Expert</v>
      </c>
      <c r="U1582" t="str">
        <f t="shared" si="99"/>
        <v>Low Impact</v>
      </c>
    </row>
    <row r="1583" spans="1:21" x14ac:dyDescent="0.3">
      <c r="A1583" t="s">
        <v>1576</v>
      </c>
      <c r="B1583">
        <v>33</v>
      </c>
      <c r="C1583" t="s">
        <v>54</v>
      </c>
      <c r="D1583" t="s">
        <v>28</v>
      </c>
      <c r="E1583" t="s">
        <v>51</v>
      </c>
      <c r="F1583" t="s">
        <v>130</v>
      </c>
      <c r="G1583">
        <v>9</v>
      </c>
      <c r="H1583" t="s">
        <v>31</v>
      </c>
      <c r="I1583" t="s">
        <v>31</v>
      </c>
      <c r="J1583" t="s">
        <v>25</v>
      </c>
      <c r="K1583" s="2">
        <v>40360</v>
      </c>
      <c r="L1583" s="2">
        <v>42372</v>
      </c>
      <c r="M1583" t="s">
        <v>32</v>
      </c>
      <c r="N1583">
        <v>45</v>
      </c>
      <c r="O1583" t="s">
        <v>23</v>
      </c>
      <c r="P1583">
        <v>7</v>
      </c>
      <c r="Q1583" s="1">
        <v>-7.18</v>
      </c>
      <c r="R1583" s="2">
        <f t="shared" si="96"/>
        <v>2012</v>
      </c>
      <c r="S1583" s="1">
        <f t="shared" si="97"/>
        <v>4.9851337958374629</v>
      </c>
      <c r="T1583" t="str">
        <f t="shared" si="98"/>
        <v>Intermediate</v>
      </c>
      <c r="U1583" t="str">
        <f t="shared" si="99"/>
        <v>Low Impact</v>
      </c>
    </row>
    <row r="1584" spans="1:21" x14ac:dyDescent="0.3">
      <c r="A1584" t="s">
        <v>388</v>
      </c>
      <c r="B1584">
        <v>23</v>
      </c>
      <c r="C1584" t="s">
        <v>27</v>
      </c>
      <c r="D1584" t="s">
        <v>40</v>
      </c>
      <c r="E1584" t="s">
        <v>51</v>
      </c>
      <c r="F1584" t="s">
        <v>130</v>
      </c>
      <c r="G1584">
        <v>0</v>
      </c>
      <c r="H1584" t="s">
        <v>31</v>
      </c>
      <c r="I1584" t="s">
        <v>37</v>
      </c>
      <c r="J1584" t="s">
        <v>25</v>
      </c>
      <c r="K1584" s="2">
        <v>85731</v>
      </c>
      <c r="L1584" s="2">
        <v>91960</v>
      </c>
      <c r="M1584" t="s">
        <v>38</v>
      </c>
      <c r="N1584">
        <v>53</v>
      </c>
      <c r="O1584" t="s">
        <v>23</v>
      </c>
      <c r="P1584">
        <v>9</v>
      </c>
      <c r="Q1584" s="1">
        <v>-7.19</v>
      </c>
      <c r="R1584" s="2">
        <f t="shared" si="96"/>
        <v>6229</v>
      </c>
      <c r="S1584" s="1">
        <f t="shared" si="97"/>
        <v>7.2657498454468046</v>
      </c>
      <c r="T1584" t="str">
        <f t="shared" si="98"/>
        <v>Beginner</v>
      </c>
      <c r="U1584" t="str">
        <f t="shared" si="99"/>
        <v>Medium Impact</v>
      </c>
    </row>
    <row r="1585" spans="1:21" x14ac:dyDescent="0.3">
      <c r="A1585" t="s">
        <v>1581</v>
      </c>
      <c r="B1585">
        <v>38</v>
      </c>
      <c r="C1585" t="s">
        <v>27</v>
      </c>
      <c r="D1585" t="s">
        <v>40</v>
      </c>
      <c r="E1585" t="s">
        <v>59</v>
      </c>
      <c r="F1585" t="s">
        <v>93</v>
      </c>
      <c r="G1585">
        <v>13</v>
      </c>
      <c r="H1585" t="s">
        <v>22</v>
      </c>
      <c r="I1585" t="s">
        <v>37</v>
      </c>
      <c r="J1585" t="s">
        <v>25</v>
      </c>
      <c r="K1585" s="2">
        <v>75530</v>
      </c>
      <c r="L1585" s="2">
        <v>76795</v>
      </c>
      <c r="M1585" t="s">
        <v>38</v>
      </c>
      <c r="N1585">
        <v>40</v>
      </c>
      <c r="O1585" t="s">
        <v>25</v>
      </c>
      <c r="P1585">
        <v>9</v>
      </c>
      <c r="Q1585" s="1">
        <v>-7.2</v>
      </c>
      <c r="R1585" s="2">
        <f t="shared" si="96"/>
        <v>1265</v>
      </c>
      <c r="S1585" s="1">
        <f t="shared" si="97"/>
        <v>1.674831192903482</v>
      </c>
      <c r="T1585" t="str">
        <f t="shared" si="98"/>
        <v>Intermediate</v>
      </c>
      <c r="U1585" t="str">
        <f t="shared" si="99"/>
        <v>Medium Impact</v>
      </c>
    </row>
    <row r="1586" spans="1:21" x14ac:dyDescent="0.3">
      <c r="A1586" t="s">
        <v>1388</v>
      </c>
      <c r="B1586">
        <v>34</v>
      </c>
      <c r="C1586" t="s">
        <v>27</v>
      </c>
      <c r="D1586" t="s">
        <v>28</v>
      </c>
      <c r="E1586" t="s">
        <v>59</v>
      </c>
      <c r="F1586" t="s">
        <v>77</v>
      </c>
      <c r="G1586">
        <v>12</v>
      </c>
      <c r="H1586" t="s">
        <v>31</v>
      </c>
      <c r="I1586" t="s">
        <v>22</v>
      </c>
      <c r="J1586" t="s">
        <v>23</v>
      </c>
      <c r="K1586" s="2">
        <v>52113</v>
      </c>
      <c r="L1586" s="2">
        <v>52288</v>
      </c>
      <c r="M1586" t="s">
        <v>32</v>
      </c>
      <c r="N1586">
        <v>51</v>
      </c>
      <c r="O1586" t="s">
        <v>23</v>
      </c>
      <c r="P1586">
        <v>9</v>
      </c>
      <c r="Q1586" s="1">
        <v>-7.23</v>
      </c>
      <c r="R1586" s="2">
        <f t="shared" si="96"/>
        <v>175</v>
      </c>
      <c r="S1586" s="1">
        <f t="shared" si="97"/>
        <v>0.33580872335117917</v>
      </c>
      <c r="T1586" t="str">
        <f t="shared" si="98"/>
        <v>Intermediate</v>
      </c>
      <c r="U1586" t="str">
        <f t="shared" si="99"/>
        <v>Low Impact</v>
      </c>
    </row>
    <row r="1587" spans="1:21" x14ac:dyDescent="0.3">
      <c r="A1587" t="s">
        <v>131</v>
      </c>
      <c r="B1587">
        <v>26</v>
      </c>
      <c r="C1587" t="s">
        <v>18</v>
      </c>
      <c r="D1587" t="s">
        <v>28</v>
      </c>
      <c r="E1587" t="s">
        <v>35</v>
      </c>
      <c r="F1587" t="s">
        <v>132</v>
      </c>
      <c r="G1587">
        <v>2</v>
      </c>
      <c r="H1587" t="s">
        <v>31</v>
      </c>
      <c r="I1587" t="s">
        <v>31</v>
      </c>
      <c r="J1587" t="s">
        <v>25</v>
      </c>
      <c r="K1587" s="2">
        <v>119112</v>
      </c>
      <c r="L1587" s="2">
        <v>123049</v>
      </c>
      <c r="M1587" t="s">
        <v>32</v>
      </c>
      <c r="N1587">
        <v>50</v>
      </c>
      <c r="O1587" t="s">
        <v>23</v>
      </c>
      <c r="P1587">
        <v>3</v>
      </c>
      <c r="Q1587" s="1">
        <v>-7.24</v>
      </c>
      <c r="R1587" s="2">
        <f t="shared" si="96"/>
        <v>3937</v>
      </c>
      <c r="S1587" s="1">
        <f t="shared" si="97"/>
        <v>3.3052924978171805</v>
      </c>
      <c r="T1587" t="str">
        <f t="shared" si="98"/>
        <v>Beginner</v>
      </c>
      <c r="U1587" t="str">
        <f t="shared" si="99"/>
        <v>Low Impact</v>
      </c>
    </row>
    <row r="1588" spans="1:21" x14ac:dyDescent="0.3">
      <c r="A1588" t="s">
        <v>1782</v>
      </c>
      <c r="B1588">
        <v>51</v>
      </c>
      <c r="C1588" t="s">
        <v>54</v>
      </c>
      <c r="D1588" t="s">
        <v>34</v>
      </c>
      <c r="E1588" t="s">
        <v>51</v>
      </c>
      <c r="F1588" t="s">
        <v>52</v>
      </c>
      <c r="G1588">
        <v>29</v>
      </c>
      <c r="H1588" t="s">
        <v>31</v>
      </c>
      <c r="I1588" t="s">
        <v>22</v>
      </c>
      <c r="J1588" t="s">
        <v>25</v>
      </c>
      <c r="K1588" s="2">
        <v>91517</v>
      </c>
      <c r="L1588" s="2">
        <v>88623</v>
      </c>
      <c r="M1588" t="s">
        <v>32</v>
      </c>
      <c r="N1588">
        <v>49</v>
      </c>
      <c r="O1588" t="s">
        <v>23</v>
      </c>
      <c r="P1588">
        <v>4</v>
      </c>
      <c r="Q1588" s="1">
        <v>-7.28</v>
      </c>
      <c r="R1588" s="2">
        <f t="shared" si="96"/>
        <v>-2894</v>
      </c>
      <c r="S1588" s="1">
        <f t="shared" si="97"/>
        <v>-3.1622540074521672</v>
      </c>
      <c r="T1588" t="str">
        <f t="shared" si="98"/>
        <v>Expert</v>
      </c>
      <c r="U1588" t="str">
        <f t="shared" si="99"/>
        <v>Low Impact</v>
      </c>
    </row>
    <row r="1589" spans="1:21" x14ac:dyDescent="0.3">
      <c r="A1589" t="s">
        <v>624</v>
      </c>
      <c r="B1589">
        <v>35</v>
      </c>
      <c r="C1589" t="s">
        <v>27</v>
      </c>
      <c r="D1589" t="s">
        <v>34</v>
      </c>
      <c r="E1589" t="s">
        <v>35</v>
      </c>
      <c r="F1589" t="s">
        <v>36</v>
      </c>
      <c r="G1589">
        <v>12</v>
      </c>
      <c r="H1589" t="s">
        <v>37</v>
      </c>
      <c r="I1589" t="s">
        <v>37</v>
      </c>
      <c r="J1589" t="s">
        <v>25</v>
      </c>
      <c r="K1589" s="2">
        <v>73939</v>
      </c>
      <c r="L1589" s="2">
        <v>69171</v>
      </c>
      <c r="M1589" t="s">
        <v>38</v>
      </c>
      <c r="N1589">
        <v>45</v>
      </c>
      <c r="O1589" t="s">
        <v>23</v>
      </c>
      <c r="P1589">
        <v>8</v>
      </c>
      <c r="Q1589" s="1">
        <v>-7.29</v>
      </c>
      <c r="R1589" s="2">
        <f t="shared" si="96"/>
        <v>-4768</v>
      </c>
      <c r="S1589" s="1">
        <f t="shared" si="97"/>
        <v>-6.4485589472402935</v>
      </c>
      <c r="T1589" t="str">
        <f t="shared" si="98"/>
        <v>Intermediate</v>
      </c>
      <c r="U1589" t="str">
        <f t="shared" si="99"/>
        <v>Medium Impact</v>
      </c>
    </row>
    <row r="1590" spans="1:21" x14ac:dyDescent="0.3">
      <c r="A1590" t="s">
        <v>1193</v>
      </c>
      <c r="B1590">
        <v>23</v>
      </c>
      <c r="C1590" t="s">
        <v>18</v>
      </c>
      <c r="D1590" t="s">
        <v>34</v>
      </c>
      <c r="E1590" t="s">
        <v>35</v>
      </c>
      <c r="F1590" t="s">
        <v>132</v>
      </c>
      <c r="G1590">
        <v>1</v>
      </c>
      <c r="H1590" t="s">
        <v>37</v>
      </c>
      <c r="I1590" t="s">
        <v>22</v>
      </c>
      <c r="J1590" t="s">
        <v>25</v>
      </c>
      <c r="K1590" s="2">
        <v>56145</v>
      </c>
      <c r="L1590" s="2">
        <v>54331</v>
      </c>
      <c r="M1590" t="s">
        <v>32</v>
      </c>
      <c r="N1590">
        <v>36</v>
      </c>
      <c r="O1590" t="s">
        <v>25</v>
      </c>
      <c r="P1590">
        <v>7</v>
      </c>
      <c r="Q1590" s="1">
        <v>-7.29</v>
      </c>
      <c r="R1590" s="2">
        <f t="shared" si="96"/>
        <v>-1814</v>
      </c>
      <c r="S1590" s="1">
        <f t="shared" si="97"/>
        <v>-3.230919939442515</v>
      </c>
      <c r="T1590" t="str">
        <f t="shared" si="98"/>
        <v>Beginner</v>
      </c>
      <c r="U1590" t="str">
        <f t="shared" si="99"/>
        <v>Low Impact</v>
      </c>
    </row>
    <row r="1591" spans="1:21" x14ac:dyDescent="0.3">
      <c r="A1591" t="s">
        <v>507</v>
      </c>
      <c r="B1591">
        <v>23</v>
      </c>
      <c r="C1591" t="s">
        <v>54</v>
      </c>
      <c r="D1591" t="s">
        <v>40</v>
      </c>
      <c r="E1591" t="s">
        <v>51</v>
      </c>
      <c r="F1591" t="s">
        <v>130</v>
      </c>
      <c r="G1591">
        <v>0</v>
      </c>
      <c r="H1591" t="s">
        <v>37</v>
      </c>
      <c r="I1591" t="s">
        <v>31</v>
      </c>
      <c r="J1591" t="s">
        <v>25</v>
      </c>
      <c r="K1591" s="2">
        <v>76092</v>
      </c>
      <c r="L1591" s="2">
        <v>83705</v>
      </c>
      <c r="M1591" t="s">
        <v>32</v>
      </c>
      <c r="N1591">
        <v>36</v>
      </c>
      <c r="O1591" t="s">
        <v>23</v>
      </c>
      <c r="P1591">
        <v>9</v>
      </c>
      <c r="Q1591" s="1">
        <v>-7.33</v>
      </c>
      <c r="R1591" s="2">
        <f t="shared" si="96"/>
        <v>7613</v>
      </c>
      <c r="S1591" s="1">
        <f t="shared" si="97"/>
        <v>10.004993954686432</v>
      </c>
      <c r="T1591" t="str">
        <f t="shared" si="98"/>
        <v>Beginner</v>
      </c>
      <c r="U1591" t="str">
        <f t="shared" si="99"/>
        <v>Low Impact</v>
      </c>
    </row>
    <row r="1592" spans="1:21" x14ac:dyDescent="0.3">
      <c r="A1592" t="s">
        <v>1505</v>
      </c>
      <c r="B1592">
        <v>46</v>
      </c>
      <c r="C1592" t="s">
        <v>18</v>
      </c>
      <c r="D1592" t="s">
        <v>28</v>
      </c>
      <c r="E1592" t="s">
        <v>35</v>
      </c>
      <c r="F1592" t="s">
        <v>36</v>
      </c>
      <c r="G1592">
        <v>24</v>
      </c>
      <c r="H1592" t="s">
        <v>37</v>
      </c>
      <c r="I1592" t="s">
        <v>31</v>
      </c>
      <c r="J1592" t="s">
        <v>23</v>
      </c>
      <c r="K1592" s="2">
        <v>58013</v>
      </c>
      <c r="L1592" s="2">
        <v>64597</v>
      </c>
      <c r="M1592" t="s">
        <v>32</v>
      </c>
      <c r="N1592">
        <v>50</v>
      </c>
      <c r="O1592" t="s">
        <v>25</v>
      </c>
      <c r="P1592">
        <v>6</v>
      </c>
      <c r="Q1592" s="1">
        <v>-7.34</v>
      </c>
      <c r="R1592" s="2">
        <f t="shared" si="96"/>
        <v>6584</v>
      </c>
      <c r="S1592" s="1">
        <f t="shared" si="97"/>
        <v>11.349180356127075</v>
      </c>
      <c r="T1592" t="str">
        <f t="shared" si="98"/>
        <v>Expert</v>
      </c>
      <c r="U1592" t="str">
        <f t="shared" si="99"/>
        <v>Low Impact</v>
      </c>
    </row>
    <row r="1593" spans="1:21" x14ac:dyDescent="0.3">
      <c r="A1593" t="s">
        <v>1901</v>
      </c>
      <c r="B1593">
        <v>23</v>
      </c>
      <c r="C1593" t="s">
        <v>27</v>
      </c>
      <c r="D1593" t="s">
        <v>40</v>
      </c>
      <c r="E1593" t="s">
        <v>29</v>
      </c>
      <c r="F1593" t="s">
        <v>102</v>
      </c>
      <c r="G1593">
        <v>0</v>
      </c>
      <c r="H1593" t="s">
        <v>22</v>
      </c>
      <c r="I1593" t="s">
        <v>22</v>
      </c>
      <c r="J1593" t="s">
        <v>25</v>
      </c>
      <c r="K1593" s="2">
        <v>82771</v>
      </c>
      <c r="L1593" s="2">
        <v>94216</v>
      </c>
      <c r="M1593" t="s">
        <v>38</v>
      </c>
      <c r="N1593">
        <v>43</v>
      </c>
      <c r="O1593" t="s">
        <v>23</v>
      </c>
      <c r="P1593">
        <v>8</v>
      </c>
      <c r="Q1593" s="1">
        <v>-7.36</v>
      </c>
      <c r="R1593" s="2">
        <f t="shared" si="96"/>
        <v>11445</v>
      </c>
      <c r="S1593" s="1">
        <f t="shared" si="97"/>
        <v>13.82730666537797</v>
      </c>
      <c r="T1593" t="str">
        <f t="shared" si="98"/>
        <v>Beginner</v>
      </c>
      <c r="U1593" t="str">
        <f t="shared" si="99"/>
        <v>Medium Impact</v>
      </c>
    </row>
    <row r="1594" spans="1:21" x14ac:dyDescent="0.3">
      <c r="A1594" t="s">
        <v>500</v>
      </c>
      <c r="B1594">
        <v>42</v>
      </c>
      <c r="C1594" t="s">
        <v>27</v>
      </c>
      <c r="D1594" t="s">
        <v>28</v>
      </c>
      <c r="E1594" t="s">
        <v>29</v>
      </c>
      <c r="F1594" t="s">
        <v>102</v>
      </c>
      <c r="G1594">
        <v>17</v>
      </c>
      <c r="H1594" t="s">
        <v>22</v>
      </c>
      <c r="I1594" t="s">
        <v>37</v>
      </c>
      <c r="J1594" t="s">
        <v>25</v>
      </c>
      <c r="K1594" s="2">
        <v>41944</v>
      </c>
      <c r="L1594" s="2">
        <v>40570</v>
      </c>
      <c r="M1594" t="s">
        <v>38</v>
      </c>
      <c r="N1594">
        <v>49</v>
      </c>
      <c r="O1594" t="s">
        <v>25</v>
      </c>
      <c r="P1594">
        <v>5</v>
      </c>
      <c r="Q1594" s="1">
        <v>-7.36</v>
      </c>
      <c r="R1594" s="2">
        <f t="shared" si="96"/>
        <v>-1374</v>
      </c>
      <c r="S1594" s="1">
        <f t="shared" si="97"/>
        <v>-3.2757962998283423</v>
      </c>
      <c r="T1594" t="str">
        <f t="shared" si="98"/>
        <v>Expert</v>
      </c>
      <c r="U1594" t="str">
        <f t="shared" si="99"/>
        <v>Medium Impact</v>
      </c>
    </row>
    <row r="1595" spans="1:21" x14ac:dyDescent="0.3">
      <c r="A1595" t="s">
        <v>855</v>
      </c>
      <c r="B1595">
        <v>32</v>
      </c>
      <c r="C1595" t="s">
        <v>18</v>
      </c>
      <c r="D1595" t="s">
        <v>40</v>
      </c>
      <c r="E1595" t="s">
        <v>35</v>
      </c>
      <c r="F1595" t="s">
        <v>36</v>
      </c>
      <c r="G1595">
        <v>8</v>
      </c>
      <c r="H1595" t="s">
        <v>22</v>
      </c>
      <c r="I1595" t="s">
        <v>37</v>
      </c>
      <c r="J1595" t="s">
        <v>23</v>
      </c>
      <c r="K1595" s="2">
        <v>41772</v>
      </c>
      <c r="L1595" s="2">
        <v>34034</v>
      </c>
      <c r="M1595" t="s">
        <v>38</v>
      </c>
      <c r="N1595">
        <v>47</v>
      </c>
      <c r="O1595" t="s">
        <v>23</v>
      </c>
      <c r="P1595">
        <v>6</v>
      </c>
      <c r="Q1595" s="1">
        <v>-7.43</v>
      </c>
      <c r="R1595" s="2">
        <f t="shared" si="96"/>
        <v>-7738</v>
      </c>
      <c r="S1595" s="1">
        <f t="shared" si="97"/>
        <v>-18.524370391649907</v>
      </c>
      <c r="T1595" t="str">
        <f t="shared" si="98"/>
        <v>Intermediate</v>
      </c>
      <c r="U1595" t="str">
        <f t="shared" si="99"/>
        <v>Medium Impact</v>
      </c>
    </row>
    <row r="1596" spans="1:21" x14ac:dyDescent="0.3">
      <c r="A1596" t="s">
        <v>956</v>
      </c>
      <c r="B1596">
        <v>36</v>
      </c>
      <c r="C1596" t="s">
        <v>54</v>
      </c>
      <c r="D1596" t="s">
        <v>28</v>
      </c>
      <c r="E1596" t="s">
        <v>29</v>
      </c>
      <c r="F1596" t="s">
        <v>30</v>
      </c>
      <c r="G1596">
        <v>11</v>
      </c>
      <c r="H1596" t="s">
        <v>37</v>
      </c>
      <c r="I1596" t="s">
        <v>31</v>
      </c>
      <c r="J1596" t="s">
        <v>23</v>
      </c>
      <c r="K1596" s="2">
        <v>81028</v>
      </c>
      <c r="L1596" s="2">
        <v>81992</v>
      </c>
      <c r="M1596" t="s">
        <v>32</v>
      </c>
      <c r="N1596">
        <v>46</v>
      </c>
      <c r="O1596" t="s">
        <v>23</v>
      </c>
      <c r="P1596">
        <v>4</v>
      </c>
      <c r="Q1596" s="1">
        <v>-7.46</v>
      </c>
      <c r="R1596" s="2">
        <f t="shared" si="96"/>
        <v>964</v>
      </c>
      <c r="S1596" s="1">
        <f t="shared" si="97"/>
        <v>1.1897121982524561</v>
      </c>
      <c r="T1596" t="str">
        <f t="shared" si="98"/>
        <v>Intermediate</v>
      </c>
      <c r="U1596" t="str">
        <f t="shared" si="99"/>
        <v>Low Impact</v>
      </c>
    </row>
    <row r="1597" spans="1:21" x14ac:dyDescent="0.3">
      <c r="A1597" t="s">
        <v>1802</v>
      </c>
      <c r="B1597">
        <v>23</v>
      </c>
      <c r="C1597" t="s">
        <v>54</v>
      </c>
      <c r="D1597" t="s">
        <v>40</v>
      </c>
      <c r="E1597" t="s">
        <v>41</v>
      </c>
      <c r="F1597" t="s">
        <v>42</v>
      </c>
      <c r="G1597">
        <v>0</v>
      </c>
      <c r="H1597" t="s">
        <v>37</v>
      </c>
      <c r="I1597" t="s">
        <v>22</v>
      </c>
      <c r="J1597" t="s">
        <v>23</v>
      </c>
      <c r="K1597" s="2">
        <v>46352</v>
      </c>
      <c r="L1597" s="2">
        <v>55057</v>
      </c>
      <c r="M1597" t="s">
        <v>32</v>
      </c>
      <c r="N1597">
        <v>39</v>
      </c>
      <c r="O1597" t="s">
        <v>25</v>
      </c>
      <c r="P1597">
        <v>3</v>
      </c>
      <c r="Q1597" s="1">
        <v>-7.51</v>
      </c>
      <c r="R1597" s="2">
        <f t="shared" si="96"/>
        <v>8705</v>
      </c>
      <c r="S1597" s="1">
        <f t="shared" si="97"/>
        <v>18.780203658957543</v>
      </c>
      <c r="T1597" t="str">
        <f t="shared" si="98"/>
        <v>Beginner</v>
      </c>
      <c r="U1597" t="str">
        <f t="shared" si="99"/>
        <v>Low Impact</v>
      </c>
    </row>
    <row r="1598" spans="1:21" x14ac:dyDescent="0.3">
      <c r="A1598" t="s">
        <v>1153</v>
      </c>
      <c r="B1598">
        <v>40</v>
      </c>
      <c r="C1598" t="s">
        <v>27</v>
      </c>
      <c r="D1598" t="s">
        <v>34</v>
      </c>
      <c r="E1598" t="s">
        <v>29</v>
      </c>
      <c r="F1598" t="s">
        <v>30</v>
      </c>
      <c r="G1598">
        <v>16</v>
      </c>
      <c r="H1598" t="s">
        <v>22</v>
      </c>
      <c r="I1598" t="s">
        <v>37</v>
      </c>
      <c r="J1598" t="s">
        <v>25</v>
      </c>
      <c r="K1598" s="2">
        <v>52784</v>
      </c>
      <c r="L1598" s="2">
        <v>64827</v>
      </c>
      <c r="M1598" t="s">
        <v>38</v>
      </c>
      <c r="N1598">
        <v>42</v>
      </c>
      <c r="O1598" t="s">
        <v>23</v>
      </c>
      <c r="P1598">
        <v>7</v>
      </c>
      <c r="Q1598" s="1">
        <v>-7.55</v>
      </c>
      <c r="R1598" s="2">
        <f t="shared" si="96"/>
        <v>12043</v>
      </c>
      <c r="S1598" s="1">
        <f t="shared" si="97"/>
        <v>22.815625947256745</v>
      </c>
      <c r="T1598" t="str">
        <f t="shared" si="98"/>
        <v>Expert</v>
      </c>
      <c r="U1598" t="str">
        <f t="shared" si="99"/>
        <v>Medium Impact</v>
      </c>
    </row>
    <row r="1599" spans="1:21" x14ac:dyDescent="0.3">
      <c r="A1599" t="s">
        <v>676</v>
      </c>
      <c r="B1599">
        <v>29</v>
      </c>
      <c r="C1599" t="s">
        <v>18</v>
      </c>
      <c r="D1599" t="s">
        <v>34</v>
      </c>
      <c r="E1599" t="s">
        <v>35</v>
      </c>
      <c r="F1599" t="s">
        <v>36</v>
      </c>
      <c r="G1599">
        <v>4</v>
      </c>
      <c r="H1599" t="s">
        <v>37</v>
      </c>
      <c r="I1599" t="s">
        <v>31</v>
      </c>
      <c r="J1599" t="s">
        <v>23</v>
      </c>
      <c r="K1599" s="2">
        <v>105831</v>
      </c>
      <c r="L1599" s="2">
        <v>100187</v>
      </c>
      <c r="M1599" t="s">
        <v>32</v>
      </c>
      <c r="N1599">
        <v>42</v>
      </c>
      <c r="O1599" t="s">
        <v>25</v>
      </c>
      <c r="P1599">
        <v>7</v>
      </c>
      <c r="Q1599" s="1">
        <v>-7.56</v>
      </c>
      <c r="R1599" s="2">
        <f t="shared" si="96"/>
        <v>-5644</v>
      </c>
      <c r="S1599" s="1">
        <f t="shared" si="97"/>
        <v>-5.3330309644622087</v>
      </c>
      <c r="T1599" t="str">
        <f t="shared" si="98"/>
        <v>Beginner</v>
      </c>
      <c r="U1599" t="str">
        <f t="shared" si="99"/>
        <v>Low Impact</v>
      </c>
    </row>
    <row r="1600" spans="1:21" x14ac:dyDescent="0.3">
      <c r="A1600" t="s">
        <v>1107</v>
      </c>
      <c r="B1600">
        <v>24</v>
      </c>
      <c r="C1600" t="s">
        <v>54</v>
      </c>
      <c r="D1600" t="s">
        <v>19</v>
      </c>
      <c r="E1600" t="s">
        <v>41</v>
      </c>
      <c r="F1600" t="s">
        <v>55</v>
      </c>
      <c r="G1600">
        <v>0</v>
      </c>
      <c r="H1600" t="s">
        <v>37</v>
      </c>
      <c r="I1600" t="s">
        <v>37</v>
      </c>
      <c r="J1600" t="s">
        <v>25</v>
      </c>
      <c r="K1600" s="2">
        <v>49252</v>
      </c>
      <c r="L1600" s="2">
        <v>58133</v>
      </c>
      <c r="M1600" t="s">
        <v>38</v>
      </c>
      <c r="N1600">
        <v>42</v>
      </c>
      <c r="O1600" t="s">
        <v>23</v>
      </c>
      <c r="P1600">
        <v>8</v>
      </c>
      <c r="Q1600" s="1">
        <v>-7.61</v>
      </c>
      <c r="R1600" s="2">
        <f t="shared" si="96"/>
        <v>8881</v>
      </c>
      <c r="S1600" s="1">
        <f t="shared" si="97"/>
        <v>18.03175505563226</v>
      </c>
      <c r="T1600" t="str">
        <f t="shared" si="98"/>
        <v>Beginner</v>
      </c>
      <c r="U1600" t="str">
        <f t="shared" si="99"/>
        <v>Medium Impact</v>
      </c>
    </row>
    <row r="1601" spans="1:21" x14ac:dyDescent="0.3">
      <c r="A1601" t="s">
        <v>925</v>
      </c>
      <c r="B1601">
        <v>34</v>
      </c>
      <c r="C1601" t="s">
        <v>27</v>
      </c>
      <c r="D1601" t="s">
        <v>34</v>
      </c>
      <c r="E1601" t="s">
        <v>41</v>
      </c>
      <c r="F1601" t="s">
        <v>55</v>
      </c>
      <c r="G1601">
        <v>11</v>
      </c>
      <c r="H1601" t="s">
        <v>37</v>
      </c>
      <c r="I1601" t="s">
        <v>31</v>
      </c>
      <c r="J1601" t="s">
        <v>25</v>
      </c>
      <c r="K1601" s="2">
        <v>90139</v>
      </c>
      <c r="L1601" s="2">
        <v>84463</v>
      </c>
      <c r="M1601" t="s">
        <v>32</v>
      </c>
      <c r="N1601">
        <v>38</v>
      </c>
      <c r="O1601" t="s">
        <v>25</v>
      </c>
      <c r="P1601">
        <v>4</v>
      </c>
      <c r="Q1601" s="1">
        <v>-7.64</v>
      </c>
      <c r="R1601" s="2">
        <f t="shared" si="96"/>
        <v>-5676</v>
      </c>
      <c r="S1601" s="1">
        <f t="shared" si="97"/>
        <v>-6.2969413905190867</v>
      </c>
      <c r="T1601" t="str">
        <f t="shared" si="98"/>
        <v>Intermediate</v>
      </c>
      <c r="U1601" t="str">
        <f t="shared" si="99"/>
        <v>Low Impact</v>
      </c>
    </row>
    <row r="1602" spans="1:21" x14ac:dyDescent="0.3">
      <c r="A1602" t="s">
        <v>1256</v>
      </c>
      <c r="B1602">
        <v>23</v>
      </c>
      <c r="C1602" t="s">
        <v>18</v>
      </c>
      <c r="D1602" t="s">
        <v>28</v>
      </c>
      <c r="E1602" t="s">
        <v>20</v>
      </c>
      <c r="F1602" t="s">
        <v>21</v>
      </c>
      <c r="G1602">
        <v>0</v>
      </c>
      <c r="H1602" t="s">
        <v>37</v>
      </c>
      <c r="I1602" t="s">
        <v>37</v>
      </c>
      <c r="J1602" t="s">
        <v>25</v>
      </c>
      <c r="K1602" s="2">
        <v>52948</v>
      </c>
      <c r="L1602" s="2">
        <v>59840</v>
      </c>
      <c r="M1602" t="s">
        <v>38</v>
      </c>
      <c r="N1602">
        <v>38</v>
      </c>
      <c r="O1602" t="s">
        <v>23</v>
      </c>
      <c r="P1602">
        <v>5</v>
      </c>
      <c r="Q1602" s="1">
        <v>-7.65</v>
      </c>
      <c r="R1602" s="2">
        <f t="shared" ref="R1602:R1665" si="100">L1602-K1602</f>
        <v>6892</v>
      </c>
      <c r="S1602" s="1">
        <f t="shared" ref="S1602:S1665" si="101">(L1602-K1602)/K1602*100</f>
        <v>13.01654453426003</v>
      </c>
      <c r="T1602" t="str">
        <f t="shared" ref="T1602:T1665" si="102">IF(G1602&lt;5,"Beginner",IF(G1602&lt;15,"Intermediate","Expert"))</f>
        <v>Beginner</v>
      </c>
      <c r="U1602" t="str">
        <f t="shared" ref="U1602:U1665" si="103">IF(M1602="Replaced","High Impact",IF(M1602="Modified","Medium Impact","Low Impact"))</f>
        <v>Medium Impact</v>
      </c>
    </row>
    <row r="1603" spans="1:21" x14ac:dyDescent="0.3">
      <c r="A1603" t="s">
        <v>379</v>
      </c>
      <c r="B1603">
        <v>29</v>
      </c>
      <c r="C1603" t="s">
        <v>18</v>
      </c>
      <c r="D1603" t="s">
        <v>34</v>
      </c>
      <c r="E1603" t="s">
        <v>20</v>
      </c>
      <c r="F1603" t="s">
        <v>118</v>
      </c>
      <c r="G1603">
        <v>7</v>
      </c>
      <c r="H1603" t="s">
        <v>22</v>
      </c>
      <c r="I1603" t="s">
        <v>22</v>
      </c>
      <c r="J1603" t="s">
        <v>25</v>
      </c>
      <c r="K1603" s="2">
        <v>65144</v>
      </c>
      <c r="L1603" s="2">
        <v>67043</v>
      </c>
      <c r="M1603" t="s">
        <v>38</v>
      </c>
      <c r="N1603">
        <v>51</v>
      </c>
      <c r="O1603" t="s">
        <v>25</v>
      </c>
      <c r="P1603">
        <v>6</v>
      </c>
      <c r="Q1603" s="1">
        <v>-7.66</v>
      </c>
      <c r="R1603" s="2">
        <f t="shared" si="100"/>
        <v>1899</v>
      </c>
      <c r="S1603" s="1">
        <f t="shared" si="101"/>
        <v>2.9150804371853125</v>
      </c>
      <c r="T1603" t="str">
        <f t="shared" si="102"/>
        <v>Intermediate</v>
      </c>
      <c r="U1603" t="str">
        <f t="shared" si="103"/>
        <v>Medium Impact</v>
      </c>
    </row>
    <row r="1604" spans="1:21" x14ac:dyDescent="0.3">
      <c r="A1604" t="s">
        <v>1872</v>
      </c>
      <c r="B1604">
        <v>59</v>
      </c>
      <c r="C1604" t="s">
        <v>18</v>
      </c>
      <c r="D1604" t="s">
        <v>28</v>
      </c>
      <c r="E1604" t="s">
        <v>51</v>
      </c>
      <c r="F1604" t="s">
        <v>130</v>
      </c>
      <c r="G1604">
        <v>35</v>
      </c>
      <c r="H1604" t="s">
        <v>22</v>
      </c>
      <c r="I1604" t="s">
        <v>22</v>
      </c>
      <c r="J1604" t="s">
        <v>25</v>
      </c>
      <c r="K1604" s="2">
        <v>84499</v>
      </c>
      <c r="L1604" s="2">
        <v>105407</v>
      </c>
      <c r="M1604" t="s">
        <v>24</v>
      </c>
      <c r="N1604">
        <v>40</v>
      </c>
      <c r="O1604" t="s">
        <v>25</v>
      </c>
      <c r="P1604">
        <v>7</v>
      </c>
      <c r="Q1604" s="1">
        <v>-7.68</v>
      </c>
      <c r="R1604" s="2">
        <f t="shared" si="100"/>
        <v>20908</v>
      </c>
      <c r="S1604" s="1">
        <f t="shared" si="101"/>
        <v>24.743488088616434</v>
      </c>
      <c r="T1604" t="str">
        <f t="shared" si="102"/>
        <v>Expert</v>
      </c>
      <c r="U1604" t="str">
        <f t="shared" si="103"/>
        <v>High Impact</v>
      </c>
    </row>
    <row r="1605" spans="1:21" x14ac:dyDescent="0.3">
      <c r="A1605" t="s">
        <v>592</v>
      </c>
      <c r="B1605">
        <v>48</v>
      </c>
      <c r="C1605" t="s">
        <v>18</v>
      </c>
      <c r="D1605" t="s">
        <v>19</v>
      </c>
      <c r="E1605" t="s">
        <v>59</v>
      </c>
      <c r="F1605" t="s">
        <v>93</v>
      </c>
      <c r="G1605">
        <v>26</v>
      </c>
      <c r="H1605" t="s">
        <v>31</v>
      </c>
      <c r="I1605" t="s">
        <v>37</v>
      </c>
      <c r="J1605" t="s">
        <v>23</v>
      </c>
      <c r="K1605" s="2">
        <v>58230</v>
      </c>
      <c r="L1605" s="2">
        <v>57626</v>
      </c>
      <c r="M1605" t="s">
        <v>38</v>
      </c>
      <c r="N1605">
        <v>37</v>
      </c>
      <c r="O1605" t="s">
        <v>23</v>
      </c>
      <c r="P1605">
        <v>4</v>
      </c>
      <c r="Q1605" s="1">
        <v>-7.68</v>
      </c>
      <c r="R1605" s="2">
        <f t="shared" si="100"/>
        <v>-604</v>
      </c>
      <c r="S1605" s="1">
        <f t="shared" si="101"/>
        <v>-1.0372660140820884</v>
      </c>
      <c r="T1605" t="str">
        <f t="shared" si="102"/>
        <v>Expert</v>
      </c>
      <c r="U1605" t="str">
        <f t="shared" si="103"/>
        <v>Medium Impact</v>
      </c>
    </row>
    <row r="1606" spans="1:21" x14ac:dyDescent="0.3">
      <c r="A1606" t="s">
        <v>1285</v>
      </c>
      <c r="B1606">
        <v>46</v>
      </c>
      <c r="C1606" t="s">
        <v>54</v>
      </c>
      <c r="D1606" t="s">
        <v>28</v>
      </c>
      <c r="E1606" t="s">
        <v>44</v>
      </c>
      <c r="F1606" t="s">
        <v>57</v>
      </c>
      <c r="G1606">
        <v>22</v>
      </c>
      <c r="H1606" t="s">
        <v>22</v>
      </c>
      <c r="I1606" t="s">
        <v>31</v>
      </c>
      <c r="J1606" t="s">
        <v>23</v>
      </c>
      <c r="K1606" s="2">
        <v>43663</v>
      </c>
      <c r="L1606" s="2">
        <v>35463</v>
      </c>
      <c r="M1606" t="s">
        <v>32</v>
      </c>
      <c r="N1606">
        <v>42</v>
      </c>
      <c r="O1606" t="s">
        <v>23</v>
      </c>
      <c r="P1606">
        <v>7</v>
      </c>
      <c r="Q1606" s="1">
        <v>-7.69</v>
      </c>
      <c r="R1606" s="2">
        <f t="shared" si="100"/>
        <v>-8200</v>
      </c>
      <c r="S1606" s="1">
        <f t="shared" si="101"/>
        <v>-18.780202917802256</v>
      </c>
      <c r="T1606" t="str">
        <f t="shared" si="102"/>
        <v>Expert</v>
      </c>
      <c r="U1606" t="str">
        <f t="shared" si="103"/>
        <v>Low Impact</v>
      </c>
    </row>
    <row r="1607" spans="1:21" x14ac:dyDescent="0.3">
      <c r="A1607" t="s">
        <v>185</v>
      </c>
      <c r="B1607">
        <v>35</v>
      </c>
      <c r="C1607" t="s">
        <v>27</v>
      </c>
      <c r="D1607" t="s">
        <v>40</v>
      </c>
      <c r="E1607" t="s">
        <v>51</v>
      </c>
      <c r="F1607" t="s">
        <v>52</v>
      </c>
      <c r="G1607">
        <v>9</v>
      </c>
      <c r="H1607" t="s">
        <v>31</v>
      </c>
      <c r="I1607" t="s">
        <v>37</v>
      </c>
      <c r="J1607" t="s">
        <v>23</v>
      </c>
      <c r="K1607" s="2">
        <v>38567</v>
      </c>
      <c r="L1607" s="2">
        <v>42371</v>
      </c>
      <c r="M1607" t="s">
        <v>38</v>
      </c>
      <c r="N1607">
        <v>37</v>
      </c>
      <c r="O1607" t="s">
        <v>23</v>
      </c>
      <c r="P1607">
        <v>5</v>
      </c>
      <c r="Q1607" s="1">
        <v>-7.7</v>
      </c>
      <c r="R1607" s="2">
        <f t="shared" si="100"/>
        <v>3804</v>
      </c>
      <c r="S1607" s="1">
        <f t="shared" si="101"/>
        <v>9.8633546814634272</v>
      </c>
      <c r="T1607" t="str">
        <f t="shared" si="102"/>
        <v>Intermediate</v>
      </c>
      <c r="U1607" t="str">
        <f t="shared" si="103"/>
        <v>Medium Impact</v>
      </c>
    </row>
    <row r="1608" spans="1:21" x14ac:dyDescent="0.3">
      <c r="A1608" t="s">
        <v>1493</v>
      </c>
      <c r="B1608">
        <v>44</v>
      </c>
      <c r="C1608" t="s">
        <v>54</v>
      </c>
      <c r="D1608" t="s">
        <v>34</v>
      </c>
      <c r="E1608" t="s">
        <v>44</v>
      </c>
      <c r="F1608" t="s">
        <v>47</v>
      </c>
      <c r="G1608">
        <v>19</v>
      </c>
      <c r="H1608" t="s">
        <v>22</v>
      </c>
      <c r="I1608" t="s">
        <v>22</v>
      </c>
      <c r="J1608" t="s">
        <v>23</v>
      </c>
      <c r="K1608" s="2">
        <v>119595</v>
      </c>
      <c r="L1608" s="2">
        <v>147064</v>
      </c>
      <c r="M1608" t="s">
        <v>38</v>
      </c>
      <c r="N1608">
        <v>38</v>
      </c>
      <c r="O1608" t="s">
        <v>23</v>
      </c>
      <c r="P1608">
        <v>3</v>
      </c>
      <c r="Q1608" s="1">
        <v>-7.75</v>
      </c>
      <c r="R1608" s="2">
        <f t="shared" si="100"/>
        <v>27469</v>
      </c>
      <c r="S1608" s="1">
        <f t="shared" si="101"/>
        <v>22.968351519712364</v>
      </c>
      <c r="T1608" t="str">
        <f t="shared" si="102"/>
        <v>Expert</v>
      </c>
      <c r="U1608" t="str">
        <f t="shared" si="103"/>
        <v>Medium Impact</v>
      </c>
    </row>
    <row r="1609" spans="1:21" x14ac:dyDescent="0.3">
      <c r="A1609" t="s">
        <v>603</v>
      </c>
      <c r="B1609">
        <v>38</v>
      </c>
      <c r="C1609" t="s">
        <v>27</v>
      </c>
      <c r="D1609" t="s">
        <v>19</v>
      </c>
      <c r="E1609" t="s">
        <v>59</v>
      </c>
      <c r="F1609" t="s">
        <v>93</v>
      </c>
      <c r="G1609">
        <v>14</v>
      </c>
      <c r="H1609" t="s">
        <v>37</v>
      </c>
      <c r="I1609" t="s">
        <v>37</v>
      </c>
      <c r="J1609" t="s">
        <v>25</v>
      </c>
      <c r="K1609" s="2">
        <v>105945</v>
      </c>
      <c r="L1609" s="2">
        <v>117626</v>
      </c>
      <c r="M1609" t="s">
        <v>38</v>
      </c>
      <c r="N1609">
        <v>41</v>
      </c>
      <c r="O1609" t="s">
        <v>25</v>
      </c>
      <c r="P1609">
        <v>3</v>
      </c>
      <c r="Q1609" s="1">
        <v>-7.76</v>
      </c>
      <c r="R1609" s="2">
        <f t="shared" si="100"/>
        <v>11681</v>
      </c>
      <c r="S1609" s="1">
        <f t="shared" si="101"/>
        <v>11.025532115720422</v>
      </c>
      <c r="T1609" t="str">
        <f t="shared" si="102"/>
        <v>Intermediate</v>
      </c>
      <c r="U1609" t="str">
        <f t="shared" si="103"/>
        <v>Medium Impact</v>
      </c>
    </row>
    <row r="1610" spans="1:21" x14ac:dyDescent="0.3">
      <c r="A1610" t="s">
        <v>763</v>
      </c>
      <c r="B1610">
        <v>23</v>
      </c>
      <c r="C1610" t="s">
        <v>27</v>
      </c>
      <c r="D1610" t="s">
        <v>40</v>
      </c>
      <c r="E1610" t="s">
        <v>59</v>
      </c>
      <c r="F1610" t="s">
        <v>93</v>
      </c>
      <c r="G1610">
        <v>0</v>
      </c>
      <c r="H1610" t="s">
        <v>37</v>
      </c>
      <c r="I1610" t="s">
        <v>22</v>
      </c>
      <c r="J1610" t="s">
        <v>25</v>
      </c>
      <c r="K1610" s="2">
        <v>68751</v>
      </c>
      <c r="L1610" s="2">
        <v>79419</v>
      </c>
      <c r="M1610" t="s">
        <v>32</v>
      </c>
      <c r="N1610">
        <v>45</v>
      </c>
      <c r="O1610" t="s">
        <v>23</v>
      </c>
      <c r="P1610">
        <v>3</v>
      </c>
      <c r="Q1610" s="1">
        <v>-7.91</v>
      </c>
      <c r="R1610" s="2">
        <f t="shared" si="100"/>
        <v>10668</v>
      </c>
      <c r="S1610" s="1">
        <f t="shared" si="101"/>
        <v>15.516865209233321</v>
      </c>
      <c r="T1610" t="str">
        <f t="shared" si="102"/>
        <v>Beginner</v>
      </c>
      <c r="U1610" t="str">
        <f t="shared" si="103"/>
        <v>Low Impact</v>
      </c>
    </row>
    <row r="1611" spans="1:21" x14ac:dyDescent="0.3">
      <c r="A1611" t="s">
        <v>1820</v>
      </c>
      <c r="B1611">
        <v>59</v>
      </c>
      <c r="C1611" t="s">
        <v>27</v>
      </c>
      <c r="D1611" t="s">
        <v>19</v>
      </c>
      <c r="E1611" t="s">
        <v>35</v>
      </c>
      <c r="F1611" t="s">
        <v>98</v>
      </c>
      <c r="G1611">
        <v>37</v>
      </c>
      <c r="H1611" t="s">
        <v>37</v>
      </c>
      <c r="I1611" t="s">
        <v>22</v>
      </c>
      <c r="J1611" t="s">
        <v>23</v>
      </c>
      <c r="K1611" s="2">
        <v>69963</v>
      </c>
      <c r="L1611" s="2">
        <v>72092</v>
      </c>
      <c r="M1611" t="s">
        <v>32</v>
      </c>
      <c r="N1611">
        <v>43</v>
      </c>
      <c r="O1611" t="s">
        <v>25</v>
      </c>
      <c r="P1611">
        <v>9</v>
      </c>
      <c r="Q1611" s="1">
        <v>-7.95</v>
      </c>
      <c r="R1611" s="2">
        <f t="shared" si="100"/>
        <v>2129</v>
      </c>
      <c r="S1611" s="1">
        <f t="shared" si="101"/>
        <v>3.0430370338607551</v>
      </c>
      <c r="T1611" t="str">
        <f t="shared" si="102"/>
        <v>Expert</v>
      </c>
      <c r="U1611" t="str">
        <f t="shared" si="103"/>
        <v>Low Impact</v>
      </c>
    </row>
    <row r="1612" spans="1:21" x14ac:dyDescent="0.3">
      <c r="A1612" t="s">
        <v>1262</v>
      </c>
      <c r="B1612">
        <v>30</v>
      </c>
      <c r="C1612" t="s">
        <v>27</v>
      </c>
      <c r="D1612" t="s">
        <v>34</v>
      </c>
      <c r="E1612" t="s">
        <v>44</v>
      </c>
      <c r="F1612" t="s">
        <v>45</v>
      </c>
      <c r="G1612">
        <v>4</v>
      </c>
      <c r="H1612" t="s">
        <v>22</v>
      </c>
      <c r="I1612" t="s">
        <v>22</v>
      </c>
      <c r="J1612" t="s">
        <v>23</v>
      </c>
      <c r="K1612" s="2">
        <v>111867</v>
      </c>
      <c r="L1612" s="2">
        <v>155127</v>
      </c>
      <c r="M1612" t="s">
        <v>38</v>
      </c>
      <c r="N1612">
        <v>37</v>
      </c>
      <c r="O1612" t="s">
        <v>23</v>
      </c>
      <c r="P1612">
        <v>7</v>
      </c>
      <c r="Q1612" s="1">
        <v>-7.97</v>
      </c>
      <c r="R1612" s="2">
        <f t="shared" si="100"/>
        <v>43260</v>
      </c>
      <c r="S1612" s="1">
        <f t="shared" si="101"/>
        <v>38.670921719541958</v>
      </c>
      <c r="T1612" t="str">
        <f t="shared" si="102"/>
        <v>Beginner</v>
      </c>
      <c r="U1612" t="str">
        <f t="shared" si="103"/>
        <v>Medium Impact</v>
      </c>
    </row>
    <row r="1613" spans="1:21" x14ac:dyDescent="0.3">
      <c r="A1613" t="s">
        <v>282</v>
      </c>
      <c r="B1613">
        <v>38</v>
      </c>
      <c r="C1613" t="s">
        <v>54</v>
      </c>
      <c r="D1613" t="s">
        <v>28</v>
      </c>
      <c r="E1613" t="s">
        <v>51</v>
      </c>
      <c r="F1613" t="s">
        <v>130</v>
      </c>
      <c r="G1613">
        <v>13</v>
      </c>
      <c r="H1613" t="s">
        <v>22</v>
      </c>
      <c r="I1613" t="s">
        <v>37</v>
      </c>
      <c r="J1613" t="s">
        <v>25</v>
      </c>
      <c r="K1613" s="2">
        <v>81027</v>
      </c>
      <c r="L1613" s="2">
        <v>85741</v>
      </c>
      <c r="M1613" t="s">
        <v>38</v>
      </c>
      <c r="N1613">
        <v>36</v>
      </c>
      <c r="O1613" t="s">
        <v>23</v>
      </c>
      <c r="P1613">
        <v>5</v>
      </c>
      <c r="Q1613" s="1">
        <v>-7.97</v>
      </c>
      <c r="R1613" s="2">
        <f t="shared" si="100"/>
        <v>4714</v>
      </c>
      <c r="S1613" s="1">
        <f t="shared" si="101"/>
        <v>5.8178138151480372</v>
      </c>
      <c r="T1613" t="str">
        <f t="shared" si="102"/>
        <v>Intermediate</v>
      </c>
      <c r="U1613" t="str">
        <f t="shared" si="103"/>
        <v>Medium Impact</v>
      </c>
    </row>
    <row r="1614" spans="1:21" x14ac:dyDescent="0.3">
      <c r="A1614" t="s">
        <v>848</v>
      </c>
      <c r="B1614">
        <v>22</v>
      </c>
      <c r="C1614" t="s">
        <v>18</v>
      </c>
      <c r="D1614" t="s">
        <v>19</v>
      </c>
      <c r="E1614" t="s">
        <v>44</v>
      </c>
      <c r="F1614" t="s">
        <v>57</v>
      </c>
      <c r="G1614">
        <v>0</v>
      </c>
      <c r="H1614" t="s">
        <v>22</v>
      </c>
      <c r="I1614" t="s">
        <v>37</v>
      </c>
      <c r="J1614" t="s">
        <v>23</v>
      </c>
      <c r="K1614" s="2">
        <v>67344</v>
      </c>
      <c r="L1614" s="2">
        <v>64736</v>
      </c>
      <c r="M1614" t="s">
        <v>38</v>
      </c>
      <c r="N1614">
        <v>52</v>
      </c>
      <c r="O1614" t="s">
        <v>23</v>
      </c>
      <c r="P1614">
        <v>4</v>
      </c>
      <c r="Q1614" s="1">
        <v>-8.08</v>
      </c>
      <c r="R1614" s="2">
        <f t="shared" si="100"/>
        <v>-2608</v>
      </c>
      <c r="S1614" s="1">
        <f t="shared" si="101"/>
        <v>-3.8726538370159185</v>
      </c>
      <c r="T1614" t="str">
        <f t="shared" si="102"/>
        <v>Beginner</v>
      </c>
      <c r="U1614" t="str">
        <f t="shared" si="103"/>
        <v>Medium Impact</v>
      </c>
    </row>
    <row r="1615" spans="1:21" x14ac:dyDescent="0.3">
      <c r="A1615" t="s">
        <v>1547</v>
      </c>
      <c r="B1615">
        <v>37</v>
      </c>
      <c r="C1615" t="s">
        <v>54</v>
      </c>
      <c r="D1615" t="s">
        <v>19</v>
      </c>
      <c r="E1615" t="s">
        <v>41</v>
      </c>
      <c r="F1615" t="s">
        <v>42</v>
      </c>
      <c r="G1615">
        <v>15</v>
      </c>
      <c r="H1615" t="s">
        <v>22</v>
      </c>
      <c r="I1615" t="s">
        <v>37</v>
      </c>
      <c r="J1615" t="s">
        <v>23</v>
      </c>
      <c r="K1615" s="2">
        <v>64293</v>
      </c>
      <c r="L1615" s="2">
        <v>58173</v>
      </c>
      <c r="M1615" t="s">
        <v>38</v>
      </c>
      <c r="N1615">
        <v>48</v>
      </c>
      <c r="O1615" t="s">
        <v>23</v>
      </c>
      <c r="P1615">
        <v>5</v>
      </c>
      <c r="Q1615" s="1">
        <v>-8.08</v>
      </c>
      <c r="R1615" s="2">
        <f t="shared" si="100"/>
        <v>-6120</v>
      </c>
      <c r="S1615" s="1">
        <f t="shared" si="101"/>
        <v>-9.5189211889319214</v>
      </c>
      <c r="T1615" t="str">
        <f t="shared" si="102"/>
        <v>Expert</v>
      </c>
      <c r="U1615" t="str">
        <f t="shared" si="103"/>
        <v>Medium Impact</v>
      </c>
    </row>
    <row r="1616" spans="1:21" x14ac:dyDescent="0.3">
      <c r="A1616" t="s">
        <v>415</v>
      </c>
      <c r="B1616">
        <v>42</v>
      </c>
      <c r="C1616" t="s">
        <v>18</v>
      </c>
      <c r="D1616" t="s">
        <v>19</v>
      </c>
      <c r="E1616" t="s">
        <v>59</v>
      </c>
      <c r="F1616" t="s">
        <v>93</v>
      </c>
      <c r="G1616">
        <v>19</v>
      </c>
      <c r="H1616" t="s">
        <v>37</v>
      </c>
      <c r="I1616" t="s">
        <v>22</v>
      </c>
      <c r="J1616" t="s">
        <v>25</v>
      </c>
      <c r="K1616" s="2">
        <v>58228</v>
      </c>
      <c r="L1616" s="2">
        <v>63832</v>
      </c>
      <c r="M1616" t="s">
        <v>32</v>
      </c>
      <c r="N1616">
        <v>51</v>
      </c>
      <c r="O1616" t="s">
        <v>23</v>
      </c>
      <c r="P1616">
        <v>5</v>
      </c>
      <c r="Q1616" s="1">
        <v>-8.11</v>
      </c>
      <c r="R1616" s="2">
        <f t="shared" si="100"/>
        <v>5604</v>
      </c>
      <c r="S1616" s="1">
        <f t="shared" si="101"/>
        <v>9.6242357628632274</v>
      </c>
      <c r="T1616" t="str">
        <f t="shared" si="102"/>
        <v>Expert</v>
      </c>
      <c r="U1616" t="str">
        <f t="shared" si="103"/>
        <v>Low Impact</v>
      </c>
    </row>
    <row r="1617" spans="1:21" x14ac:dyDescent="0.3">
      <c r="A1617" t="s">
        <v>1410</v>
      </c>
      <c r="B1617">
        <v>46</v>
      </c>
      <c r="C1617" t="s">
        <v>18</v>
      </c>
      <c r="D1617" t="s">
        <v>28</v>
      </c>
      <c r="E1617" t="s">
        <v>20</v>
      </c>
      <c r="F1617" t="s">
        <v>21</v>
      </c>
      <c r="G1617">
        <v>20</v>
      </c>
      <c r="H1617" t="s">
        <v>31</v>
      </c>
      <c r="I1617" t="s">
        <v>31</v>
      </c>
      <c r="J1617" t="s">
        <v>25</v>
      </c>
      <c r="K1617" s="2">
        <v>67905</v>
      </c>
      <c r="L1617" s="2">
        <v>73593</v>
      </c>
      <c r="M1617" t="s">
        <v>32</v>
      </c>
      <c r="N1617">
        <v>49</v>
      </c>
      <c r="O1617" t="s">
        <v>23</v>
      </c>
      <c r="P1617">
        <v>7</v>
      </c>
      <c r="Q1617" s="1">
        <v>-8.2100000000000009</v>
      </c>
      <c r="R1617" s="2">
        <f t="shared" si="100"/>
        <v>5688</v>
      </c>
      <c r="S1617" s="1">
        <f t="shared" si="101"/>
        <v>8.3764082173624921</v>
      </c>
      <c r="T1617" t="str">
        <f t="shared" si="102"/>
        <v>Expert</v>
      </c>
      <c r="U1617" t="str">
        <f t="shared" si="103"/>
        <v>Low Impact</v>
      </c>
    </row>
    <row r="1618" spans="1:21" x14ac:dyDescent="0.3">
      <c r="A1618" t="s">
        <v>92</v>
      </c>
      <c r="B1618">
        <v>51</v>
      </c>
      <c r="C1618" t="s">
        <v>27</v>
      </c>
      <c r="D1618" t="s">
        <v>19</v>
      </c>
      <c r="E1618" t="s">
        <v>59</v>
      </c>
      <c r="F1618" t="s">
        <v>93</v>
      </c>
      <c r="G1618">
        <v>29</v>
      </c>
      <c r="H1618" t="s">
        <v>37</v>
      </c>
      <c r="I1618" t="s">
        <v>22</v>
      </c>
      <c r="J1618" t="s">
        <v>25</v>
      </c>
      <c r="K1618" s="2">
        <v>69790</v>
      </c>
      <c r="L1618" s="2">
        <v>73122</v>
      </c>
      <c r="M1618" t="s">
        <v>32</v>
      </c>
      <c r="N1618">
        <v>50</v>
      </c>
      <c r="O1618" t="s">
        <v>25</v>
      </c>
      <c r="P1618">
        <v>5</v>
      </c>
      <c r="Q1618" s="1">
        <v>-8.2899999999999991</v>
      </c>
      <c r="R1618" s="2">
        <f t="shared" si="100"/>
        <v>3332</v>
      </c>
      <c r="S1618" s="1">
        <f t="shared" si="101"/>
        <v>4.7743229689067208</v>
      </c>
      <c r="T1618" t="str">
        <f t="shared" si="102"/>
        <v>Expert</v>
      </c>
      <c r="U1618" t="str">
        <f t="shared" si="103"/>
        <v>Low Impact</v>
      </c>
    </row>
    <row r="1619" spans="1:21" x14ac:dyDescent="0.3">
      <c r="A1619" t="s">
        <v>329</v>
      </c>
      <c r="B1619">
        <v>36</v>
      </c>
      <c r="C1619" t="s">
        <v>54</v>
      </c>
      <c r="D1619" t="s">
        <v>28</v>
      </c>
      <c r="E1619" t="s">
        <v>35</v>
      </c>
      <c r="F1619" t="s">
        <v>98</v>
      </c>
      <c r="G1619">
        <v>11</v>
      </c>
      <c r="H1619" t="s">
        <v>22</v>
      </c>
      <c r="I1619" t="s">
        <v>22</v>
      </c>
      <c r="J1619" t="s">
        <v>23</v>
      </c>
      <c r="K1619" s="2">
        <v>108612</v>
      </c>
      <c r="L1619" s="2">
        <v>118116</v>
      </c>
      <c r="M1619" t="s">
        <v>38</v>
      </c>
      <c r="N1619">
        <v>48</v>
      </c>
      <c r="O1619" t="s">
        <v>25</v>
      </c>
      <c r="P1619">
        <v>7</v>
      </c>
      <c r="Q1619" s="1">
        <v>-8.33</v>
      </c>
      <c r="R1619" s="2">
        <f t="shared" si="100"/>
        <v>9504</v>
      </c>
      <c r="S1619" s="1">
        <f t="shared" si="101"/>
        <v>8.7504143188597947</v>
      </c>
      <c r="T1619" t="str">
        <f t="shared" si="102"/>
        <v>Intermediate</v>
      </c>
      <c r="U1619" t="str">
        <f t="shared" si="103"/>
        <v>Medium Impact</v>
      </c>
    </row>
    <row r="1620" spans="1:21" x14ac:dyDescent="0.3">
      <c r="A1620" t="s">
        <v>1853</v>
      </c>
      <c r="B1620">
        <v>33</v>
      </c>
      <c r="C1620" t="s">
        <v>18</v>
      </c>
      <c r="D1620" t="s">
        <v>40</v>
      </c>
      <c r="E1620" t="s">
        <v>20</v>
      </c>
      <c r="F1620" t="s">
        <v>21</v>
      </c>
      <c r="G1620">
        <v>10</v>
      </c>
      <c r="H1620" t="s">
        <v>37</v>
      </c>
      <c r="I1620" t="s">
        <v>37</v>
      </c>
      <c r="J1620" t="s">
        <v>23</v>
      </c>
      <c r="K1620" s="2">
        <v>73016</v>
      </c>
      <c r="L1620" s="2">
        <v>85706</v>
      </c>
      <c r="M1620" t="s">
        <v>38</v>
      </c>
      <c r="N1620">
        <v>42</v>
      </c>
      <c r="O1620" t="s">
        <v>25</v>
      </c>
      <c r="P1620">
        <v>5</v>
      </c>
      <c r="Q1620" s="1">
        <v>-8.43</v>
      </c>
      <c r="R1620" s="2">
        <f t="shared" si="100"/>
        <v>12690</v>
      </c>
      <c r="S1620" s="1">
        <f t="shared" si="101"/>
        <v>17.379752383039335</v>
      </c>
      <c r="T1620" t="str">
        <f t="shared" si="102"/>
        <v>Intermediate</v>
      </c>
      <c r="U1620" t="str">
        <f t="shared" si="103"/>
        <v>Medium Impact</v>
      </c>
    </row>
    <row r="1621" spans="1:21" x14ac:dyDescent="0.3">
      <c r="A1621" t="s">
        <v>704</v>
      </c>
      <c r="B1621">
        <v>49</v>
      </c>
      <c r="C1621" t="s">
        <v>18</v>
      </c>
      <c r="D1621" t="s">
        <v>19</v>
      </c>
      <c r="E1621" t="s">
        <v>35</v>
      </c>
      <c r="F1621" t="s">
        <v>98</v>
      </c>
      <c r="G1621">
        <v>25</v>
      </c>
      <c r="H1621" t="s">
        <v>22</v>
      </c>
      <c r="I1621" t="s">
        <v>22</v>
      </c>
      <c r="J1621" t="s">
        <v>23</v>
      </c>
      <c r="K1621" s="2">
        <v>87616</v>
      </c>
      <c r="L1621" s="2">
        <v>104440</v>
      </c>
      <c r="M1621" t="s">
        <v>38</v>
      </c>
      <c r="N1621">
        <v>36</v>
      </c>
      <c r="O1621" t="s">
        <v>25</v>
      </c>
      <c r="P1621">
        <v>8</v>
      </c>
      <c r="Q1621" s="1">
        <v>-8.4600000000000009</v>
      </c>
      <c r="R1621" s="2">
        <f t="shared" si="100"/>
        <v>16824</v>
      </c>
      <c r="S1621" s="1">
        <f t="shared" si="101"/>
        <v>19.201972242512781</v>
      </c>
      <c r="T1621" t="str">
        <f t="shared" si="102"/>
        <v>Expert</v>
      </c>
      <c r="U1621" t="str">
        <f t="shared" si="103"/>
        <v>Medium Impact</v>
      </c>
    </row>
    <row r="1622" spans="1:21" x14ac:dyDescent="0.3">
      <c r="A1622" t="s">
        <v>1077</v>
      </c>
      <c r="B1622">
        <v>51</v>
      </c>
      <c r="C1622" t="s">
        <v>54</v>
      </c>
      <c r="D1622" t="s">
        <v>28</v>
      </c>
      <c r="E1622" t="s">
        <v>35</v>
      </c>
      <c r="F1622" t="s">
        <v>98</v>
      </c>
      <c r="G1622">
        <v>28</v>
      </c>
      <c r="H1622" t="s">
        <v>31</v>
      </c>
      <c r="I1622" t="s">
        <v>22</v>
      </c>
      <c r="J1622" t="s">
        <v>25</v>
      </c>
      <c r="K1622" s="2">
        <v>51304</v>
      </c>
      <c r="L1622" s="2">
        <v>56119</v>
      </c>
      <c r="M1622" t="s">
        <v>32</v>
      </c>
      <c r="N1622">
        <v>42</v>
      </c>
      <c r="O1622" t="s">
        <v>23</v>
      </c>
      <c r="P1622">
        <v>3</v>
      </c>
      <c r="Q1622" s="1">
        <v>-8.4600000000000009</v>
      </c>
      <c r="R1622" s="2">
        <f t="shared" si="100"/>
        <v>4815</v>
      </c>
      <c r="S1622" s="1">
        <f t="shared" si="101"/>
        <v>9.3852331202245445</v>
      </c>
      <c r="T1622" t="str">
        <f t="shared" si="102"/>
        <v>Expert</v>
      </c>
      <c r="U1622" t="str">
        <f t="shared" si="103"/>
        <v>Low Impact</v>
      </c>
    </row>
    <row r="1623" spans="1:21" x14ac:dyDescent="0.3">
      <c r="A1623" t="s">
        <v>1085</v>
      </c>
      <c r="B1623">
        <v>45</v>
      </c>
      <c r="C1623" t="s">
        <v>27</v>
      </c>
      <c r="D1623" t="s">
        <v>34</v>
      </c>
      <c r="E1623" t="s">
        <v>51</v>
      </c>
      <c r="F1623" t="s">
        <v>130</v>
      </c>
      <c r="G1623">
        <v>22</v>
      </c>
      <c r="H1623" t="s">
        <v>31</v>
      </c>
      <c r="I1623" t="s">
        <v>37</v>
      </c>
      <c r="J1623" t="s">
        <v>25</v>
      </c>
      <c r="K1623" s="2">
        <v>35544</v>
      </c>
      <c r="L1623" s="2">
        <v>36391</v>
      </c>
      <c r="M1623" t="s">
        <v>38</v>
      </c>
      <c r="N1623">
        <v>40</v>
      </c>
      <c r="O1623" t="s">
        <v>23</v>
      </c>
      <c r="P1623">
        <v>8</v>
      </c>
      <c r="Q1623" s="1">
        <v>-8.4600000000000009</v>
      </c>
      <c r="R1623" s="2">
        <f t="shared" si="100"/>
        <v>847</v>
      </c>
      <c r="S1623" s="1">
        <f t="shared" si="101"/>
        <v>2.3829619626378573</v>
      </c>
      <c r="T1623" t="str">
        <f t="shared" si="102"/>
        <v>Expert</v>
      </c>
      <c r="U1623" t="str">
        <f t="shared" si="103"/>
        <v>Medium Impact</v>
      </c>
    </row>
    <row r="1624" spans="1:21" x14ac:dyDescent="0.3">
      <c r="A1624" t="s">
        <v>1960</v>
      </c>
      <c r="B1624">
        <v>24</v>
      </c>
      <c r="C1624" t="s">
        <v>18</v>
      </c>
      <c r="D1624" t="s">
        <v>28</v>
      </c>
      <c r="E1624" t="s">
        <v>29</v>
      </c>
      <c r="F1624" t="s">
        <v>104</v>
      </c>
      <c r="G1624">
        <v>0</v>
      </c>
      <c r="H1624" t="s">
        <v>37</v>
      </c>
      <c r="I1624" t="s">
        <v>22</v>
      </c>
      <c r="J1624" t="s">
        <v>23</v>
      </c>
      <c r="K1624" s="2">
        <v>55727</v>
      </c>
      <c r="L1624" s="2">
        <v>57394</v>
      </c>
      <c r="M1624" t="s">
        <v>32</v>
      </c>
      <c r="N1624">
        <v>40</v>
      </c>
      <c r="O1624" t="s">
        <v>25</v>
      </c>
      <c r="P1624">
        <v>6</v>
      </c>
      <c r="Q1624" s="1">
        <v>-8.48</v>
      </c>
      <c r="R1624" s="2">
        <f t="shared" si="100"/>
        <v>1667</v>
      </c>
      <c r="S1624" s="1">
        <f t="shared" si="101"/>
        <v>2.9913686363881062</v>
      </c>
      <c r="T1624" t="str">
        <f t="shared" si="102"/>
        <v>Beginner</v>
      </c>
      <c r="U1624" t="str">
        <f t="shared" si="103"/>
        <v>Low Impact</v>
      </c>
    </row>
    <row r="1625" spans="1:21" x14ac:dyDescent="0.3">
      <c r="A1625" t="s">
        <v>1371</v>
      </c>
      <c r="B1625">
        <v>29</v>
      </c>
      <c r="C1625" t="s">
        <v>54</v>
      </c>
      <c r="D1625" t="s">
        <v>34</v>
      </c>
      <c r="E1625" t="s">
        <v>20</v>
      </c>
      <c r="F1625" t="s">
        <v>21</v>
      </c>
      <c r="G1625">
        <v>6</v>
      </c>
      <c r="H1625" t="s">
        <v>22</v>
      </c>
      <c r="I1625" t="s">
        <v>22</v>
      </c>
      <c r="J1625" t="s">
        <v>23</v>
      </c>
      <c r="K1625" s="2">
        <v>106772</v>
      </c>
      <c r="L1625" s="2">
        <v>110638</v>
      </c>
      <c r="M1625" t="s">
        <v>24</v>
      </c>
      <c r="N1625">
        <v>36</v>
      </c>
      <c r="O1625" t="s">
        <v>25</v>
      </c>
      <c r="P1625">
        <v>5</v>
      </c>
      <c r="Q1625" s="1">
        <v>-8.49</v>
      </c>
      <c r="R1625" s="2">
        <f t="shared" si="100"/>
        <v>3866</v>
      </c>
      <c r="S1625" s="1">
        <f t="shared" si="101"/>
        <v>3.6207994605327238</v>
      </c>
      <c r="T1625" t="str">
        <f t="shared" si="102"/>
        <v>Intermediate</v>
      </c>
      <c r="U1625" t="str">
        <f t="shared" si="103"/>
        <v>High Impact</v>
      </c>
    </row>
    <row r="1626" spans="1:21" x14ac:dyDescent="0.3">
      <c r="A1626" t="s">
        <v>437</v>
      </c>
      <c r="B1626">
        <v>56</v>
      </c>
      <c r="C1626" t="s">
        <v>54</v>
      </c>
      <c r="D1626" t="s">
        <v>19</v>
      </c>
      <c r="E1626" t="s">
        <v>44</v>
      </c>
      <c r="F1626" t="s">
        <v>57</v>
      </c>
      <c r="G1626">
        <v>31</v>
      </c>
      <c r="H1626" t="s">
        <v>31</v>
      </c>
      <c r="I1626" t="s">
        <v>31</v>
      </c>
      <c r="J1626" t="s">
        <v>23</v>
      </c>
      <c r="K1626" s="2">
        <v>75096</v>
      </c>
      <c r="L1626" s="2">
        <v>79673</v>
      </c>
      <c r="M1626" t="s">
        <v>32</v>
      </c>
      <c r="N1626">
        <v>45</v>
      </c>
      <c r="O1626" t="s">
        <v>25</v>
      </c>
      <c r="P1626">
        <v>3</v>
      </c>
      <c r="Q1626" s="1">
        <v>-8.52</v>
      </c>
      <c r="R1626" s="2">
        <f t="shared" si="100"/>
        <v>4577</v>
      </c>
      <c r="S1626" s="1">
        <f t="shared" si="101"/>
        <v>6.0948652391605416</v>
      </c>
      <c r="T1626" t="str">
        <f t="shared" si="102"/>
        <v>Expert</v>
      </c>
      <c r="U1626" t="str">
        <f t="shared" si="103"/>
        <v>Low Impact</v>
      </c>
    </row>
    <row r="1627" spans="1:21" x14ac:dyDescent="0.3">
      <c r="A1627" t="s">
        <v>1149</v>
      </c>
      <c r="B1627">
        <v>54</v>
      </c>
      <c r="C1627" t="s">
        <v>27</v>
      </c>
      <c r="D1627" t="s">
        <v>40</v>
      </c>
      <c r="E1627" t="s">
        <v>35</v>
      </c>
      <c r="F1627" t="s">
        <v>98</v>
      </c>
      <c r="G1627">
        <v>31</v>
      </c>
      <c r="H1627" t="s">
        <v>37</v>
      </c>
      <c r="I1627" t="s">
        <v>37</v>
      </c>
      <c r="J1627" t="s">
        <v>23</v>
      </c>
      <c r="K1627" s="2">
        <v>52301</v>
      </c>
      <c r="L1627" s="2">
        <v>55224</v>
      </c>
      <c r="M1627" t="s">
        <v>38</v>
      </c>
      <c r="N1627">
        <v>52</v>
      </c>
      <c r="O1627" t="s">
        <v>23</v>
      </c>
      <c r="P1627">
        <v>5</v>
      </c>
      <c r="Q1627" s="1">
        <v>-8.57</v>
      </c>
      <c r="R1627" s="2">
        <f t="shared" si="100"/>
        <v>2923</v>
      </c>
      <c r="S1627" s="1">
        <f t="shared" si="101"/>
        <v>5.5888032733599742</v>
      </c>
      <c r="T1627" t="str">
        <f t="shared" si="102"/>
        <v>Expert</v>
      </c>
      <c r="U1627" t="str">
        <f t="shared" si="103"/>
        <v>Medium Impact</v>
      </c>
    </row>
    <row r="1628" spans="1:21" x14ac:dyDescent="0.3">
      <c r="A1628" t="s">
        <v>797</v>
      </c>
      <c r="B1628">
        <v>28</v>
      </c>
      <c r="C1628" t="s">
        <v>27</v>
      </c>
      <c r="D1628" t="s">
        <v>34</v>
      </c>
      <c r="E1628" t="s">
        <v>41</v>
      </c>
      <c r="F1628" t="s">
        <v>49</v>
      </c>
      <c r="G1628">
        <v>4</v>
      </c>
      <c r="H1628" t="s">
        <v>31</v>
      </c>
      <c r="I1628" t="s">
        <v>37</v>
      </c>
      <c r="J1628" t="s">
        <v>23</v>
      </c>
      <c r="K1628" s="2">
        <v>118422</v>
      </c>
      <c r="L1628" s="2">
        <v>120781</v>
      </c>
      <c r="M1628" t="s">
        <v>38</v>
      </c>
      <c r="N1628">
        <v>40</v>
      </c>
      <c r="O1628" t="s">
        <v>23</v>
      </c>
      <c r="P1628">
        <v>8</v>
      </c>
      <c r="Q1628" s="1">
        <v>-8.6</v>
      </c>
      <c r="R1628" s="2">
        <f t="shared" si="100"/>
        <v>2359</v>
      </c>
      <c r="S1628" s="1">
        <f t="shared" si="101"/>
        <v>1.9920285082163787</v>
      </c>
      <c r="T1628" t="str">
        <f t="shared" si="102"/>
        <v>Beginner</v>
      </c>
      <c r="U1628" t="str">
        <f t="shared" si="103"/>
        <v>Medium Impact</v>
      </c>
    </row>
    <row r="1629" spans="1:21" x14ac:dyDescent="0.3">
      <c r="A1629" t="s">
        <v>591</v>
      </c>
      <c r="B1629">
        <v>26</v>
      </c>
      <c r="C1629" t="s">
        <v>54</v>
      </c>
      <c r="D1629" t="s">
        <v>34</v>
      </c>
      <c r="E1629" t="s">
        <v>20</v>
      </c>
      <c r="F1629" t="s">
        <v>21</v>
      </c>
      <c r="G1629">
        <v>1</v>
      </c>
      <c r="H1629" t="s">
        <v>31</v>
      </c>
      <c r="I1629" t="s">
        <v>22</v>
      </c>
      <c r="J1629" t="s">
        <v>25</v>
      </c>
      <c r="K1629" s="2">
        <v>55917</v>
      </c>
      <c r="L1629" s="2">
        <v>57780</v>
      </c>
      <c r="M1629" t="s">
        <v>32</v>
      </c>
      <c r="N1629">
        <v>54</v>
      </c>
      <c r="O1629" t="s">
        <v>25</v>
      </c>
      <c r="P1629">
        <v>3</v>
      </c>
      <c r="Q1629" s="1">
        <v>-8.61</v>
      </c>
      <c r="R1629" s="2">
        <f t="shared" si="100"/>
        <v>1863</v>
      </c>
      <c r="S1629" s="1">
        <f t="shared" si="101"/>
        <v>3.3317238049251565</v>
      </c>
      <c r="T1629" t="str">
        <f t="shared" si="102"/>
        <v>Beginner</v>
      </c>
      <c r="U1629" t="str">
        <f t="shared" si="103"/>
        <v>Low Impact</v>
      </c>
    </row>
    <row r="1630" spans="1:21" x14ac:dyDescent="0.3">
      <c r="A1630" t="s">
        <v>1216</v>
      </c>
      <c r="B1630">
        <v>32</v>
      </c>
      <c r="C1630" t="s">
        <v>27</v>
      </c>
      <c r="D1630" t="s">
        <v>34</v>
      </c>
      <c r="E1630" t="s">
        <v>44</v>
      </c>
      <c r="F1630" t="s">
        <v>47</v>
      </c>
      <c r="G1630">
        <v>6</v>
      </c>
      <c r="H1630" t="s">
        <v>31</v>
      </c>
      <c r="I1630" t="s">
        <v>22</v>
      </c>
      <c r="J1630" t="s">
        <v>25</v>
      </c>
      <c r="K1630" s="2">
        <v>59299</v>
      </c>
      <c r="L1630" s="2">
        <v>62777</v>
      </c>
      <c r="M1630" t="s">
        <v>32</v>
      </c>
      <c r="N1630">
        <v>52</v>
      </c>
      <c r="O1630" t="s">
        <v>23</v>
      </c>
      <c r="P1630">
        <v>4</v>
      </c>
      <c r="Q1630" s="1">
        <v>-8.6300000000000008</v>
      </c>
      <c r="R1630" s="2">
        <f t="shared" si="100"/>
        <v>3478</v>
      </c>
      <c r="S1630" s="1">
        <f t="shared" si="101"/>
        <v>5.8651916558457984</v>
      </c>
      <c r="T1630" t="str">
        <f t="shared" si="102"/>
        <v>Intermediate</v>
      </c>
      <c r="U1630" t="str">
        <f t="shared" si="103"/>
        <v>Low Impact</v>
      </c>
    </row>
    <row r="1631" spans="1:21" x14ac:dyDescent="0.3">
      <c r="A1631" t="s">
        <v>1334</v>
      </c>
      <c r="B1631">
        <v>48</v>
      </c>
      <c r="C1631" t="s">
        <v>27</v>
      </c>
      <c r="D1631" t="s">
        <v>40</v>
      </c>
      <c r="E1631" t="s">
        <v>51</v>
      </c>
      <c r="F1631" t="s">
        <v>130</v>
      </c>
      <c r="G1631">
        <v>25</v>
      </c>
      <c r="H1631" t="s">
        <v>37</v>
      </c>
      <c r="I1631" t="s">
        <v>22</v>
      </c>
      <c r="J1631" t="s">
        <v>25</v>
      </c>
      <c r="K1631" s="2">
        <v>32108</v>
      </c>
      <c r="L1631" s="2">
        <v>36007</v>
      </c>
      <c r="M1631" t="s">
        <v>32</v>
      </c>
      <c r="N1631">
        <v>48</v>
      </c>
      <c r="O1631" t="s">
        <v>23</v>
      </c>
      <c r="P1631">
        <v>9</v>
      </c>
      <c r="Q1631" s="1">
        <v>-8.65</v>
      </c>
      <c r="R1631" s="2">
        <f t="shared" si="100"/>
        <v>3899</v>
      </c>
      <c r="S1631" s="1">
        <f t="shared" si="101"/>
        <v>12.143391055188738</v>
      </c>
      <c r="T1631" t="str">
        <f t="shared" si="102"/>
        <v>Expert</v>
      </c>
      <c r="U1631" t="str">
        <f t="shared" si="103"/>
        <v>Low Impact</v>
      </c>
    </row>
    <row r="1632" spans="1:21" x14ac:dyDescent="0.3">
      <c r="A1632" t="s">
        <v>1054</v>
      </c>
      <c r="B1632">
        <v>57</v>
      </c>
      <c r="C1632" t="s">
        <v>54</v>
      </c>
      <c r="D1632" t="s">
        <v>19</v>
      </c>
      <c r="E1632" t="s">
        <v>29</v>
      </c>
      <c r="F1632" t="s">
        <v>30</v>
      </c>
      <c r="G1632">
        <v>32</v>
      </c>
      <c r="H1632" t="s">
        <v>37</v>
      </c>
      <c r="I1632" t="s">
        <v>31</v>
      </c>
      <c r="J1632" t="s">
        <v>23</v>
      </c>
      <c r="K1632" s="2">
        <v>80508</v>
      </c>
      <c r="L1632" s="2">
        <v>79741</v>
      </c>
      <c r="M1632" t="s">
        <v>32</v>
      </c>
      <c r="N1632">
        <v>50</v>
      </c>
      <c r="O1632" t="s">
        <v>23</v>
      </c>
      <c r="P1632">
        <v>8</v>
      </c>
      <c r="Q1632" s="1">
        <v>-8.6999999999999993</v>
      </c>
      <c r="R1632" s="2">
        <f t="shared" si="100"/>
        <v>-767</v>
      </c>
      <c r="S1632" s="1">
        <f t="shared" si="101"/>
        <v>-0.95270035275997411</v>
      </c>
      <c r="T1632" t="str">
        <f t="shared" si="102"/>
        <v>Expert</v>
      </c>
      <c r="U1632" t="str">
        <f t="shared" si="103"/>
        <v>Low Impact</v>
      </c>
    </row>
    <row r="1633" spans="1:21" x14ac:dyDescent="0.3">
      <c r="A1633" t="s">
        <v>644</v>
      </c>
      <c r="B1633">
        <v>23</v>
      </c>
      <c r="C1633" t="s">
        <v>27</v>
      </c>
      <c r="D1633" t="s">
        <v>19</v>
      </c>
      <c r="E1633" t="s">
        <v>20</v>
      </c>
      <c r="F1633" t="s">
        <v>88</v>
      </c>
      <c r="G1633">
        <v>0</v>
      </c>
      <c r="H1633" t="s">
        <v>37</v>
      </c>
      <c r="I1633" t="s">
        <v>31</v>
      </c>
      <c r="J1633" t="s">
        <v>23</v>
      </c>
      <c r="K1633" s="2">
        <v>71609</v>
      </c>
      <c r="L1633" s="2">
        <v>75341</v>
      </c>
      <c r="M1633" t="s">
        <v>32</v>
      </c>
      <c r="N1633">
        <v>51</v>
      </c>
      <c r="O1633" t="s">
        <v>25</v>
      </c>
      <c r="P1633">
        <v>4</v>
      </c>
      <c r="Q1633" s="1">
        <v>-8.7200000000000006</v>
      </c>
      <c r="R1633" s="2">
        <f t="shared" si="100"/>
        <v>3732</v>
      </c>
      <c r="S1633" s="1">
        <f t="shared" si="101"/>
        <v>5.2116354089569743</v>
      </c>
      <c r="T1633" t="str">
        <f t="shared" si="102"/>
        <v>Beginner</v>
      </c>
      <c r="U1633" t="str">
        <f t="shared" si="103"/>
        <v>Low Impact</v>
      </c>
    </row>
    <row r="1634" spans="1:21" x14ac:dyDescent="0.3">
      <c r="A1634" t="s">
        <v>1963</v>
      </c>
      <c r="B1634">
        <v>32</v>
      </c>
      <c r="C1634" t="s">
        <v>54</v>
      </c>
      <c r="D1634" t="s">
        <v>19</v>
      </c>
      <c r="E1634" t="s">
        <v>59</v>
      </c>
      <c r="F1634" t="s">
        <v>60</v>
      </c>
      <c r="G1634">
        <v>7</v>
      </c>
      <c r="H1634" t="s">
        <v>22</v>
      </c>
      <c r="I1634" t="s">
        <v>22</v>
      </c>
      <c r="J1634" t="s">
        <v>25</v>
      </c>
      <c r="K1634" s="2">
        <v>34507</v>
      </c>
      <c r="L1634" s="2">
        <v>38929</v>
      </c>
      <c r="M1634" t="s">
        <v>24</v>
      </c>
      <c r="N1634">
        <v>45</v>
      </c>
      <c r="O1634" t="s">
        <v>23</v>
      </c>
      <c r="P1634">
        <v>5</v>
      </c>
      <c r="Q1634" s="1">
        <v>-8.77</v>
      </c>
      <c r="R1634" s="2">
        <f t="shared" si="100"/>
        <v>4422</v>
      </c>
      <c r="S1634" s="1">
        <f t="shared" si="101"/>
        <v>12.814791201785145</v>
      </c>
      <c r="T1634" t="str">
        <f t="shared" si="102"/>
        <v>Intermediate</v>
      </c>
      <c r="U1634" t="str">
        <f t="shared" si="103"/>
        <v>High Impact</v>
      </c>
    </row>
    <row r="1635" spans="1:21" x14ac:dyDescent="0.3">
      <c r="A1635" t="s">
        <v>236</v>
      </c>
      <c r="B1635">
        <v>38</v>
      </c>
      <c r="C1635" t="s">
        <v>54</v>
      </c>
      <c r="D1635" t="s">
        <v>28</v>
      </c>
      <c r="E1635" t="s">
        <v>51</v>
      </c>
      <c r="F1635" t="s">
        <v>75</v>
      </c>
      <c r="G1635">
        <v>15</v>
      </c>
      <c r="H1635" t="s">
        <v>31</v>
      </c>
      <c r="I1635" t="s">
        <v>37</v>
      </c>
      <c r="J1635" t="s">
        <v>23</v>
      </c>
      <c r="K1635" s="2">
        <v>66408</v>
      </c>
      <c r="L1635" s="2">
        <v>67530</v>
      </c>
      <c r="M1635" t="s">
        <v>38</v>
      </c>
      <c r="N1635">
        <v>50</v>
      </c>
      <c r="O1635" t="s">
        <v>25</v>
      </c>
      <c r="P1635">
        <v>5</v>
      </c>
      <c r="Q1635" s="1">
        <v>-8.89</v>
      </c>
      <c r="R1635" s="2">
        <f t="shared" si="100"/>
        <v>1122</v>
      </c>
      <c r="S1635" s="1">
        <f t="shared" si="101"/>
        <v>1.6895554752439466</v>
      </c>
      <c r="T1635" t="str">
        <f t="shared" si="102"/>
        <v>Expert</v>
      </c>
      <c r="U1635" t="str">
        <f t="shared" si="103"/>
        <v>Medium Impact</v>
      </c>
    </row>
    <row r="1636" spans="1:21" x14ac:dyDescent="0.3">
      <c r="A1636" t="s">
        <v>332</v>
      </c>
      <c r="B1636">
        <v>52</v>
      </c>
      <c r="C1636" t="s">
        <v>18</v>
      </c>
      <c r="D1636" t="s">
        <v>34</v>
      </c>
      <c r="E1636" t="s">
        <v>35</v>
      </c>
      <c r="F1636" t="s">
        <v>132</v>
      </c>
      <c r="G1636">
        <v>27</v>
      </c>
      <c r="H1636" t="s">
        <v>37</v>
      </c>
      <c r="I1636" t="s">
        <v>31</v>
      </c>
      <c r="J1636" t="s">
        <v>25</v>
      </c>
      <c r="K1636" s="2">
        <v>78713</v>
      </c>
      <c r="L1636" s="2">
        <v>89727</v>
      </c>
      <c r="M1636" t="s">
        <v>32</v>
      </c>
      <c r="N1636">
        <v>51</v>
      </c>
      <c r="O1636" t="s">
        <v>23</v>
      </c>
      <c r="P1636">
        <v>4</v>
      </c>
      <c r="Q1636" s="1">
        <v>-8.92</v>
      </c>
      <c r="R1636" s="2">
        <f t="shared" si="100"/>
        <v>11014</v>
      </c>
      <c r="S1636" s="1">
        <f t="shared" si="101"/>
        <v>13.992606049826586</v>
      </c>
      <c r="T1636" t="str">
        <f t="shared" si="102"/>
        <v>Expert</v>
      </c>
      <c r="U1636" t="str">
        <f t="shared" si="103"/>
        <v>Low Impact</v>
      </c>
    </row>
    <row r="1637" spans="1:21" x14ac:dyDescent="0.3">
      <c r="A1637" t="s">
        <v>820</v>
      </c>
      <c r="B1637">
        <v>36</v>
      </c>
      <c r="C1637" t="s">
        <v>18</v>
      </c>
      <c r="D1637" t="s">
        <v>19</v>
      </c>
      <c r="E1637" t="s">
        <v>29</v>
      </c>
      <c r="F1637" t="s">
        <v>102</v>
      </c>
      <c r="G1637">
        <v>10</v>
      </c>
      <c r="H1637" t="s">
        <v>37</v>
      </c>
      <c r="I1637" t="s">
        <v>31</v>
      </c>
      <c r="J1637" t="s">
        <v>23</v>
      </c>
      <c r="K1637" s="2">
        <v>81322</v>
      </c>
      <c r="L1637" s="2">
        <v>77175</v>
      </c>
      <c r="M1637" t="s">
        <v>32</v>
      </c>
      <c r="N1637">
        <v>49</v>
      </c>
      <c r="O1637" t="s">
        <v>23</v>
      </c>
      <c r="P1637">
        <v>5</v>
      </c>
      <c r="Q1637" s="1">
        <v>-8.93</v>
      </c>
      <c r="R1637" s="2">
        <f t="shared" si="100"/>
        <v>-4147</v>
      </c>
      <c r="S1637" s="1">
        <f t="shared" si="101"/>
        <v>-5.0994810752317949</v>
      </c>
      <c r="T1637" t="str">
        <f t="shared" si="102"/>
        <v>Intermediate</v>
      </c>
      <c r="U1637" t="str">
        <f t="shared" si="103"/>
        <v>Low Impact</v>
      </c>
    </row>
    <row r="1638" spans="1:21" x14ac:dyDescent="0.3">
      <c r="A1638" t="s">
        <v>979</v>
      </c>
      <c r="B1638">
        <v>29</v>
      </c>
      <c r="C1638" t="s">
        <v>27</v>
      </c>
      <c r="D1638" t="s">
        <v>19</v>
      </c>
      <c r="E1638" t="s">
        <v>59</v>
      </c>
      <c r="F1638" t="s">
        <v>93</v>
      </c>
      <c r="G1638">
        <v>7</v>
      </c>
      <c r="H1638" t="s">
        <v>31</v>
      </c>
      <c r="I1638" t="s">
        <v>22</v>
      </c>
      <c r="J1638" t="s">
        <v>25</v>
      </c>
      <c r="K1638" s="2">
        <v>112800</v>
      </c>
      <c r="L1638" s="2">
        <v>111928</v>
      </c>
      <c r="M1638" t="s">
        <v>32</v>
      </c>
      <c r="N1638">
        <v>51</v>
      </c>
      <c r="O1638" t="s">
        <v>25</v>
      </c>
      <c r="P1638">
        <v>3</v>
      </c>
      <c r="Q1638" s="1">
        <v>-8.94</v>
      </c>
      <c r="R1638" s="2">
        <f t="shared" si="100"/>
        <v>-872</v>
      </c>
      <c r="S1638" s="1">
        <f t="shared" si="101"/>
        <v>-0.77304964539007093</v>
      </c>
      <c r="T1638" t="str">
        <f t="shared" si="102"/>
        <v>Intermediate</v>
      </c>
      <c r="U1638" t="str">
        <f t="shared" si="103"/>
        <v>Low Impact</v>
      </c>
    </row>
    <row r="1639" spans="1:21" x14ac:dyDescent="0.3">
      <c r="A1639" t="s">
        <v>1828</v>
      </c>
      <c r="B1639">
        <v>30</v>
      </c>
      <c r="C1639" t="s">
        <v>18</v>
      </c>
      <c r="D1639" t="s">
        <v>19</v>
      </c>
      <c r="E1639" t="s">
        <v>59</v>
      </c>
      <c r="F1639" t="s">
        <v>77</v>
      </c>
      <c r="G1639">
        <v>8</v>
      </c>
      <c r="H1639" t="s">
        <v>22</v>
      </c>
      <c r="I1639" t="s">
        <v>22</v>
      </c>
      <c r="J1639" t="s">
        <v>25</v>
      </c>
      <c r="K1639" s="2">
        <v>47868</v>
      </c>
      <c r="L1639" s="2">
        <v>45256</v>
      </c>
      <c r="M1639" t="s">
        <v>38</v>
      </c>
      <c r="N1639">
        <v>49</v>
      </c>
      <c r="O1639" t="s">
        <v>25</v>
      </c>
      <c r="P1639">
        <v>4</v>
      </c>
      <c r="Q1639" s="1">
        <v>-8.94</v>
      </c>
      <c r="R1639" s="2">
        <f t="shared" si="100"/>
        <v>-2612</v>
      </c>
      <c r="S1639" s="1">
        <f t="shared" si="101"/>
        <v>-5.4566725160859031</v>
      </c>
      <c r="T1639" t="str">
        <f t="shared" si="102"/>
        <v>Intermediate</v>
      </c>
      <c r="U1639" t="str">
        <f t="shared" si="103"/>
        <v>Medium Impact</v>
      </c>
    </row>
    <row r="1640" spans="1:21" x14ac:dyDescent="0.3">
      <c r="A1640" t="s">
        <v>416</v>
      </c>
      <c r="B1640">
        <v>46</v>
      </c>
      <c r="C1640" t="s">
        <v>54</v>
      </c>
      <c r="D1640" t="s">
        <v>40</v>
      </c>
      <c r="E1640" t="s">
        <v>44</v>
      </c>
      <c r="F1640" t="s">
        <v>47</v>
      </c>
      <c r="G1640">
        <v>20</v>
      </c>
      <c r="H1640" t="s">
        <v>37</v>
      </c>
      <c r="I1640" t="s">
        <v>37</v>
      </c>
      <c r="J1640" t="s">
        <v>23</v>
      </c>
      <c r="K1640" s="2">
        <v>59055</v>
      </c>
      <c r="L1640" s="2">
        <v>70287</v>
      </c>
      <c r="M1640" t="s">
        <v>38</v>
      </c>
      <c r="N1640">
        <v>35</v>
      </c>
      <c r="O1640" t="s">
        <v>25</v>
      </c>
      <c r="P1640">
        <v>4</v>
      </c>
      <c r="Q1640" s="1">
        <v>-9.02</v>
      </c>
      <c r="R1640" s="2">
        <f t="shared" si="100"/>
        <v>11232</v>
      </c>
      <c r="S1640" s="1">
        <f t="shared" si="101"/>
        <v>19.019558039116077</v>
      </c>
      <c r="T1640" t="str">
        <f t="shared" si="102"/>
        <v>Expert</v>
      </c>
      <c r="U1640" t="str">
        <f t="shared" si="103"/>
        <v>Medium Impact</v>
      </c>
    </row>
    <row r="1641" spans="1:21" x14ac:dyDescent="0.3">
      <c r="A1641" t="s">
        <v>519</v>
      </c>
      <c r="B1641">
        <v>44</v>
      </c>
      <c r="C1641" t="s">
        <v>18</v>
      </c>
      <c r="D1641" t="s">
        <v>34</v>
      </c>
      <c r="E1641" t="s">
        <v>44</v>
      </c>
      <c r="F1641" t="s">
        <v>45</v>
      </c>
      <c r="G1641">
        <v>18</v>
      </c>
      <c r="H1641" t="s">
        <v>22</v>
      </c>
      <c r="I1641" t="s">
        <v>37</v>
      </c>
      <c r="J1641" t="s">
        <v>25</v>
      </c>
      <c r="K1641" s="2">
        <v>42180</v>
      </c>
      <c r="L1641" s="2">
        <v>55901</v>
      </c>
      <c r="M1641" t="s">
        <v>38</v>
      </c>
      <c r="N1641">
        <v>46</v>
      </c>
      <c r="O1641" t="s">
        <v>23</v>
      </c>
      <c r="P1641">
        <v>5</v>
      </c>
      <c r="Q1641" s="1">
        <v>-9.0299999999999994</v>
      </c>
      <c r="R1641" s="2">
        <f t="shared" si="100"/>
        <v>13721</v>
      </c>
      <c r="S1641" s="1">
        <f t="shared" si="101"/>
        <v>32.529634898055946</v>
      </c>
      <c r="T1641" t="str">
        <f t="shared" si="102"/>
        <v>Expert</v>
      </c>
      <c r="U1641" t="str">
        <f t="shared" si="103"/>
        <v>Medium Impact</v>
      </c>
    </row>
    <row r="1642" spans="1:21" x14ac:dyDescent="0.3">
      <c r="A1642" t="s">
        <v>1913</v>
      </c>
      <c r="B1642">
        <v>30</v>
      </c>
      <c r="C1642" t="s">
        <v>27</v>
      </c>
      <c r="D1642" t="s">
        <v>28</v>
      </c>
      <c r="E1642" t="s">
        <v>44</v>
      </c>
      <c r="F1642" t="s">
        <v>47</v>
      </c>
      <c r="G1642">
        <v>8</v>
      </c>
      <c r="H1642" t="s">
        <v>31</v>
      </c>
      <c r="I1642" t="s">
        <v>37</v>
      </c>
      <c r="J1642" t="s">
        <v>23</v>
      </c>
      <c r="K1642" s="2">
        <v>106759</v>
      </c>
      <c r="L1642" s="2">
        <v>104697</v>
      </c>
      <c r="M1642" t="s">
        <v>38</v>
      </c>
      <c r="N1642">
        <v>45</v>
      </c>
      <c r="O1642" t="s">
        <v>23</v>
      </c>
      <c r="P1642">
        <v>9</v>
      </c>
      <c r="Q1642" s="1">
        <v>-9.11</v>
      </c>
      <c r="R1642" s="2">
        <f t="shared" si="100"/>
        <v>-2062</v>
      </c>
      <c r="S1642" s="1">
        <f t="shared" si="101"/>
        <v>-1.9314530859224983</v>
      </c>
      <c r="T1642" t="str">
        <f t="shared" si="102"/>
        <v>Intermediate</v>
      </c>
      <c r="U1642" t="str">
        <f t="shared" si="103"/>
        <v>Medium Impact</v>
      </c>
    </row>
    <row r="1643" spans="1:21" x14ac:dyDescent="0.3">
      <c r="A1643" t="s">
        <v>1477</v>
      </c>
      <c r="B1643">
        <v>25</v>
      </c>
      <c r="C1643" t="s">
        <v>54</v>
      </c>
      <c r="D1643" t="s">
        <v>34</v>
      </c>
      <c r="E1643" t="s">
        <v>20</v>
      </c>
      <c r="F1643" t="s">
        <v>118</v>
      </c>
      <c r="G1643">
        <v>1</v>
      </c>
      <c r="H1643" t="s">
        <v>22</v>
      </c>
      <c r="I1643" t="s">
        <v>37</v>
      </c>
      <c r="J1643" t="s">
        <v>25</v>
      </c>
      <c r="K1643" s="2">
        <v>62543</v>
      </c>
      <c r="L1643" s="2">
        <v>79870</v>
      </c>
      <c r="M1643" t="s">
        <v>38</v>
      </c>
      <c r="N1643">
        <v>44</v>
      </c>
      <c r="O1643" t="s">
        <v>25</v>
      </c>
      <c r="P1643">
        <v>4</v>
      </c>
      <c r="Q1643" s="1">
        <v>-9.1199999999999992</v>
      </c>
      <c r="R1643" s="2">
        <f t="shared" si="100"/>
        <v>17327</v>
      </c>
      <c r="S1643" s="1">
        <f t="shared" si="101"/>
        <v>27.704139551988234</v>
      </c>
      <c r="T1643" t="str">
        <f t="shared" si="102"/>
        <v>Beginner</v>
      </c>
      <c r="U1643" t="str">
        <f t="shared" si="103"/>
        <v>Medium Impact</v>
      </c>
    </row>
    <row r="1644" spans="1:21" x14ac:dyDescent="0.3">
      <c r="A1644" t="s">
        <v>1655</v>
      </c>
      <c r="B1644">
        <v>24</v>
      </c>
      <c r="C1644" t="s">
        <v>18</v>
      </c>
      <c r="D1644" t="s">
        <v>34</v>
      </c>
      <c r="E1644" t="s">
        <v>35</v>
      </c>
      <c r="F1644" t="s">
        <v>36</v>
      </c>
      <c r="G1644">
        <v>2</v>
      </c>
      <c r="H1644" t="s">
        <v>31</v>
      </c>
      <c r="I1644" t="s">
        <v>22</v>
      </c>
      <c r="J1644" t="s">
        <v>23</v>
      </c>
      <c r="K1644" s="2">
        <v>105166</v>
      </c>
      <c r="L1644" s="2">
        <v>102546</v>
      </c>
      <c r="M1644" t="s">
        <v>32</v>
      </c>
      <c r="N1644">
        <v>36</v>
      </c>
      <c r="O1644" t="s">
        <v>23</v>
      </c>
      <c r="P1644">
        <v>3</v>
      </c>
      <c r="Q1644" s="1">
        <v>-9.1300000000000008</v>
      </c>
      <c r="R1644" s="2">
        <f t="shared" si="100"/>
        <v>-2620</v>
      </c>
      <c r="S1644" s="1">
        <f t="shared" si="101"/>
        <v>-2.4912994694102659</v>
      </c>
      <c r="T1644" t="str">
        <f t="shared" si="102"/>
        <v>Beginner</v>
      </c>
      <c r="U1644" t="str">
        <f t="shared" si="103"/>
        <v>Low Impact</v>
      </c>
    </row>
    <row r="1645" spans="1:21" x14ac:dyDescent="0.3">
      <c r="A1645" t="s">
        <v>1910</v>
      </c>
      <c r="B1645">
        <v>28</v>
      </c>
      <c r="C1645" t="s">
        <v>27</v>
      </c>
      <c r="D1645" t="s">
        <v>40</v>
      </c>
      <c r="E1645" t="s">
        <v>59</v>
      </c>
      <c r="F1645" t="s">
        <v>77</v>
      </c>
      <c r="G1645">
        <v>3</v>
      </c>
      <c r="H1645" t="s">
        <v>22</v>
      </c>
      <c r="I1645" t="s">
        <v>37</v>
      </c>
      <c r="J1645" t="s">
        <v>25</v>
      </c>
      <c r="K1645" s="2">
        <v>72340</v>
      </c>
      <c r="L1645" s="2">
        <v>83915</v>
      </c>
      <c r="M1645" t="s">
        <v>38</v>
      </c>
      <c r="N1645">
        <v>49</v>
      </c>
      <c r="O1645" t="s">
        <v>25</v>
      </c>
      <c r="P1645">
        <v>4</v>
      </c>
      <c r="Q1645" s="1">
        <v>-9.15</v>
      </c>
      <c r="R1645" s="2">
        <f t="shared" si="100"/>
        <v>11575</v>
      </c>
      <c r="S1645" s="1">
        <f t="shared" si="101"/>
        <v>16.000829416643629</v>
      </c>
      <c r="T1645" t="str">
        <f t="shared" si="102"/>
        <v>Beginner</v>
      </c>
      <c r="U1645" t="str">
        <f t="shared" si="103"/>
        <v>Medium Impact</v>
      </c>
    </row>
    <row r="1646" spans="1:21" x14ac:dyDescent="0.3">
      <c r="A1646" t="s">
        <v>1178</v>
      </c>
      <c r="B1646">
        <v>37</v>
      </c>
      <c r="C1646" t="s">
        <v>54</v>
      </c>
      <c r="D1646" t="s">
        <v>40</v>
      </c>
      <c r="E1646" t="s">
        <v>41</v>
      </c>
      <c r="F1646" t="s">
        <v>42</v>
      </c>
      <c r="G1646">
        <v>15</v>
      </c>
      <c r="H1646" t="s">
        <v>22</v>
      </c>
      <c r="I1646" t="s">
        <v>31</v>
      </c>
      <c r="J1646" t="s">
        <v>25</v>
      </c>
      <c r="K1646" s="2">
        <v>60815</v>
      </c>
      <c r="L1646" s="2">
        <v>66637</v>
      </c>
      <c r="M1646" t="s">
        <v>32</v>
      </c>
      <c r="N1646">
        <v>45</v>
      </c>
      <c r="O1646" t="s">
        <v>23</v>
      </c>
      <c r="P1646">
        <v>4</v>
      </c>
      <c r="Q1646" s="1">
        <v>-9.15</v>
      </c>
      <c r="R1646" s="2">
        <f t="shared" si="100"/>
        <v>5822</v>
      </c>
      <c r="S1646" s="1">
        <f t="shared" si="101"/>
        <v>9.5732960618268521</v>
      </c>
      <c r="T1646" t="str">
        <f t="shared" si="102"/>
        <v>Expert</v>
      </c>
      <c r="U1646" t="str">
        <f t="shared" si="103"/>
        <v>Low Impact</v>
      </c>
    </row>
    <row r="1647" spans="1:21" x14ac:dyDescent="0.3">
      <c r="A1647" t="s">
        <v>1777</v>
      </c>
      <c r="B1647">
        <v>37</v>
      </c>
      <c r="C1647" t="s">
        <v>54</v>
      </c>
      <c r="D1647" t="s">
        <v>19</v>
      </c>
      <c r="E1647" t="s">
        <v>41</v>
      </c>
      <c r="F1647" t="s">
        <v>49</v>
      </c>
      <c r="G1647">
        <v>11</v>
      </c>
      <c r="H1647" t="s">
        <v>31</v>
      </c>
      <c r="I1647" t="s">
        <v>31</v>
      </c>
      <c r="J1647" t="s">
        <v>23</v>
      </c>
      <c r="K1647" s="2">
        <v>102153</v>
      </c>
      <c r="L1647" s="2">
        <v>101319</v>
      </c>
      <c r="M1647" t="s">
        <v>32</v>
      </c>
      <c r="N1647">
        <v>50</v>
      </c>
      <c r="O1647" t="s">
        <v>23</v>
      </c>
      <c r="P1647">
        <v>9</v>
      </c>
      <c r="Q1647" s="1">
        <v>-9.18</v>
      </c>
      <c r="R1647" s="2">
        <f t="shared" si="100"/>
        <v>-834</v>
      </c>
      <c r="S1647" s="1">
        <f t="shared" si="101"/>
        <v>-0.81642242518575081</v>
      </c>
      <c r="T1647" t="str">
        <f t="shared" si="102"/>
        <v>Intermediate</v>
      </c>
      <c r="U1647" t="str">
        <f t="shared" si="103"/>
        <v>Low Impact</v>
      </c>
    </row>
    <row r="1648" spans="1:21" x14ac:dyDescent="0.3">
      <c r="A1648" t="s">
        <v>1497</v>
      </c>
      <c r="B1648">
        <v>40</v>
      </c>
      <c r="C1648" t="s">
        <v>54</v>
      </c>
      <c r="D1648" t="s">
        <v>34</v>
      </c>
      <c r="E1648" t="s">
        <v>29</v>
      </c>
      <c r="F1648" t="s">
        <v>104</v>
      </c>
      <c r="G1648">
        <v>18</v>
      </c>
      <c r="H1648" t="s">
        <v>37</v>
      </c>
      <c r="I1648" t="s">
        <v>31</v>
      </c>
      <c r="J1648" t="s">
        <v>23</v>
      </c>
      <c r="K1648" s="2">
        <v>98232</v>
      </c>
      <c r="L1648" s="2">
        <v>106349</v>
      </c>
      <c r="M1648" t="s">
        <v>32</v>
      </c>
      <c r="N1648">
        <v>43</v>
      </c>
      <c r="O1648" t="s">
        <v>25</v>
      </c>
      <c r="P1648">
        <v>9</v>
      </c>
      <c r="Q1648" s="1">
        <v>-9.24</v>
      </c>
      <c r="R1648" s="2">
        <f t="shared" si="100"/>
        <v>8117</v>
      </c>
      <c r="S1648" s="1">
        <f t="shared" si="101"/>
        <v>8.2630914569590352</v>
      </c>
      <c r="T1648" t="str">
        <f t="shared" si="102"/>
        <v>Expert</v>
      </c>
      <c r="U1648" t="str">
        <f t="shared" si="103"/>
        <v>Low Impact</v>
      </c>
    </row>
    <row r="1649" spans="1:21" x14ac:dyDescent="0.3">
      <c r="A1649" t="s">
        <v>590</v>
      </c>
      <c r="B1649">
        <v>29</v>
      </c>
      <c r="C1649" t="s">
        <v>27</v>
      </c>
      <c r="D1649" t="s">
        <v>19</v>
      </c>
      <c r="E1649" t="s">
        <v>44</v>
      </c>
      <c r="F1649" t="s">
        <v>47</v>
      </c>
      <c r="G1649">
        <v>6</v>
      </c>
      <c r="H1649" t="s">
        <v>31</v>
      </c>
      <c r="I1649" t="s">
        <v>22</v>
      </c>
      <c r="J1649" t="s">
        <v>25</v>
      </c>
      <c r="K1649" s="2">
        <v>84845</v>
      </c>
      <c r="L1649" s="2">
        <v>87204</v>
      </c>
      <c r="M1649" t="s">
        <v>32</v>
      </c>
      <c r="N1649">
        <v>40</v>
      </c>
      <c r="O1649" t="s">
        <v>25</v>
      </c>
      <c r="P1649">
        <v>4</v>
      </c>
      <c r="Q1649" s="1">
        <v>-9.24</v>
      </c>
      <c r="R1649" s="2">
        <f t="shared" si="100"/>
        <v>2359</v>
      </c>
      <c r="S1649" s="1">
        <f t="shared" si="101"/>
        <v>2.780364193529377</v>
      </c>
      <c r="T1649" t="str">
        <f t="shared" si="102"/>
        <v>Intermediate</v>
      </c>
      <c r="U1649" t="str">
        <f t="shared" si="103"/>
        <v>Low Impact</v>
      </c>
    </row>
    <row r="1650" spans="1:21" x14ac:dyDescent="0.3">
      <c r="A1650" t="s">
        <v>1383</v>
      </c>
      <c r="B1650">
        <v>37</v>
      </c>
      <c r="C1650" t="s">
        <v>54</v>
      </c>
      <c r="D1650" t="s">
        <v>34</v>
      </c>
      <c r="E1650" t="s">
        <v>35</v>
      </c>
      <c r="F1650" t="s">
        <v>36</v>
      </c>
      <c r="G1650">
        <v>15</v>
      </c>
      <c r="H1650" t="s">
        <v>22</v>
      </c>
      <c r="I1650" t="s">
        <v>37</v>
      </c>
      <c r="J1650" t="s">
        <v>23</v>
      </c>
      <c r="K1650" s="2">
        <v>42109</v>
      </c>
      <c r="L1650" s="2">
        <v>41599</v>
      </c>
      <c r="M1650" t="s">
        <v>38</v>
      </c>
      <c r="N1650">
        <v>40</v>
      </c>
      <c r="O1650" t="s">
        <v>25</v>
      </c>
      <c r="P1650">
        <v>8</v>
      </c>
      <c r="Q1650" s="1">
        <v>-9.27</v>
      </c>
      <c r="R1650" s="2">
        <f t="shared" si="100"/>
        <v>-510</v>
      </c>
      <c r="S1650" s="1">
        <f t="shared" si="101"/>
        <v>-1.2111425111021397</v>
      </c>
      <c r="T1650" t="str">
        <f t="shared" si="102"/>
        <v>Expert</v>
      </c>
      <c r="U1650" t="str">
        <f t="shared" si="103"/>
        <v>Medium Impact</v>
      </c>
    </row>
    <row r="1651" spans="1:21" x14ac:dyDescent="0.3">
      <c r="A1651" t="s">
        <v>338</v>
      </c>
      <c r="B1651">
        <v>55</v>
      </c>
      <c r="C1651" t="s">
        <v>27</v>
      </c>
      <c r="D1651" t="s">
        <v>19</v>
      </c>
      <c r="E1651" t="s">
        <v>35</v>
      </c>
      <c r="F1651" t="s">
        <v>98</v>
      </c>
      <c r="G1651">
        <v>33</v>
      </c>
      <c r="H1651" t="s">
        <v>22</v>
      </c>
      <c r="I1651" t="s">
        <v>22</v>
      </c>
      <c r="J1651" t="s">
        <v>23</v>
      </c>
      <c r="K1651" s="2">
        <v>47014</v>
      </c>
      <c r="L1651" s="2">
        <v>52712</v>
      </c>
      <c r="M1651" t="s">
        <v>38</v>
      </c>
      <c r="N1651">
        <v>39</v>
      </c>
      <c r="O1651" t="s">
        <v>25</v>
      </c>
      <c r="P1651">
        <v>9</v>
      </c>
      <c r="Q1651" s="1">
        <v>-9.2899999999999991</v>
      </c>
      <c r="R1651" s="2">
        <f t="shared" si="100"/>
        <v>5698</v>
      </c>
      <c r="S1651" s="1">
        <f t="shared" si="101"/>
        <v>12.119794103883949</v>
      </c>
      <c r="T1651" t="str">
        <f t="shared" si="102"/>
        <v>Expert</v>
      </c>
      <c r="U1651" t="str">
        <f t="shared" si="103"/>
        <v>Medium Impact</v>
      </c>
    </row>
    <row r="1652" spans="1:21" x14ac:dyDescent="0.3">
      <c r="A1652" t="s">
        <v>1690</v>
      </c>
      <c r="B1652">
        <v>39</v>
      </c>
      <c r="C1652" t="s">
        <v>18</v>
      </c>
      <c r="D1652" t="s">
        <v>34</v>
      </c>
      <c r="E1652" t="s">
        <v>41</v>
      </c>
      <c r="F1652" t="s">
        <v>49</v>
      </c>
      <c r="G1652">
        <v>13</v>
      </c>
      <c r="H1652" t="s">
        <v>37</v>
      </c>
      <c r="I1652" t="s">
        <v>37</v>
      </c>
      <c r="J1652" t="s">
        <v>25</v>
      </c>
      <c r="K1652" s="2">
        <v>56467</v>
      </c>
      <c r="L1652" s="2">
        <v>51319</v>
      </c>
      <c r="M1652" t="s">
        <v>38</v>
      </c>
      <c r="N1652">
        <v>43</v>
      </c>
      <c r="O1652" t="s">
        <v>23</v>
      </c>
      <c r="P1652">
        <v>9</v>
      </c>
      <c r="Q1652" s="1">
        <v>-9.3000000000000007</v>
      </c>
      <c r="R1652" s="2">
        <f t="shared" si="100"/>
        <v>-5148</v>
      </c>
      <c r="S1652" s="1">
        <f t="shared" si="101"/>
        <v>-9.1168292985283443</v>
      </c>
      <c r="T1652" t="str">
        <f t="shared" si="102"/>
        <v>Intermediate</v>
      </c>
      <c r="U1652" t="str">
        <f t="shared" si="103"/>
        <v>Medium Impact</v>
      </c>
    </row>
    <row r="1653" spans="1:21" x14ac:dyDescent="0.3">
      <c r="A1653" t="s">
        <v>1217</v>
      </c>
      <c r="B1653">
        <v>28</v>
      </c>
      <c r="C1653" t="s">
        <v>54</v>
      </c>
      <c r="D1653" t="s">
        <v>40</v>
      </c>
      <c r="E1653" t="s">
        <v>41</v>
      </c>
      <c r="F1653" t="s">
        <v>49</v>
      </c>
      <c r="G1653">
        <v>5</v>
      </c>
      <c r="H1653" t="s">
        <v>37</v>
      </c>
      <c r="I1653" t="s">
        <v>37</v>
      </c>
      <c r="J1653" t="s">
        <v>23</v>
      </c>
      <c r="K1653" s="2">
        <v>42881</v>
      </c>
      <c r="L1653" s="2">
        <v>42717</v>
      </c>
      <c r="M1653" t="s">
        <v>38</v>
      </c>
      <c r="N1653">
        <v>42</v>
      </c>
      <c r="O1653" t="s">
        <v>25</v>
      </c>
      <c r="P1653">
        <v>6</v>
      </c>
      <c r="Q1653" s="1">
        <v>-9.3000000000000007</v>
      </c>
      <c r="R1653" s="2">
        <f t="shared" si="100"/>
        <v>-164</v>
      </c>
      <c r="S1653" s="1">
        <f t="shared" si="101"/>
        <v>-0.38245376740281245</v>
      </c>
      <c r="T1653" t="str">
        <f t="shared" si="102"/>
        <v>Intermediate</v>
      </c>
      <c r="U1653" t="str">
        <f t="shared" si="103"/>
        <v>Medium Impact</v>
      </c>
    </row>
    <row r="1654" spans="1:21" x14ac:dyDescent="0.3">
      <c r="A1654" t="s">
        <v>208</v>
      </c>
      <c r="B1654">
        <v>47</v>
      </c>
      <c r="C1654" t="s">
        <v>27</v>
      </c>
      <c r="D1654" t="s">
        <v>40</v>
      </c>
      <c r="E1654" t="s">
        <v>20</v>
      </c>
      <c r="F1654" t="s">
        <v>118</v>
      </c>
      <c r="G1654">
        <v>22</v>
      </c>
      <c r="H1654" t="s">
        <v>37</v>
      </c>
      <c r="I1654" t="s">
        <v>37</v>
      </c>
      <c r="J1654" t="s">
        <v>23</v>
      </c>
      <c r="K1654" s="2">
        <v>46241</v>
      </c>
      <c r="L1654" s="2">
        <v>50821</v>
      </c>
      <c r="M1654" t="s">
        <v>38</v>
      </c>
      <c r="N1654">
        <v>54</v>
      </c>
      <c r="O1654" t="s">
        <v>23</v>
      </c>
      <c r="P1654">
        <v>3</v>
      </c>
      <c r="Q1654" s="1">
        <v>-9.32</v>
      </c>
      <c r="R1654" s="2">
        <f t="shared" si="100"/>
        <v>4580</v>
      </c>
      <c r="S1654" s="1">
        <f t="shared" si="101"/>
        <v>9.9046300901797117</v>
      </c>
      <c r="T1654" t="str">
        <f t="shared" si="102"/>
        <v>Expert</v>
      </c>
      <c r="U1654" t="str">
        <f t="shared" si="103"/>
        <v>Medium Impact</v>
      </c>
    </row>
    <row r="1655" spans="1:21" x14ac:dyDescent="0.3">
      <c r="A1655" t="s">
        <v>1403</v>
      </c>
      <c r="B1655">
        <v>34</v>
      </c>
      <c r="C1655" t="s">
        <v>54</v>
      </c>
      <c r="D1655" t="s">
        <v>19</v>
      </c>
      <c r="E1655" t="s">
        <v>51</v>
      </c>
      <c r="F1655" t="s">
        <v>52</v>
      </c>
      <c r="G1655">
        <v>10</v>
      </c>
      <c r="H1655" t="s">
        <v>37</v>
      </c>
      <c r="I1655" t="s">
        <v>22</v>
      </c>
      <c r="J1655" t="s">
        <v>25</v>
      </c>
      <c r="K1655" s="2">
        <v>80481</v>
      </c>
      <c r="L1655" s="2">
        <v>82268</v>
      </c>
      <c r="M1655" t="s">
        <v>32</v>
      </c>
      <c r="N1655">
        <v>50</v>
      </c>
      <c r="O1655" t="s">
        <v>25</v>
      </c>
      <c r="P1655">
        <v>7</v>
      </c>
      <c r="Q1655" s="1">
        <v>-9.36</v>
      </c>
      <c r="R1655" s="2">
        <f t="shared" si="100"/>
        <v>1787</v>
      </c>
      <c r="S1655" s="1">
        <f t="shared" si="101"/>
        <v>2.2203998459263676</v>
      </c>
      <c r="T1655" t="str">
        <f t="shared" si="102"/>
        <v>Intermediate</v>
      </c>
      <c r="U1655" t="str">
        <f t="shared" si="103"/>
        <v>Low Impact</v>
      </c>
    </row>
    <row r="1656" spans="1:21" x14ac:dyDescent="0.3">
      <c r="A1656" t="s">
        <v>2031</v>
      </c>
      <c r="B1656">
        <v>48</v>
      </c>
      <c r="C1656" t="s">
        <v>54</v>
      </c>
      <c r="D1656" t="s">
        <v>19</v>
      </c>
      <c r="E1656" t="s">
        <v>41</v>
      </c>
      <c r="F1656" t="s">
        <v>42</v>
      </c>
      <c r="G1656">
        <v>24</v>
      </c>
      <c r="H1656" t="s">
        <v>22</v>
      </c>
      <c r="I1656" t="s">
        <v>31</v>
      </c>
      <c r="J1656" t="s">
        <v>23</v>
      </c>
      <c r="K1656" s="2">
        <v>45115</v>
      </c>
      <c r="L1656" s="2">
        <v>40014</v>
      </c>
      <c r="M1656" t="s">
        <v>32</v>
      </c>
      <c r="N1656">
        <v>39</v>
      </c>
      <c r="O1656" t="s">
        <v>25</v>
      </c>
      <c r="P1656">
        <v>3</v>
      </c>
      <c r="Q1656" s="1">
        <v>-9.36</v>
      </c>
      <c r="R1656" s="2">
        <f t="shared" si="100"/>
        <v>-5101</v>
      </c>
      <c r="S1656" s="1">
        <f t="shared" si="101"/>
        <v>-11.30666075584617</v>
      </c>
      <c r="T1656" t="str">
        <f t="shared" si="102"/>
        <v>Expert</v>
      </c>
      <c r="U1656" t="str">
        <f t="shared" si="103"/>
        <v>Low Impact</v>
      </c>
    </row>
    <row r="1657" spans="1:21" x14ac:dyDescent="0.3">
      <c r="A1657" t="s">
        <v>1506</v>
      </c>
      <c r="B1657">
        <v>42</v>
      </c>
      <c r="C1657" t="s">
        <v>54</v>
      </c>
      <c r="D1657" t="s">
        <v>19</v>
      </c>
      <c r="E1657" t="s">
        <v>20</v>
      </c>
      <c r="F1657" t="s">
        <v>88</v>
      </c>
      <c r="G1657">
        <v>17</v>
      </c>
      <c r="H1657" t="s">
        <v>31</v>
      </c>
      <c r="I1657" t="s">
        <v>22</v>
      </c>
      <c r="J1657" t="s">
        <v>25</v>
      </c>
      <c r="K1657" s="2">
        <v>88726</v>
      </c>
      <c r="L1657" s="2">
        <v>85766</v>
      </c>
      <c r="M1657" t="s">
        <v>32</v>
      </c>
      <c r="N1657">
        <v>39</v>
      </c>
      <c r="O1657" t="s">
        <v>25</v>
      </c>
      <c r="P1657">
        <v>8</v>
      </c>
      <c r="Q1657" s="1">
        <v>-9.3699999999999992</v>
      </c>
      <c r="R1657" s="2">
        <f t="shared" si="100"/>
        <v>-2960</v>
      </c>
      <c r="S1657" s="1">
        <f t="shared" si="101"/>
        <v>-3.3361134278565472</v>
      </c>
      <c r="T1657" t="str">
        <f t="shared" si="102"/>
        <v>Expert</v>
      </c>
      <c r="U1657" t="str">
        <f t="shared" si="103"/>
        <v>Low Impact</v>
      </c>
    </row>
    <row r="1658" spans="1:21" x14ac:dyDescent="0.3">
      <c r="A1658" t="s">
        <v>315</v>
      </c>
      <c r="B1658">
        <v>29</v>
      </c>
      <c r="C1658" t="s">
        <v>27</v>
      </c>
      <c r="D1658" t="s">
        <v>28</v>
      </c>
      <c r="E1658" t="s">
        <v>51</v>
      </c>
      <c r="F1658" t="s">
        <v>52</v>
      </c>
      <c r="G1658">
        <v>3</v>
      </c>
      <c r="H1658" t="s">
        <v>22</v>
      </c>
      <c r="I1658" t="s">
        <v>31</v>
      </c>
      <c r="J1658" t="s">
        <v>23</v>
      </c>
      <c r="K1658" s="2">
        <v>43669</v>
      </c>
      <c r="L1658" s="2">
        <v>57681</v>
      </c>
      <c r="M1658" t="s">
        <v>32</v>
      </c>
      <c r="N1658">
        <v>36</v>
      </c>
      <c r="O1658" t="s">
        <v>23</v>
      </c>
      <c r="P1658">
        <v>3</v>
      </c>
      <c r="Q1658" s="1">
        <v>-9.3699999999999992</v>
      </c>
      <c r="R1658" s="2">
        <f t="shared" si="100"/>
        <v>14012</v>
      </c>
      <c r="S1658" s="1">
        <f t="shared" si="101"/>
        <v>32.086835054615406</v>
      </c>
      <c r="T1658" t="str">
        <f t="shared" si="102"/>
        <v>Beginner</v>
      </c>
      <c r="U1658" t="str">
        <f t="shared" si="103"/>
        <v>Low Impact</v>
      </c>
    </row>
    <row r="1659" spans="1:21" x14ac:dyDescent="0.3">
      <c r="A1659" t="s">
        <v>786</v>
      </c>
      <c r="B1659">
        <v>22</v>
      </c>
      <c r="C1659" t="s">
        <v>54</v>
      </c>
      <c r="D1659" t="s">
        <v>34</v>
      </c>
      <c r="E1659" t="s">
        <v>35</v>
      </c>
      <c r="F1659" t="s">
        <v>36</v>
      </c>
      <c r="G1659">
        <v>0</v>
      </c>
      <c r="H1659" t="s">
        <v>37</v>
      </c>
      <c r="I1659" t="s">
        <v>22</v>
      </c>
      <c r="J1659" t="s">
        <v>25</v>
      </c>
      <c r="K1659" s="2">
        <v>94427</v>
      </c>
      <c r="L1659" s="2">
        <v>87722</v>
      </c>
      <c r="M1659" t="s">
        <v>32</v>
      </c>
      <c r="N1659">
        <v>49</v>
      </c>
      <c r="O1659" t="s">
        <v>25</v>
      </c>
      <c r="P1659">
        <v>8</v>
      </c>
      <c r="Q1659" s="1">
        <v>-9.39</v>
      </c>
      <c r="R1659" s="2">
        <f t="shared" si="100"/>
        <v>-6705</v>
      </c>
      <c r="S1659" s="1">
        <f t="shared" si="101"/>
        <v>-7.1007233100702134</v>
      </c>
      <c r="T1659" t="str">
        <f t="shared" si="102"/>
        <v>Beginner</v>
      </c>
      <c r="U1659" t="str">
        <f t="shared" si="103"/>
        <v>Low Impact</v>
      </c>
    </row>
    <row r="1660" spans="1:21" x14ac:dyDescent="0.3">
      <c r="A1660" t="s">
        <v>366</v>
      </c>
      <c r="B1660">
        <v>56</v>
      </c>
      <c r="C1660" t="s">
        <v>54</v>
      </c>
      <c r="D1660" t="s">
        <v>19</v>
      </c>
      <c r="E1660" t="s">
        <v>20</v>
      </c>
      <c r="F1660" t="s">
        <v>21</v>
      </c>
      <c r="G1660">
        <v>32</v>
      </c>
      <c r="H1660" t="s">
        <v>31</v>
      </c>
      <c r="I1660" t="s">
        <v>37</v>
      </c>
      <c r="J1660" t="s">
        <v>23</v>
      </c>
      <c r="K1660" s="2">
        <v>56715</v>
      </c>
      <c r="L1660" s="2">
        <v>57976</v>
      </c>
      <c r="M1660" t="s">
        <v>38</v>
      </c>
      <c r="N1660">
        <v>39</v>
      </c>
      <c r="O1660" t="s">
        <v>25</v>
      </c>
      <c r="P1660">
        <v>8</v>
      </c>
      <c r="Q1660" s="1">
        <v>-9.39</v>
      </c>
      <c r="R1660" s="2">
        <f t="shared" si="100"/>
        <v>1261</v>
      </c>
      <c r="S1660" s="1">
        <f t="shared" si="101"/>
        <v>2.2233976902054131</v>
      </c>
      <c r="T1660" t="str">
        <f t="shared" si="102"/>
        <v>Expert</v>
      </c>
      <c r="U1660" t="str">
        <f t="shared" si="103"/>
        <v>Medium Impact</v>
      </c>
    </row>
    <row r="1661" spans="1:21" x14ac:dyDescent="0.3">
      <c r="A1661" t="s">
        <v>1757</v>
      </c>
      <c r="B1661">
        <v>56</v>
      </c>
      <c r="C1661" t="s">
        <v>18</v>
      </c>
      <c r="D1661" t="s">
        <v>19</v>
      </c>
      <c r="E1661" t="s">
        <v>59</v>
      </c>
      <c r="F1661" t="s">
        <v>60</v>
      </c>
      <c r="G1661">
        <v>33</v>
      </c>
      <c r="H1661" t="s">
        <v>37</v>
      </c>
      <c r="I1661" t="s">
        <v>31</v>
      </c>
      <c r="J1661" t="s">
        <v>25</v>
      </c>
      <c r="K1661" s="2">
        <v>49056</v>
      </c>
      <c r="L1661" s="2">
        <v>49136</v>
      </c>
      <c r="M1661" t="s">
        <v>32</v>
      </c>
      <c r="N1661">
        <v>53</v>
      </c>
      <c r="O1661" t="s">
        <v>25</v>
      </c>
      <c r="P1661">
        <v>9</v>
      </c>
      <c r="Q1661" s="1">
        <v>-9.4600000000000009</v>
      </c>
      <c r="R1661" s="2">
        <f t="shared" si="100"/>
        <v>80</v>
      </c>
      <c r="S1661" s="1">
        <f t="shared" si="101"/>
        <v>0.16307893020221786</v>
      </c>
      <c r="T1661" t="str">
        <f t="shared" si="102"/>
        <v>Expert</v>
      </c>
      <c r="U1661" t="str">
        <f t="shared" si="103"/>
        <v>Low Impact</v>
      </c>
    </row>
    <row r="1662" spans="1:21" x14ac:dyDescent="0.3">
      <c r="A1662" t="s">
        <v>975</v>
      </c>
      <c r="B1662">
        <v>34</v>
      </c>
      <c r="C1662" t="s">
        <v>54</v>
      </c>
      <c r="D1662" t="s">
        <v>34</v>
      </c>
      <c r="E1662" t="s">
        <v>51</v>
      </c>
      <c r="F1662" t="s">
        <v>130</v>
      </c>
      <c r="G1662">
        <v>10</v>
      </c>
      <c r="H1662" t="s">
        <v>31</v>
      </c>
      <c r="I1662" t="s">
        <v>22</v>
      </c>
      <c r="J1662" t="s">
        <v>23</v>
      </c>
      <c r="K1662" s="2">
        <v>38605</v>
      </c>
      <c r="L1662" s="2">
        <v>40236</v>
      </c>
      <c r="M1662" t="s">
        <v>32</v>
      </c>
      <c r="N1662">
        <v>38</v>
      </c>
      <c r="O1662" t="s">
        <v>23</v>
      </c>
      <c r="P1662">
        <v>6</v>
      </c>
      <c r="Q1662" s="1">
        <v>-9.4600000000000009</v>
      </c>
      <c r="R1662" s="2">
        <f t="shared" si="100"/>
        <v>1631</v>
      </c>
      <c r="S1662" s="1">
        <f t="shared" si="101"/>
        <v>4.2248413417951038</v>
      </c>
      <c r="T1662" t="str">
        <f t="shared" si="102"/>
        <v>Intermediate</v>
      </c>
      <c r="U1662" t="str">
        <f t="shared" si="103"/>
        <v>Low Impact</v>
      </c>
    </row>
    <row r="1663" spans="1:21" x14ac:dyDescent="0.3">
      <c r="A1663" t="s">
        <v>227</v>
      </c>
      <c r="B1663">
        <v>55</v>
      </c>
      <c r="C1663" t="s">
        <v>18</v>
      </c>
      <c r="D1663" t="s">
        <v>19</v>
      </c>
      <c r="E1663" t="s">
        <v>35</v>
      </c>
      <c r="F1663" t="s">
        <v>132</v>
      </c>
      <c r="G1663">
        <v>30</v>
      </c>
      <c r="H1663" t="s">
        <v>37</v>
      </c>
      <c r="I1663" t="s">
        <v>37</v>
      </c>
      <c r="J1663" t="s">
        <v>23</v>
      </c>
      <c r="K1663" s="2">
        <v>76828</v>
      </c>
      <c r="L1663" s="2">
        <v>84473</v>
      </c>
      <c r="M1663" t="s">
        <v>38</v>
      </c>
      <c r="N1663">
        <v>47</v>
      </c>
      <c r="O1663" t="s">
        <v>25</v>
      </c>
      <c r="P1663">
        <v>3</v>
      </c>
      <c r="Q1663" s="1">
        <v>-9.48</v>
      </c>
      <c r="R1663" s="2">
        <f t="shared" si="100"/>
        <v>7645</v>
      </c>
      <c r="S1663" s="1">
        <f t="shared" si="101"/>
        <v>9.9507991877961164</v>
      </c>
      <c r="T1663" t="str">
        <f t="shared" si="102"/>
        <v>Expert</v>
      </c>
      <c r="U1663" t="str">
        <f t="shared" si="103"/>
        <v>Medium Impact</v>
      </c>
    </row>
    <row r="1664" spans="1:21" x14ac:dyDescent="0.3">
      <c r="A1664" t="s">
        <v>1970</v>
      </c>
      <c r="B1664">
        <v>26</v>
      </c>
      <c r="C1664" t="s">
        <v>27</v>
      </c>
      <c r="D1664" t="s">
        <v>19</v>
      </c>
      <c r="E1664" t="s">
        <v>44</v>
      </c>
      <c r="F1664" t="s">
        <v>57</v>
      </c>
      <c r="G1664">
        <v>2</v>
      </c>
      <c r="H1664" t="s">
        <v>22</v>
      </c>
      <c r="I1664" t="s">
        <v>31</v>
      </c>
      <c r="J1664" t="s">
        <v>23</v>
      </c>
      <c r="K1664" s="2">
        <v>110730</v>
      </c>
      <c r="L1664" s="2">
        <v>134356</v>
      </c>
      <c r="M1664" t="s">
        <v>32</v>
      </c>
      <c r="N1664">
        <v>43</v>
      </c>
      <c r="O1664" t="s">
        <v>23</v>
      </c>
      <c r="P1664">
        <v>9</v>
      </c>
      <c r="Q1664" s="1">
        <v>-9.5</v>
      </c>
      <c r="R1664" s="2">
        <f t="shared" si="100"/>
        <v>23626</v>
      </c>
      <c r="S1664" s="1">
        <f t="shared" si="101"/>
        <v>21.336584484782804</v>
      </c>
      <c r="T1664" t="str">
        <f t="shared" si="102"/>
        <v>Beginner</v>
      </c>
      <c r="U1664" t="str">
        <f t="shared" si="103"/>
        <v>Low Impact</v>
      </c>
    </row>
    <row r="1665" spans="1:21" x14ac:dyDescent="0.3">
      <c r="A1665" t="s">
        <v>1393</v>
      </c>
      <c r="B1665">
        <v>37</v>
      </c>
      <c r="C1665" t="s">
        <v>27</v>
      </c>
      <c r="D1665" t="s">
        <v>19</v>
      </c>
      <c r="E1665" t="s">
        <v>35</v>
      </c>
      <c r="F1665" t="s">
        <v>98</v>
      </c>
      <c r="G1665">
        <v>11</v>
      </c>
      <c r="H1665" t="s">
        <v>22</v>
      </c>
      <c r="I1665" t="s">
        <v>31</v>
      </c>
      <c r="J1665" t="s">
        <v>23</v>
      </c>
      <c r="K1665" s="2">
        <v>109054</v>
      </c>
      <c r="L1665" s="2">
        <v>137291</v>
      </c>
      <c r="M1665" t="s">
        <v>32</v>
      </c>
      <c r="N1665">
        <v>49</v>
      </c>
      <c r="O1665" t="s">
        <v>25</v>
      </c>
      <c r="P1665">
        <v>8</v>
      </c>
      <c r="Q1665" s="1">
        <v>-9.52</v>
      </c>
      <c r="R1665" s="2">
        <f t="shared" si="100"/>
        <v>28237</v>
      </c>
      <c r="S1665" s="1">
        <f t="shared" si="101"/>
        <v>25.892677022392576</v>
      </c>
      <c r="T1665" t="str">
        <f t="shared" si="102"/>
        <v>Intermediate</v>
      </c>
      <c r="U1665" t="str">
        <f t="shared" si="103"/>
        <v>Low Impact</v>
      </c>
    </row>
    <row r="1666" spans="1:21" x14ac:dyDescent="0.3">
      <c r="A1666" t="s">
        <v>597</v>
      </c>
      <c r="B1666">
        <v>57</v>
      </c>
      <c r="C1666" t="s">
        <v>54</v>
      </c>
      <c r="D1666" t="s">
        <v>34</v>
      </c>
      <c r="E1666" t="s">
        <v>59</v>
      </c>
      <c r="F1666" t="s">
        <v>77</v>
      </c>
      <c r="G1666">
        <v>33</v>
      </c>
      <c r="H1666" t="s">
        <v>37</v>
      </c>
      <c r="I1666" t="s">
        <v>37</v>
      </c>
      <c r="J1666" t="s">
        <v>25</v>
      </c>
      <c r="K1666" s="2">
        <v>81707</v>
      </c>
      <c r="L1666" s="2">
        <v>73585</v>
      </c>
      <c r="M1666" t="s">
        <v>38</v>
      </c>
      <c r="N1666">
        <v>53</v>
      </c>
      <c r="O1666" t="s">
        <v>25</v>
      </c>
      <c r="P1666">
        <v>4</v>
      </c>
      <c r="Q1666" s="1">
        <v>-9.56</v>
      </c>
      <c r="R1666" s="2">
        <f t="shared" ref="R1666:R1729" si="104">L1666-K1666</f>
        <v>-8122</v>
      </c>
      <c r="S1666" s="1">
        <f t="shared" ref="S1666:S1729" si="105">(L1666-K1666)/K1666*100</f>
        <v>-9.9403967836293106</v>
      </c>
      <c r="T1666" t="str">
        <f t="shared" ref="T1666:T1729" si="106">IF(G1666&lt;5,"Beginner",IF(G1666&lt;15,"Intermediate","Expert"))</f>
        <v>Expert</v>
      </c>
      <c r="U1666" t="str">
        <f t="shared" ref="U1666:U1729" si="107">IF(M1666="Replaced","High Impact",IF(M1666="Modified","Medium Impact","Low Impact"))</f>
        <v>Medium Impact</v>
      </c>
    </row>
    <row r="1667" spans="1:21" x14ac:dyDescent="0.3">
      <c r="A1667" t="s">
        <v>1486</v>
      </c>
      <c r="B1667">
        <v>22</v>
      </c>
      <c r="C1667" t="s">
        <v>27</v>
      </c>
      <c r="D1667" t="s">
        <v>40</v>
      </c>
      <c r="E1667" t="s">
        <v>29</v>
      </c>
      <c r="F1667" t="s">
        <v>102</v>
      </c>
      <c r="G1667">
        <v>0</v>
      </c>
      <c r="H1667" t="s">
        <v>22</v>
      </c>
      <c r="I1667" t="s">
        <v>31</v>
      </c>
      <c r="J1667" t="s">
        <v>23</v>
      </c>
      <c r="K1667" s="2">
        <v>31894</v>
      </c>
      <c r="L1667" s="2">
        <v>28532</v>
      </c>
      <c r="M1667" t="s">
        <v>32</v>
      </c>
      <c r="N1667">
        <v>50</v>
      </c>
      <c r="O1667" t="s">
        <v>23</v>
      </c>
      <c r="P1667">
        <v>7</v>
      </c>
      <c r="Q1667" s="1">
        <v>-9.56</v>
      </c>
      <c r="R1667" s="2">
        <f t="shared" si="104"/>
        <v>-3362</v>
      </c>
      <c r="S1667" s="1">
        <f t="shared" si="105"/>
        <v>-10.541167617733743</v>
      </c>
      <c r="T1667" t="str">
        <f t="shared" si="106"/>
        <v>Beginner</v>
      </c>
      <c r="U1667" t="str">
        <f t="shared" si="107"/>
        <v>Low Impact</v>
      </c>
    </row>
    <row r="1668" spans="1:21" x14ac:dyDescent="0.3">
      <c r="A1668" t="s">
        <v>1904</v>
      </c>
      <c r="B1668">
        <v>49</v>
      </c>
      <c r="C1668" t="s">
        <v>54</v>
      </c>
      <c r="D1668" t="s">
        <v>34</v>
      </c>
      <c r="E1668" t="s">
        <v>59</v>
      </c>
      <c r="F1668" t="s">
        <v>77</v>
      </c>
      <c r="G1668">
        <v>24</v>
      </c>
      <c r="H1668" t="s">
        <v>22</v>
      </c>
      <c r="I1668" t="s">
        <v>22</v>
      </c>
      <c r="J1668" t="s">
        <v>23</v>
      </c>
      <c r="K1668" s="2">
        <v>77475</v>
      </c>
      <c r="L1668" s="2">
        <v>68233</v>
      </c>
      <c r="M1668" t="s">
        <v>38</v>
      </c>
      <c r="N1668">
        <v>38</v>
      </c>
      <c r="O1668" t="s">
        <v>23</v>
      </c>
      <c r="P1668">
        <v>8</v>
      </c>
      <c r="Q1668" s="1">
        <v>-9.6300000000000008</v>
      </c>
      <c r="R1668" s="2">
        <f t="shared" si="104"/>
        <v>-9242</v>
      </c>
      <c r="S1668" s="1">
        <f t="shared" si="105"/>
        <v>-11.929009357857373</v>
      </c>
      <c r="T1668" t="str">
        <f t="shared" si="106"/>
        <v>Expert</v>
      </c>
      <c r="U1668" t="str">
        <f t="shared" si="107"/>
        <v>Medium Impact</v>
      </c>
    </row>
    <row r="1669" spans="1:21" x14ac:dyDescent="0.3">
      <c r="A1669" t="s">
        <v>950</v>
      </c>
      <c r="B1669">
        <v>33</v>
      </c>
      <c r="C1669" t="s">
        <v>27</v>
      </c>
      <c r="D1669" t="s">
        <v>19</v>
      </c>
      <c r="E1669" t="s">
        <v>29</v>
      </c>
      <c r="F1669" t="s">
        <v>102</v>
      </c>
      <c r="G1669">
        <v>10</v>
      </c>
      <c r="H1669" t="s">
        <v>31</v>
      </c>
      <c r="I1669" t="s">
        <v>22</v>
      </c>
      <c r="J1669" t="s">
        <v>23</v>
      </c>
      <c r="K1669" s="2">
        <v>76900</v>
      </c>
      <c r="L1669" s="2">
        <v>74361</v>
      </c>
      <c r="M1669" t="s">
        <v>32</v>
      </c>
      <c r="N1669">
        <v>50</v>
      </c>
      <c r="O1669" t="s">
        <v>23</v>
      </c>
      <c r="P1669">
        <v>7</v>
      </c>
      <c r="Q1669" s="1">
        <v>-9.69</v>
      </c>
      <c r="R1669" s="2">
        <f t="shared" si="104"/>
        <v>-2539</v>
      </c>
      <c r="S1669" s="1">
        <f t="shared" si="105"/>
        <v>-3.3016905071521454</v>
      </c>
      <c r="T1669" t="str">
        <f t="shared" si="106"/>
        <v>Intermediate</v>
      </c>
      <c r="U1669" t="str">
        <f t="shared" si="107"/>
        <v>Low Impact</v>
      </c>
    </row>
    <row r="1670" spans="1:21" x14ac:dyDescent="0.3">
      <c r="A1670" t="s">
        <v>1212</v>
      </c>
      <c r="B1670">
        <v>27</v>
      </c>
      <c r="C1670" t="s">
        <v>54</v>
      </c>
      <c r="D1670" t="s">
        <v>28</v>
      </c>
      <c r="E1670" t="s">
        <v>59</v>
      </c>
      <c r="F1670" t="s">
        <v>60</v>
      </c>
      <c r="G1670">
        <v>3</v>
      </c>
      <c r="H1670" t="s">
        <v>22</v>
      </c>
      <c r="I1670" t="s">
        <v>31</v>
      </c>
      <c r="J1670" t="s">
        <v>25</v>
      </c>
      <c r="K1670" s="2">
        <v>115184</v>
      </c>
      <c r="L1670" s="2">
        <v>148704</v>
      </c>
      <c r="M1670" t="s">
        <v>32</v>
      </c>
      <c r="N1670">
        <v>46</v>
      </c>
      <c r="O1670" t="s">
        <v>25</v>
      </c>
      <c r="P1670">
        <v>8</v>
      </c>
      <c r="Q1670" s="1">
        <v>-9.6999999999999993</v>
      </c>
      <c r="R1670" s="2">
        <f t="shared" si="104"/>
        <v>33520</v>
      </c>
      <c r="S1670" s="1">
        <f t="shared" si="105"/>
        <v>29.101264064453396</v>
      </c>
      <c r="T1670" t="str">
        <f t="shared" si="106"/>
        <v>Beginner</v>
      </c>
      <c r="U1670" t="str">
        <f t="shared" si="107"/>
        <v>Low Impact</v>
      </c>
    </row>
    <row r="1671" spans="1:21" x14ac:dyDescent="0.3">
      <c r="A1671" t="s">
        <v>1817</v>
      </c>
      <c r="B1671">
        <v>44</v>
      </c>
      <c r="C1671" t="s">
        <v>27</v>
      </c>
      <c r="D1671" t="s">
        <v>34</v>
      </c>
      <c r="E1671" t="s">
        <v>51</v>
      </c>
      <c r="F1671" t="s">
        <v>75</v>
      </c>
      <c r="G1671">
        <v>20</v>
      </c>
      <c r="H1671" t="s">
        <v>31</v>
      </c>
      <c r="I1671" t="s">
        <v>31</v>
      </c>
      <c r="J1671" t="s">
        <v>25</v>
      </c>
      <c r="K1671" s="2">
        <v>113576</v>
      </c>
      <c r="L1671" s="2">
        <v>109502</v>
      </c>
      <c r="M1671" t="s">
        <v>32</v>
      </c>
      <c r="N1671">
        <v>52</v>
      </c>
      <c r="O1671" t="s">
        <v>25</v>
      </c>
      <c r="P1671">
        <v>8</v>
      </c>
      <c r="Q1671" s="1">
        <v>-9.6999999999999993</v>
      </c>
      <c r="R1671" s="2">
        <f t="shared" si="104"/>
        <v>-4074</v>
      </c>
      <c r="S1671" s="1">
        <f t="shared" si="105"/>
        <v>-3.5870254279073048</v>
      </c>
      <c r="T1671" t="str">
        <f t="shared" si="106"/>
        <v>Expert</v>
      </c>
      <c r="U1671" t="str">
        <f t="shared" si="107"/>
        <v>Low Impact</v>
      </c>
    </row>
    <row r="1672" spans="1:21" x14ac:dyDescent="0.3">
      <c r="A1672" t="s">
        <v>756</v>
      </c>
      <c r="B1672">
        <v>57</v>
      </c>
      <c r="C1672" t="s">
        <v>54</v>
      </c>
      <c r="D1672" t="s">
        <v>40</v>
      </c>
      <c r="E1672" t="s">
        <v>35</v>
      </c>
      <c r="F1672" t="s">
        <v>98</v>
      </c>
      <c r="G1672">
        <v>34</v>
      </c>
      <c r="H1672" t="s">
        <v>37</v>
      </c>
      <c r="I1672" t="s">
        <v>31</v>
      </c>
      <c r="J1672" t="s">
        <v>23</v>
      </c>
      <c r="K1672" s="2">
        <v>65733</v>
      </c>
      <c r="L1672" s="2">
        <v>61635</v>
      </c>
      <c r="M1672" t="s">
        <v>32</v>
      </c>
      <c r="N1672">
        <v>38</v>
      </c>
      <c r="O1672" t="s">
        <v>23</v>
      </c>
      <c r="P1672">
        <v>8</v>
      </c>
      <c r="Q1672" s="1">
        <v>-9.7200000000000006</v>
      </c>
      <c r="R1672" s="2">
        <f t="shared" si="104"/>
        <v>-4098</v>
      </c>
      <c r="S1672" s="1">
        <f t="shared" si="105"/>
        <v>-6.2343115330199446</v>
      </c>
      <c r="T1672" t="str">
        <f t="shared" si="106"/>
        <v>Expert</v>
      </c>
      <c r="U1672" t="str">
        <f t="shared" si="107"/>
        <v>Low Impact</v>
      </c>
    </row>
    <row r="1673" spans="1:21" x14ac:dyDescent="0.3">
      <c r="A1673" t="s">
        <v>1614</v>
      </c>
      <c r="B1673">
        <v>41</v>
      </c>
      <c r="C1673" t="s">
        <v>54</v>
      </c>
      <c r="D1673" t="s">
        <v>19</v>
      </c>
      <c r="E1673" t="s">
        <v>29</v>
      </c>
      <c r="F1673" t="s">
        <v>30</v>
      </c>
      <c r="G1673">
        <v>19</v>
      </c>
      <c r="H1673" t="s">
        <v>37</v>
      </c>
      <c r="I1673" t="s">
        <v>22</v>
      </c>
      <c r="J1673" t="s">
        <v>25</v>
      </c>
      <c r="K1673" s="2">
        <v>66303</v>
      </c>
      <c r="L1673" s="2">
        <v>67600</v>
      </c>
      <c r="M1673" t="s">
        <v>32</v>
      </c>
      <c r="N1673">
        <v>36</v>
      </c>
      <c r="O1673" t="s">
        <v>23</v>
      </c>
      <c r="P1673">
        <v>9</v>
      </c>
      <c r="Q1673" s="1">
        <v>-9.7899999999999991</v>
      </c>
      <c r="R1673" s="2">
        <f t="shared" si="104"/>
        <v>1297</v>
      </c>
      <c r="S1673" s="1">
        <f t="shared" si="105"/>
        <v>1.9561709123267423</v>
      </c>
      <c r="T1673" t="str">
        <f t="shared" si="106"/>
        <v>Expert</v>
      </c>
      <c r="U1673" t="str">
        <f t="shared" si="107"/>
        <v>Low Impact</v>
      </c>
    </row>
    <row r="1674" spans="1:21" x14ac:dyDescent="0.3">
      <c r="A1674" t="s">
        <v>1534</v>
      </c>
      <c r="B1674">
        <v>55</v>
      </c>
      <c r="C1674" t="s">
        <v>27</v>
      </c>
      <c r="D1674" t="s">
        <v>28</v>
      </c>
      <c r="E1674" t="s">
        <v>29</v>
      </c>
      <c r="F1674" t="s">
        <v>102</v>
      </c>
      <c r="G1674">
        <v>30</v>
      </c>
      <c r="H1674" t="s">
        <v>37</v>
      </c>
      <c r="I1674" t="s">
        <v>22</v>
      </c>
      <c r="J1674" t="s">
        <v>25</v>
      </c>
      <c r="K1674" s="2">
        <v>36487</v>
      </c>
      <c r="L1674" s="2">
        <v>38920</v>
      </c>
      <c r="M1674" t="s">
        <v>32</v>
      </c>
      <c r="N1674">
        <v>43</v>
      </c>
      <c r="O1674" t="s">
        <v>23</v>
      </c>
      <c r="P1674">
        <v>5</v>
      </c>
      <c r="Q1674" s="1">
        <v>-9.7899999999999991</v>
      </c>
      <c r="R1674" s="2">
        <f t="shared" si="104"/>
        <v>2433</v>
      </c>
      <c r="S1674" s="1">
        <f t="shared" si="105"/>
        <v>6.6681283744895445</v>
      </c>
      <c r="T1674" t="str">
        <f t="shared" si="106"/>
        <v>Expert</v>
      </c>
      <c r="U1674" t="str">
        <f t="shared" si="107"/>
        <v>Low Impact</v>
      </c>
    </row>
    <row r="1675" spans="1:21" x14ac:dyDescent="0.3">
      <c r="A1675" t="s">
        <v>305</v>
      </c>
      <c r="B1675">
        <v>52</v>
      </c>
      <c r="C1675" t="s">
        <v>27</v>
      </c>
      <c r="D1675" t="s">
        <v>34</v>
      </c>
      <c r="E1675" t="s">
        <v>20</v>
      </c>
      <c r="F1675" t="s">
        <v>118</v>
      </c>
      <c r="G1675">
        <v>28</v>
      </c>
      <c r="H1675" t="s">
        <v>31</v>
      </c>
      <c r="I1675" t="s">
        <v>37</v>
      </c>
      <c r="J1675" t="s">
        <v>25</v>
      </c>
      <c r="K1675" s="2">
        <v>82233</v>
      </c>
      <c r="L1675" s="2">
        <v>79027</v>
      </c>
      <c r="M1675" t="s">
        <v>38</v>
      </c>
      <c r="N1675">
        <v>44</v>
      </c>
      <c r="O1675" t="s">
        <v>25</v>
      </c>
      <c r="P1675">
        <v>7</v>
      </c>
      <c r="Q1675" s="1">
        <v>-9.81</v>
      </c>
      <c r="R1675" s="2">
        <f t="shared" si="104"/>
        <v>-3206</v>
      </c>
      <c r="S1675" s="1">
        <f t="shared" si="105"/>
        <v>-3.8986781462429927</v>
      </c>
      <c r="T1675" t="str">
        <f t="shared" si="106"/>
        <v>Expert</v>
      </c>
      <c r="U1675" t="str">
        <f t="shared" si="107"/>
        <v>Medium Impact</v>
      </c>
    </row>
    <row r="1676" spans="1:21" x14ac:dyDescent="0.3">
      <c r="A1676" t="s">
        <v>828</v>
      </c>
      <c r="B1676">
        <v>35</v>
      </c>
      <c r="C1676" t="s">
        <v>54</v>
      </c>
      <c r="D1676" t="s">
        <v>34</v>
      </c>
      <c r="E1676" t="s">
        <v>59</v>
      </c>
      <c r="F1676" t="s">
        <v>93</v>
      </c>
      <c r="G1676">
        <v>10</v>
      </c>
      <c r="H1676" t="s">
        <v>22</v>
      </c>
      <c r="I1676" t="s">
        <v>31</v>
      </c>
      <c r="J1676" t="s">
        <v>25</v>
      </c>
      <c r="K1676" s="2">
        <v>57281</v>
      </c>
      <c r="L1676" s="2">
        <v>68933</v>
      </c>
      <c r="M1676" t="s">
        <v>32</v>
      </c>
      <c r="N1676">
        <v>53</v>
      </c>
      <c r="O1676" t="s">
        <v>23</v>
      </c>
      <c r="P1676">
        <v>5</v>
      </c>
      <c r="Q1676" s="1">
        <v>-9.81</v>
      </c>
      <c r="R1676" s="2">
        <f t="shared" si="104"/>
        <v>11652</v>
      </c>
      <c r="S1676" s="1">
        <f t="shared" si="105"/>
        <v>20.341823641347041</v>
      </c>
      <c r="T1676" t="str">
        <f t="shared" si="106"/>
        <v>Intermediate</v>
      </c>
      <c r="U1676" t="str">
        <f t="shared" si="107"/>
        <v>Low Impact</v>
      </c>
    </row>
    <row r="1677" spans="1:21" x14ac:dyDescent="0.3">
      <c r="A1677" t="s">
        <v>1650</v>
      </c>
      <c r="B1677">
        <v>55</v>
      </c>
      <c r="C1677" t="s">
        <v>27</v>
      </c>
      <c r="D1677" t="s">
        <v>40</v>
      </c>
      <c r="E1677" t="s">
        <v>29</v>
      </c>
      <c r="F1677" t="s">
        <v>104</v>
      </c>
      <c r="G1677">
        <v>32</v>
      </c>
      <c r="H1677" t="s">
        <v>37</v>
      </c>
      <c r="I1677" t="s">
        <v>31</v>
      </c>
      <c r="J1677" t="s">
        <v>25</v>
      </c>
      <c r="K1677" s="2">
        <v>102467</v>
      </c>
      <c r="L1677" s="2">
        <v>107469</v>
      </c>
      <c r="M1677" t="s">
        <v>32</v>
      </c>
      <c r="N1677">
        <v>45</v>
      </c>
      <c r="O1677" t="s">
        <v>25</v>
      </c>
      <c r="P1677">
        <v>7</v>
      </c>
      <c r="Q1677" s="1">
        <v>-9.85</v>
      </c>
      <c r="R1677" s="2">
        <f t="shared" si="104"/>
        <v>5002</v>
      </c>
      <c r="S1677" s="1">
        <f t="shared" si="105"/>
        <v>4.8815716279387509</v>
      </c>
      <c r="T1677" t="str">
        <f t="shared" si="106"/>
        <v>Expert</v>
      </c>
      <c r="U1677" t="str">
        <f t="shared" si="107"/>
        <v>Low Impact</v>
      </c>
    </row>
    <row r="1678" spans="1:21" x14ac:dyDescent="0.3">
      <c r="A1678" t="s">
        <v>1668</v>
      </c>
      <c r="B1678">
        <v>50</v>
      </c>
      <c r="C1678" t="s">
        <v>54</v>
      </c>
      <c r="D1678" t="s">
        <v>19</v>
      </c>
      <c r="E1678" t="s">
        <v>29</v>
      </c>
      <c r="F1678" t="s">
        <v>104</v>
      </c>
      <c r="G1678">
        <v>26</v>
      </c>
      <c r="H1678" t="s">
        <v>37</v>
      </c>
      <c r="I1678" t="s">
        <v>37</v>
      </c>
      <c r="J1678" t="s">
        <v>25</v>
      </c>
      <c r="K1678" s="2">
        <v>102793</v>
      </c>
      <c r="L1678" s="2">
        <v>99982</v>
      </c>
      <c r="M1678" t="s">
        <v>38</v>
      </c>
      <c r="N1678">
        <v>42</v>
      </c>
      <c r="O1678" t="s">
        <v>23</v>
      </c>
      <c r="P1678">
        <v>8</v>
      </c>
      <c r="Q1678" s="1">
        <v>-9.86</v>
      </c>
      <c r="R1678" s="2">
        <f t="shared" si="104"/>
        <v>-2811</v>
      </c>
      <c r="S1678" s="1">
        <f t="shared" si="105"/>
        <v>-2.7346220073351297</v>
      </c>
      <c r="T1678" t="str">
        <f t="shared" si="106"/>
        <v>Expert</v>
      </c>
      <c r="U1678" t="str">
        <f t="shared" si="107"/>
        <v>Medium Impact</v>
      </c>
    </row>
    <row r="1679" spans="1:21" x14ac:dyDescent="0.3">
      <c r="A1679" t="s">
        <v>1117</v>
      </c>
      <c r="B1679">
        <v>31</v>
      </c>
      <c r="C1679" t="s">
        <v>54</v>
      </c>
      <c r="D1679" t="s">
        <v>28</v>
      </c>
      <c r="E1679" t="s">
        <v>44</v>
      </c>
      <c r="F1679" t="s">
        <v>47</v>
      </c>
      <c r="G1679">
        <v>5</v>
      </c>
      <c r="H1679" t="s">
        <v>37</v>
      </c>
      <c r="I1679" t="s">
        <v>31</v>
      </c>
      <c r="J1679" t="s">
        <v>23</v>
      </c>
      <c r="K1679" s="2">
        <v>45882</v>
      </c>
      <c r="L1679" s="2">
        <v>45493</v>
      </c>
      <c r="M1679" t="s">
        <v>32</v>
      </c>
      <c r="N1679">
        <v>51</v>
      </c>
      <c r="O1679" t="s">
        <v>25</v>
      </c>
      <c r="P1679">
        <v>9</v>
      </c>
      <c r="Q1679" s="1">
        <v>-9.8699999999999992</v>
      </c>
      <c r="R1679" s="2">
        <f t="shared" si="104"/>
        <v>-389</v>
      </c>
      <c r="S1679" s="1">
        <f t="shared" si="105"/>
        <v>-0.84782703456693265</v>
      </c>
      <c r="T1679" t="str">
        <f t="shared" si="106"/>
        <v>Intermediate</v>
      </c>
      <c r="U1679" t="str">
        <f t="shared" si="107"/>
        <v>Low Impact</v>
      </c>
    </row>
    <row r="1680" spans="1:21" x14ac:dyDescent="0.3">
      <c r="A1680" t="s">
        <v>1706</v>
      </c>
      <c r="B1680">
        <v>44</v>
      </c>
      <c r="C1680" t="s">
        <v>18</v>
      </c>
      <c r="D1680" t="s">
        <v>19</v>
      </c>
      <c r="E1680" t="s">
        <v>29</v>
      </c>
      <c r="F1680" t="s">
        <v>30</v>
      </c>
      <c r="G1680">
        <v>18</v>
      </c>
      <c r="H1680" t="s">
        <v>37</v>
      </c>
      <c r="I1680" t="s">
        <v>31</v>
      </c>
      <c r="J1680" t="s">
        <v>23</v>
      </c>
      <c r="K1680" s="2">
        <v>97143</v>
      </c>
      <c r="L1680" s="2">
        <v>90954</v>
      </c>
      <c r="M1680" t="s">
        <v>32</v>
      </c>
      <c r="N1680">
        <v>40</v>
      </c>
      <c r="O1680" t="s">
        <v>23</v>
      </c>
      <c r="P1680">
        <v>5</v>
      </c>
      <c r="Q1680" s="1">
        <v>-9.8800000000000008</v>
      </c>
      <c r="R1680" s="2">
        <f t="shared" si="104"/>
        <v>-6189</v>
      </c>
      <c r="S1680" s="1">
        <f t="shared" si="105"/>
        <v>-6.3710200426175838</v>
      </c>
      <c r="T1680" t="str">
        <f t="shared" si="106"/>
        <v>Expert</v>
      </c>
      <c r="U1680" t="str">
        <f t="shared" si="107"/>
        <v>Low Impact</v>
      </c>
    </row>
    <row r="1681" spans="1:21" x14ac:dyDescent="0.3">
      <c r="A1681" t="s">
        <v>1162</v>
      </c>
      <c r="B1681">
        <v>57</v>
      </c>
      <c r="C1681" t="s">
        <v>54</v>
      </c>
      <c r="D1681" t="s">
        <v>19</v>
      </c>
      <c r="E1681" t="s">
        <v>51</v>
      </c>
      <c r="F1681" t="s">
        <v>52</v>
      </c>
      <c r="G1681">
        <v>31</v>
      </c>
      <c r="H1681" t="s">
        <v>37</v>
      </c>
      <c r="I1681" t="s">
        <v>37</v>
      </c>
      <c r="J1681" t="s">
        <v>23</v>
      </c>
      <c r="K1681" s="2">
        <v>58365</v>
      </c>
      <c r="L1681" s="2">
        <v>65568</v>
      </c>
      <c r="M1681" t="s">
        <v>38</v>
      </c>
      <c r="N1681">
        <v>38</v>
      </c>
      <c r="O1681" t="s">
        <v>23</v>
      </c>
      <c r="P1681">
        <v>7</v>
      </c>
      <c r="Q1681" s="1">
        <v>-9.91</v>
      </c>
      <c r="R1681" s="2">
        <f t="shared" si="104"/>
        <v>7203</v>
      </c>
      <c r="S1681" s="1">
        <f t="shared" si="105"/>
        <v>12.34130043690568</v>
      </c>
      <c r="T1681" t="str">
        <f t="shared" si="106"/>
        <v>Expert</v>
      </c>
      <c r="U1681" t="str">
        <f t="shared" si="107"/>
        <v>Medium Impact</v>
      </c>
    </row>
    <row r="1682" spans="1:21" x14ac:dyDescent="0.3">
      <c r="A1682" t="s">
        <v>1273</v>
      </c>
      <c r="B1682">
        <v>59</v>
      </c>
      <c r="C1682" t="s">
        <v>18</v>
      </c>
      <c r="D1682" t="s">
        <v>34</v>
      </c>
      <c r="E1682" t="s">
        <v>44</v>
      </c>
      <c r="F1682" t="s">
        <v>57</v>
      </c>
      <c r="G1682">
        <v>37</v>
      </c>
      <c r="H1682" t="s">
        <v>37</v>
      </c>
      <c r="I1682" t="s">
        <v>22</v>
      </c>
      <c r="J1682" t="s">
        <v>25</v>
      </c>
      <c r="K1682" s="2">
        <v>92709</v>
      </c>
      <c r="L1682" s="2">
        <v>91573</v>
      </c>
      <c r="M1682" t="s">
        <v>32</v>
      </c>
      <c r="N1682">
        <v>54</v>
      </c>
      <c r="O1682" t="s">
        <v>23</v>
      </c>
      <c r="P1682">
        <v>8</v>
      </c>
      <c r="Q1682" s="1">
        <v>-9.9499999999999993</v>
      </c>
      <c r="R1682" s="2">
        <f t="shared" si="104"/>
        <v>-1136</v>
      </c>
      <c r="S1682" s="1">
        <f t="shared" si="105"/>
        <v>-1.2253395031766063</v>
      </c>
      <c r="T1682" t="str">
        <f t="shared" si="106"/>
        <v>Expert</v>
      </c>
      <c r="U1682" t="str">
        <f t="shared" si="107"/>
        <v>Low Impact</v>
      </c>
    </row>
    <row r="1683" spans="1:21" x14ac:dyDescent="0.3">
      <c r="A1683" t="s">
        <v>1980</v>
      </c>
      <c r="B1683">
        <v>58</v>
      </c>
      <c r="C1683" t="s">
        <v>27</v>
      </c>
      <c r="D1683" t="s">
        <v>19</v>
      </c>
      <c r="E1683" t="s">
        <v>44</v>
      </c>
      <c r="F1683" t="s">
        <v>57</v>
      </c>
      <c r="G1683">
        <v>36</v>
      </c>
      <c r="H1683" t="s">
        <v>22</v>
      </c>
      <c r="I1683" t="s">
        <v>31</v>
      </c>
      <c r="J1683" t="s">
        <v>23</v>
      </c>
      <c r="K1683" s="2">
        <v>66725</v>
      </c>
      <c r="L1683" s="2">
        <v>69647</v>
      </c>
      <c r="M1683" t="s">
        <v>32</v>
      </c>
      <c r="N1683">
        <v>52</v>
      </c>
      <c r="O1683" t="s">
        <v>23</v>
      </c>
      <c r="P1683">
        <v>7</v>
      </c>
      <c r="Q1683" s="1">
        <v>-9.99</v>
      </c>
      <c r="R1683" s="2">
        <f t="shared" si="104"/>
        <v>2922</v>
      </c>
      <c r="S1683" s="1">
        <f t="shared" si="105"/>
        <v>4.3791682278006743</v>
      </c>
      <c r="T1683" t="str">
        <f t="shared" si="106"/>
        <v>Expert</v>
      </c>
      <c r="U1683" t="str">
        <f t="shared" si="107"/>
        <v>Low Impact</v>
      </c>
    </row>
    <row r="1684" spans="1:21" x14ac:dyDescent="0.3">
      <c r="A1684" t="s">
        <v>623</v>
      </c>
      <c r="B1684">
        <v>39</v>
      </c>
      <c r="C1684" t="s">
        <v>27</v>
      </c>
      <c r="D1684" t="s">
        <v>19</v>
      </c>
      <c r="E1684" t="s">
        <v>51</v>
      </c>
      <c r="F1684" t="s">
        <v>75</v>
      </c>
      <c r="G1684">
        <v>17</v>
      </c>
      <c r="H1684" t="s">
        <v>37</v>
      </c>
      <c r="I1684" t="s">
        <v>22</v>
      </c>
      <c r="J1684" t="s">
        <v>23</v>
      </c>
      <c r="K1684" s="2">
        <v>94925</v>
      </c>
      <c r="L1684" s="2">
        <v>85977</v>
      </c>
      <c r="M1684" t="s">
        <v>32</v>
      </c>
      <c r="N1684">
        <v>44</v>
      </c>
      <c r="O1684" t="s">
        <v>23</v>
      </c>
      <c r="P1684">
        <v>5</v>
      </c>
      <c r="Q1684" s="1">
        <v>-10.06</v>
      </c>
      <c r="R1684" s="2">
        <f t="shared" si="104"/>
        <v>-8948</v>
      </c>
      <c r="S1684" s="1">
        <f t="shared" si="105"/>
        <v>-9.4263892546747421</v>
      </c>
      <c r="T1684" t="str">
        <f t="shared" si="106"/>
        <v>Expert</v>
      </c>
      <c r="U1684" t="str">
        <f t="shared" si="107"/>
        <v>Low Impact</v>
      </c>
    </row>
    <row r="1685" spans="1:21" x14ac:dyDescent="0.3">
      <c r="A1685" t="s">
        <v>931</v>
      </c>
      <c r="B1685">
        <v>26</v>
      </c>
      <c r="C1685" t="s">
        <v>18</v>
      </c>
      <c r="D1685" t="s">
        <v>40</v>
      </c>
      <c r="E1685" t="s">
        <v>44</v>
      </c>
      <c r="F1685" t="s">
        <v>57</v>
      </c>
      <c r="G1685">
        <v>2</v>
      </c>
      <c r="H1685" t="s">
        <v>37</v>
      </c>
      <c r="I1685" t="s">
        <v>37</v>
      </c>
      <c r="J1685" t="s">
        <v>23</v>
      </c>
      <c r="K1685" s="2">
        <v>79294</v>
      </c>
      <c r="L1685" s="2">
        <v>81601</v>
      </c>
      <c r="M1685" t="s">
        <v>38</v>
      </c>
      <c r="N1685">
        <v>39</v>
      </c>
      <c r="O1685" t="s">
        <v>25</v>
      </c>
      <c r="P1685">
        <v>3</v>
      </c>
      <c r="Q1685" s="1">
        <v>-10.07</v>
      </c>
      <c r="R1685" s="2">
        <f t="shared" si="104"/>
        <v>2307</v>
      </c>
      <c r="S1685" s="1">
        <f t="shared" si="105"/>
        <v>2.9094256816404771</v>
      </c>
      <c r="T1685" t="str">
        <f t="shared" si="106"/>
        <v>Beginner</v>
      </c>
      <c r="U1685" t="str">
        <f t="shared" si="107"/>
        <v>Medium Impact</v>
      </c>
    </row>
    <row r="1686" spans="1:21" x14ac:dyDescent="0.3">
      <c r="A1686" t="s">
        <v>1922</v>
      </c>
      <c r="B1686">
        <v>41</v>
      </c>
      <c r="C1686" t="s">
        <v>54</v>
      </c>
      <c r="D1686" t="s">
        <v>28</v>
      </c>
      <c r="E1686" t="s">
        <v>35</v>
      </c>
      <c r="F1686" t="s">
        <v>98</v>
      </c>
      <c r="G1686">
        <v>18</v>
      </c>
      <c r="H1686" t="s">
        <v>22</v>
      </c>
      <c r="I1686" t="s">
        <v>22</v>
      </c>
      <c r="J1686" t="s">
        <v>23</v>
      </c>
      <c r="K1686" s="2">
        <v>37802</v>
      </c>
      <c r="L1686" s="2">
        <v>49549</v>
      </c>
      <c r="M1686" t="s">
        <v>24</v>
      </c>
      <c r="N1686">
        <v>42</v>
      </c>
      <c r="O1686" t="s">
        <v>25</v>
      </c>
      <c r="P1686">
        <v>3</v>
      </c>
      <c r="Q1686" s="1">
        <v>-10.07</v>
      </c>
      <c r="R1686" s="2">
        <f t="shared" si="104"/>
        <v>11747</v>
      </c>
      <c r="S1686" s="1">
        <f t="shared" si="105"/>
        <v>31.075075392836361</v>
      </c>
      <c r="T1686" t="str">
        <f t="shared" si="106"/>
        <v>Expert</v>
      </c>
      <c r="U1686" t="str">
        <f t="shared" si="107"/>
        <v>High Impact</v>
      </c>
    </row>
    <row r="1687" spans="1:21" x14ac:dyDescent="0.3">
      <c r="A1687" t="s">
        <v>708</v>
      </c>
      <c r="B1687">
        <v>33</v>
      </c>
      <c r="C1687" t="s">
        <v>54</v>
      </c>
      <c r="D1687" t="s">
        <v>19</v>
      </c>
      <c r="E1687" t="s">
        <v>35</v>
      </c>
      <c r="F1687" t="s">
        <v>132</v>
      </c>
      <c r="G1687">
        <v>10</v>
      </c>
      <c r="H1687" t="s">
        <v>31</v>
      </c>
      <c r="I1687" t="s">
        <v>37</v>
      </c>
      <c r="J1687" t="s">
        <v>23</v>
      </c>
      <c r="K1687" s="2">
        <v>78003</v>
      </c>
      <c r="L1687" s="2">
        <v>76425</v>
      </c>
      <c r="M1687" t="s">
        <v>38</v>
      </c>
      <c r="N1687">
        <v>49</v>
      </c>
      <c r="O1687" t="s">
        <v>25</v>
      </c>
      <c r="P1687">
        <v>6</v>
      </c>
      <c r="Q1687" s="1">
        <v>-10.11</v>
      </c>
      <c r="R1687" s="2">
        <f t="shared" si="104"/>
        <v>-1578</v>
      </c>
      <c r="S1687" s="1">
        <f t="shared" si="105"/>
        <v>-2.0229991154186377</v>
      </c>
      <c r="T1687" t="str">
        <f t="shared" si="106"/>
        <v>Intermediate</v>
      </c>
      <c r="U1687" t="str">
        <f t="shared" si="107"/>
        <v>Medium Impact</v>
      </c>
    </row>
    <row r="1688" spans="1:21" x14ac:dyDescent="0.3">
      <c r="A1688" t="s">
        <v>1237</v>
      </c>
      <c r="B1688">
        <v>57</v>
      </c>
      <c r="C1688" t="s">
        <v>54</v>
      </c>
      <c r="D1688" t="s">
        <v>19</v>
      </c>
      <c r="E1688" t="s">
        <v>20</v>
      </c>
      <c r="F1688" t="s">
        <v>21</v>
      </c>
      <c r="G1688">
        <v>31</v>
      </c>
      <c r="H1688" t="s">
        <v>22</v>
      </c>
      <c r="I1688" t="s">
        <v>37</v>
      </c>
      <c r="J1688" t="s">
        <v>23</v>
      </c>
      <c r="K1688" s="2">
        <v>93171</v>
      </c>
      <c r="L1688" s="2">
        <v>110096</v>
      </c>
      <c r="M1688" t="s">
        <v>38</v>
      </c>
      <c r="N1688">
        <v>50</v>
      </c>
      <c r="O1688" t="s">
        <v>25</v>
      </c>
      <c r="P1688">
        <v>5</v>
      </c>
      <c r="Q1688" s="1">
        <v>-10.119999999999999</v>
      </c>
      <c r="R1688" s="2">
        <f t="shared" si="104"/>
        <v>16925</v>
      </c>
      <c r="S1688" s="1">
        <f t="shared" si="105"/>
        <v>18.165523607130972</v>
      </c>
      <c r="T1688" t="str">
        <f t="shared" si="106"/>
        <v>Expert</v>
      </c>
      <c r="U1688" t="str">
        <f t="shared" si="107"/>
        <v>Medium Impact</v>
      </c>
    </row>
    <row r="1689" spans="1:21" x14ac:dyDescent="0.3">
      <c r="A1689" t="s">
        <v>1059</v>
      </c>
      <c r="B1689">
        <v>52</v>
      </c>
      <c r="C1689" t="s">
        <v>54</v>
      </c>
      <c r="D1689" t="s">
        <v>19</v>
      </c>
      <c r="E1689" t="s">
        <v>44</v>
      </c>
      <c r="F1689" t="s">
        <v>45</v>
      </c>
      <c r="G1689">
        <v>28</v>
      </c>
      <c r="H1689" t="s">
        <v>22</v>
      </c>
      <c r="I1689" t="s">
        <v>31</v>
      </c>
      <c r="J1689" t="s">
        <v>25</v>
      </c>
      <c r="K1689" s="2">
        <v>69390</v>
      </c>
      <c r="L1689" s="2">
        <v>96797</v>
      </c>
      <c r="M1689" t="s">
        <v>32</v>
      </c>
      <c r="N1689">
        <v>54</v>
      </c>
      <c r="O1689" t="s">
        <v>25</v>
      </c>
      <c r="P1689">
        <v>8</v>
      </c>
      <c r="Q1689" s="1">
        <v>-10.18</v>
      </c>
      <c r="R1689" s="2">
        <f t="shared" si="104"/>
        <v>27407</v>
      </c>
      <c r="S1689" s="1">
        <f t="shared" si="105"/>
        <v>39.497045683816111</v>
      </c>
      <c r="T1689" t="str">
        <f t="shared" si="106"/>
        <v>Expert</v>
      </c>
      <c r="U1689" t="str">
        <f t="shared" si="107"/>
        <v>Low Impact</v>
      </c>
    </row>
    <row r="1690" spans="1:21" x14ac:dyDescent="0.3">
      <c r="A1690" t="s">
        <v>751</v>
      </c>
      <c r="B1690">
        <v>29</v>
      </c>
      <c r="C1690" t="s">
        <v>27</v>
      </c>
      <c r="D1690" t="s">
        <v>19</v>
      </c>
      <c r="E1690" t="s">
        <v>44</v>
      </c>
      <c r="F1690" t="s">
        <v>47</v>
      </c>
      <c r="G1690">
        <v>4</v>
      </c>
      <c r="H1690" t="s">
        <v>22</v>
      </c>
      <c r="I1690" t="s">
        <v>37</v>
      </c>
      <c r="J1690" t="s">
        <v>25</v>
      </c>
      <c r="K1690" s="2">
        <v>48443</v>
      </c>
      <c r="L1690" s="2">
        <v>50685</v>
      </c>
      <c r="M1690" t="s">
        <v>38</v>
      </c>
      <c r="N1690">
        <v>51</v>
      </c>
      <c r="O1690" t="s">
        <v>23</v>
      </c>
      <c r="P1690">
        <v>6</v>
      </c>
      <c r="Q1690" s="1">
        <v>-10.199999999999999</v>
      </c>
      <c r="R1690" s="2">
        <f t="shared" si="104"/>
        <v>2242</v>
      </c>
      <c r="S1690" s="1">
        <f t="shared" si="105"/>
        <v>4.6281196457692548</v>
      </c>
      <c r="T1690" t="str">
        <f t="shared" si="106"/>
        <v>Beginner</v>
      </c>
      <c r="U1690" t="str">
        <f t="shared" si="107"/>
        <v>Medium Impact</v>
      </c>
    </row>
    <row r="1691" spans="1:21" x14ac:dyDescent="0.3">
      <c r="A1691" t="s">
        <v>117</v>
      </c>
      <c r="B1691">
        <v>53</v>
      </c>
      <c r="C1691" t="s">
        <v>27</v>
      </c>
      <c r="D1691" t="s">
        <v>28</v>
      </c>
      <c r="E1691" t="s">
        <v>20</v>
      </c>
      <c r="F1691" t="s">
        <v>118</v>
      </c>
      <c r="G1691">
        <v>31</v>
      </c>
      <c r="H1691" t="s">
        <v>31</v>
      </c>
      <c r="I1691" t="s">
        <v>22</v>
      </c>
      <c r="J1691" t="s">
        <v>25</v>
      </c>
      <c r="K1691" s="2">
        <v>71975</v>
      </c>
      <c r="L1691" s="2">
        <v>75487</v>
      </c>
      <c r="M1691" t="s">
        <v>32</v>
      </c>
      <c r="N1691">
        <v>50</v>
      </c>
      <c r="O1691" t="s">
        <v>25</v>
      </c>
      <c r="P1691">
        <v>9</v>
      </c>
      <c r="Q1691" s="1">
        <v>-10.220000000000001</v>
      </c>
      <c r="R1691" s="2">
        <f t="shared" si="104"/>
        <v>3512</v>
      </c>
      <c r="S1691" s="1">
        <f t="shared" si="105"/>
        <v>4.8794720389023967</v>
      </c>
      <c r="T1691" t="str">
        <f t="shared" si="106"/>
        <v>Expert</v>
      </c>
      <c r="U1691" t="str">
        <f t="shared" si="107"/>
        <v>Low Impact</v>
      </c>
    </row>
    <row r="1692" spans="1:21" x14ac:dyDescent="0.3">
      <c r="A1692" t="s">
        <v>806</v>
      </c>
      <c r="B1692">
        <v>54</v>
      </c>
      <c r="C1692" t="s">
        <v>27</v>
      </c>
      <c r="D1692" t="s">
        <v>40</v>
      </c>
      <c r="E1692" t="s">
        <v>35</v>
      </c>
      <c r="F1692" t="s">
        <v>132</v>
      </c>
      <c r="G1692">
        <v>32</v>
      </c>
      <c r="H1692" t="s">
        <v>31</v>
      </c>
      <c r="I1692" t="s">
        <v>37</v>
      </c>
      <c r="J1692" t="s">
        <v>25</v>
      </c>
      <c r="K1692" s="2">
        <v>35867</v>
      </c>
      <c r="L1692" s="2">
        <v>36181</v>
      </c>
      <c r="M1692" t="s">
        <v>38</v>
      </c>
      <c r="N1692">
        <v>51</v>
      </c>
      <c r="O1692" t="s">
        <v>23</v>
      </c>
      <c r="P1692">
        <v>6</v>
      </c>
      <c r="Q1692" s="1">
        <v>-10.24</v>
      </c>
      <c r="R1692" s="2">
        <f t="shared" si="104"/>
        <v>314</v>
      </c>
      <c r="S1692" s="1">
        <f t="shared" si="105"/>
        <v>0.87545654780160043</v>
      </c>
      <c r="T1692" t="str">
        <f t="shared" si="106"/>
        <v>Expert</v>
      </c>
      <c r="U1692" t="str">
        <f t="shared" si="107"/>
        <v>Medium Impact</v>
      </c>
    </row>
    <row r="1693" spans="1:21" x14ac:dyDescent="0.3">
      <c r="A1693" t="s">
        <v>1345</v>
      </c>
      <c r="B1693">
        <v>35</v>
      </c>
      <c r="C1693" t="s">
        <v>18</v>
      </c>
      <c r="D1693" t="s">
        <v>28</v>
      </c>
      <c r="E1693" t="s">
        <v>35</v>
      </c>
      <c r="F1693" t="s">
        <v>36</v>
      </c>
      <c r="G1693">
        <v>10</v>
      </c>
      <c r="H1693" t="s">
        <v>31</v>
      </c>
      <c r="I1693" t="s">
        <v>31</v>
      </c>
      <c r="J1693" t="s">
        <v>25</v>
      </c>
      <c r="K1693" s="2">
        <v>56548</v>
      </c>
      <c r="L1693" s="2">
        <v>54243</v>
      </c>
      <c r="M1693" t="s">
        <v>32</v>
      </c>
      <c r="N1693">
        <v>40</v>
      </c>
      <c r="O1693" t="s">
        <v>23</v>
      </c>
      <c r="P1693">
        <v>5</v>
      </c>
      <c r="Q1693" s="1">
        <v>-10.25</v>
      </c>
      <c r="R1693" s="2">
        <f t="shared" si="104"/>
        <v>-2305</v>
      </c>
      <c r="S1693" s="1">
        <f t="shared" si="105"/>
        <v>-4.0761830657140834</v>
      </c>
      <c r="T1693" t="str">
        <f t="shared" si="106"/>
        <v>Intermediate</v>
      </c>
      <c r="U1693" t="str">
        <f t="shared" si="107"/>
        <v>Low Impact</v>
      </c>
    </row>
    <row r="1694" spans="1:21" x14ac:dyDescent="0.3">
      <c r="A1694" t="s">
        <v>314</v>
      </c>
      <c r="B1694">
        <v>37</v>
      </c>
      <c r="C1694" t="s">
        <v>27</v>
      </c>
      <c r="D1694" t="s">
        <v>28</v>
      </c>
      <c r="E1694" t="s">
        <v>29</v>
      </c>
      <c r="F1694" t="s">
        <v>104</v>
      </c>
      <c r="G1694">
        <v>14</v>
      </c>
      <c r="H1694" t="s">
        <v>31</v>
      </c>
      <c r="I1694" t="s">
        <v>22</v>
      </c>
      <c r="J1694" t="s">
        <v>23</v>
      </c>
      <c r="K1694" s="2">
        <v>73753</v>
      </c>
      <c r="L1694" s="2">
        <v>78173</v>
      </c>
      <c r="M1694" t="s">
        <v>32</v>
      </c>
      <c r="N1694">
        <v>35</v>
      </c>
      <c r="O1694" t="s">
        <v>25</v>
      </c>
      <c r="P1694">
        <v>9</v>
      </c>
      <c r="Q1694" s="1">
        <v>-10.26</v>
      </c>
      <c r="R1694" s="2">
        <f t="shared" si="104"/>
        <v>4420</v>
      </c>
      <c r="S1694" s="1">
        <f t="shared" si="105"/>
        <v>5.9929765568858215</v>
      </c>
      <c r="T1694" t="str">
        <f t="shared" si="106"/>
        <v>Intermediate</v>
      </c>
      <c r="U1694" t="str">
        <f t="shared" si="107"/>
        <v>Low Impact</v>
      </c>
    </row>
    <row r="1695" spans="1:21" x14ac:dyDescent="0.3">
      <c r="A1695" t="s">
        <v>1299</v>
      </c>
      <c r="B1695">
        <v>39</v>
      </c>
      <c r="C1695" t="s">
        <v>27</v>
      </c>
      <c r="D1695" t="s">
        <v>28</v>
      </c>
      <c r="E1695" t="s">
        <v>29</v>
      </c>
      <c r="F1695" t="s">
        <v>30</v>
      </c>
      <c r="G1695">
        <v>16</v>
      </c>
      <c r="H1695" t="s">
        <v>37</v>
      </c>
      <c r="I1695" t="s">
        <v>22</v>
      </c>
      <c r="J1695" t="s">
        <v>23</v>
      </c>
      <c r="K1695" s="2">
        <v>109431</v>
      </c>
      <c r="L1695" s="2">
        <v>120526</v>
      </c>
      <c r="M1695" t="s">
        <v>32</v>
      </c>
      <c r="N1695">
        <v>44</v>
      </c>
      <c r="O1695" t="s">
        <v>23</v>
      </c>
      <c r="P1695">
        <v>5</v>
      </c>
      <c r="Q1695" s="1">
        <v>-10.27</v>
      </c>
      <c r="R1695" s="2">
        <f t="shared" si="104"/>
        <v>11095</v>
      </c>
      <c r="S1695" s="1">
        <f t="shared" si="105"/>
        <v>10.138808929827928</v>
      </c>
      <c r="T1695" t="str">
        <f t="shared" si="106"/>
        <v>Expert</v>
      </c>
      <c r="U1695" t="str">
        <f t="shared" si="107"/>
        <v>Low Impact</v>
      </c>
    </row>
    <row r="1696" spans="1:21" x14ac:dyDescent="0.3">
      <c r="A1696" t="s">
        <v>549</v>
      </c>
      <c r="B1696">
        <v>37</v>
      </c>
      <c r="C1696" t="s">
        <v>18</v>
      </c>
      <c r="D1696" t="s">
        <v>34</v>
      </c>
      <c r="E1696" t="s">
        <v>59</v>
      </c>
      <c r="F1696" t="s">
        <v>93</v>
      </c>
      <c r="G1696">
        <v>14</v>
      </c>
      <c r="H1696" t="s">
        <v>37</v>
      </c>
      <c r="I1696" t="s">
        <v>31</v>
      </c>
      <c r="J1696" t="s">
        <v>23</v>
      </c>
      <c r="K1696" s="2">
        <v>80081</v>
      </c>
      <c r="L1696" s="2">
        <v>90266</v>
      </c>
      <c r="M1696" t="s">
        <v>32</v>
      </c>
      <c r="N1696">
        <v>42</v>
      </c>
      <c r="O1696" t="s">
        <v>25</v>
      </c>
      <c r="P1696">
        <v>8</v>
      </c>
      <c r="Q1696" s="1">
        <v>-10.3</v>
      </c>
      <c r="R1696" s="2">
        <f t="shared" si="104"/>
        <v>10185</v>
      </c>
      <c r="S1696" s="1">
        <f t="shared" si="105"/>
        <v>12.71837264769421</v>
      </c>
      <c r="T1696" t="str">
        <f t="shared" si="106"/>
        <v>Intermediate</v>
      </c>
      <c r="U1696" t="str">
        <f t="shared" si="107"/>
        <v>Low Impact</v>
      </c>
    </row>
    <row r="1697" spans="1:21" x14ac:dyDescent="0.3">
      <c r="A1697" t="s">
        <v>1624</v>
      </c>
      <c r="B1697">
        <v>27</v>
      </c>
      <c r="C1697" t="s">
        <v>27</v>
      </c>
      <c r="D1697" t="s">
        <v>34</v>
      </c>
      <c r="E1697" t="s">
        <v>44</v>
      </c>
      <c r="F1697" t="s">
        <v>47</v>
      </c>
      <c r="G1697">
        <v>5</v>
      </c>
      <c r="H1697" t="s">
        <v>22</v>
      </c>
      <c r="I1697" t="s">
        <v>22</v>
      </c>
      <c r="J1697" t="s">
        <v>23</v>
      </c>
      <c r="K1697" s="2">
        <v>79648</v>
      </c>
      <c r="L1697" s="2">
        <v>82944</v>
      </c>
      <c r="M1697" t="s">
        <v>38</v>
      </c>
      <c r="N1697">
        <v>39</v>
      </c>
      <c r="O1697" t="s">
        <v>23</v>
      </c>
      <c r="P1697">
        <v>9</v>
      </c>
      <c r="Q1697" s="1">
        <v>-10.3</v>
      </c>
      <c r="R1697" s="2">
        <f t="shared" si="104"/>
        <v>3296</v>
      </c>
      <c r="S1697" s="1">
        <f t="shared" si="105"/>
        <v>4.1382081157091202</v>
      </c>
      <c r="T1697" t="str">
        <f t="shared" si="106"/>
        <v>Intermediate</v>
      </c>
      <c r="U1697" t="str">
        <f t="shared" si="107"/>
        <v>Medium Impact</v>
      </c>
    </row>
    <row r="1698" spans="1:21" x14ac:dyDescent="0.3">
      <c r="A1698" t="s">
        <v>754</v>
      </c>
      <c r="B1698">
        <v>24</v>
      </c>
      <c r="C1698" t="s">
        <v>27</v>
      </c>
      <c r="D1698" t="s">
        <v>19</v>
      </c>
      <c r="E1698" t="s">
        <v>59</v>
      </c>
      <c r="F1698" t="s">
        <v>60</v>
      </c>
      <c r="G1698">
        <v>0</v>
      </c>
      <c r="H1698" t="s">
        <v>31</v>
      </c>
      <c r="I1698" t="s">
        <v>37</v>
      </c>
      <c r="J1698" t="s">
        <v>23</v>
      </c>
      <c r="K1698" s="2">
        <v>111326</v>
      </c>
      <c r="L1698" s="2">
        <v>114609</v>
      </c>
      <c r="M1698" t="s">
        <v>38</v>
      </c>
      <c r="N1698">
        <v>44</v>
      </c>
      <c r="O1698" t="s">
        <v>23</v>
      </c>
      <c r="P1698">
        <v>7</v>
      </c>
      <c r="Q1698" s="1">
        <v>-10.32</v>
      </c>
      <c r="R1698" s="2">
        <f t="shared" si="104"/>
        <v>3283</v>
      </c>
      <c r="S1698" s="1">
        <f t="shared" si="105"/>
        <v>2.9489966404972785</v>
      </c>
      <c r="T1698" t="str">
        <f t="shared" si="106"/>
        <v>Beginner</v>
      </c>
      <c r="U1698" t="str">
        <f t="shared" si="107"/>
        <v>Medium Impact</v>
      </c>
    </row>
    <row r="1699" spans="1:21" x14ac:dyDescent="0.3">
      <c r="A1699" t="s">
        <v>1899</v>
      </c>
      <c r="B1699">
        <v>38</v>
      </c>
      <c r="C1699" t="s">
        <v>18</v>
      </c>
      <c r="D1699" t="s">
        <v>34</v>
      </c>
      <c r="E1699" t="s">
        <v>35</v>
      </c>
      <c r="F1699" t="s">
        <v>36</v>
      </c>
      <c r="G1699">
        <v>13</v>
      </c>
      <c r="H1699" t="s">
        <v>31</v>
      </c>
      <c r="I1699" t="s">
        <v>22</v>
      </c>
      <c r="J1699" t="s">
        <v>23</v>
      </c>
      <c r="K1699" s="2">
        <v>117084</v>
      </c>
      <c r="L1699" s="2">
        <v>119609</v>
      </c>
      <c r="M1699" t="s">
        <v>32</v>
      </c>
      <c r="N1699">
        <v>40</v>
      </c>
      <c r="O1699" t="s">
        <v>25</v>
      </c>
      <c r="P1699">
        <v>5</v>
      </c>
      <c r="Q1699" s="1">
        <v>-10.34</v>
      </c>
      <c r="R1699" s="2">
        <f t="shared" si="104"/>
        <v>2525</v>
      </c>
      <c r="S1699" s="1">
        <f t="shared" si="105"/>
        <v>2.1565713504834139</v>
      </c>
      <c r="T1699" t="str">
        <f t="shared" si="106"/>
        <v>Intermediate</v>
      </c>
      <c r="U1699" t="str">
        <f t="shared" si="107"/>
        <v>Low Impact</v>
      </c>
    </row>
    <row r="1700" spans="1:21" x14ac:dyDescent="0.3">
      <c r="A1700" t="s">
        <v>265</v>
      </c>
      <c r="B1700">
        <v>53</v>
      </c>
      <c r="C1700" t="s">
        <v>27</v>
      </c>
      <c r="D1700" t="s">
        <v>40</v>
      </c>
      <c r="E1700" t="s">
        <v>44</v>
      </c>
      <c r="F1700" t="s">
        <v>47</v>
      </c>
      <c r="G1700">
        <v>29</v>
      </c>
      <c r="H1700" t="s">
        <v>37</v>
      </c>
      <c r="I1700" t="s">
        <v>37</v>
      </c>
      <c r="J1700" t="s">
        <v>25</v>
      </c>
      <c r="K1700" s="2">
        <v>107236</v>
      </c>
      <c r="L1700" s="2">
        <v>120431</v>
      </c>
      <c r="M1700" t="s">
        <v>38</v>
      </c>
      <c r="N1700">
        <v>38</v>
      </c>
      <c r="O1700" t="s">
        <v>23</v>
      </c>
      <c r="P1700">
        <v>4</v>
      </c>
      <c r="Q1700" s="1">
        <v>-10.35</v>
      </c>
      <c r="R1700" s="2">
        <f t="shared" si="104"/>
        <v>13195</v>
      </c>
      <c r="S1700" s="1">
        <f t="shared" si="105"/>
        <v>12.304636502667014</v>
      </c>
      <c r="T1700" t="str">
        <f t="shared" si="106"/>
        <v>Expert</v>
      </c>
      <c r="U1700" t="str">
        <f t="shared" si="107"/>
        <v>Medium Impact</v>
      </c>
    </row>
    <row r="1701" spans="1:21" x14ac:dyDescent="0.3">
      <c r="A1701" t="s">
        <v>1712</v>
      </c>
      <c r="B1701">
        <v>58</v>
      </c>
      <c r="C1701" t="s">
        <v>18</v>
      </c>
      <c r="D1701" t="s">
        <v>19</v>
      </c>
      <c r="E1701" t="s">
        <v>44</v>
      </c>
      <c r="F1701" t="s">
        <v>47</v>
      </c>
      <c r="G1701">
        <v>35</v>
      </c>
      <c r="H1701" t="s">
        <v>22</v>
      </c>
      <c r="I1701" t="s">
        <v>31</v>
      </c>
      <c r="J1701" t="s">
        <v>25</v>
      </c>
      <c r="K1701" s="2">
        <v>78704</v>
      </c>
      <c r="L1701" s="2">
        <v>76573</v>
      </c>
      <c r="M1701" t="s">
        <v>32</v>
      </c>
      <c r="N1701">
        <v>45</v>
      </c>
      <c r="O1701" t="s">
        <v>25</v>
      </c>
      <c r="P1701">
        <v>7</v>
      </c>
      <c r="Q1701" s="1">
        <v>-10.38</v>
      </c>
      <c r="R1701" s="2">
        <f t="shared" si="104"/>
        <v>-2131</v>
      </c>
      <c r="S1701" s="1">
        <f t="shared" si="105"/>
        <v>-2.7076133360439116</v>
      </c>
      <c r="T1701" t="str">
        <f t="shared" si="106"/>
        <v>Expert</v>
      </c>
      <c r="U1701" t="str">
        <f t="shared" si="107"/>
        <v>Low Impact</v>
      </c>
    </row>
    <row r="1702" spans="1:21" x14ac:dyDescent="0.3">
      <c r="A1702" t="s">
        <v>1276</v>
      </c>
      <c r="B1702">
        <v>36</v>
      </c>
      <c r="C1702" t="s">
        <v>18</v>
      </c>
      <c r="D1702" t="s">
        <v>28</v>
      </c>
      <c r="E1702" t="s">
        <v>29</v>
      </c>
      <c r="F1702" t="s">
        <v>30</v>
      </c>
      <c r="G1702">
        <v>14</v>
      </c>
      <c r="H1702" t="s">
        <v>31</v>
      </c>
      <c r="I1702" t="s">
        <v>37</v>
      </c>
      <c r="J1702" t="s">
        <v>25</v>
      </c>
      <c r="K1702" s="2">
        <v>114629</v>
      </c>
      <c r="L1702" s="2">
        <v>120828</v>
      </c>
      <c r="M1702" t="s">
        <v>38</v>
      </c>
      <c r="N1702">
        <v>38</v>
      </c>
      <c r="O1702" t="s">
        <v>25</v>
      </c>
      <c r="P1702">
        <v>4</v>
      </c>
      <c r="Q1702" s="1">
        <v>-10.42</v>
      </c>
      <c r="R1702" s="2">
        <f t="shared" si="104"/>
        <v>6199</v>
      </c>
      <c r="S1702" s="1">
        <f t="shared" si="105"/>
        <v>5.4078810772143173</v>
      </c>
      <c r="T1702" t="str">
        <f t="shared" si="106"/>
        <v>Intermediate</v>
      </c>
      <c r="U1702" t="str">
        <f t="shared" si="107"/>
        <v>Medium Impact</v>
      </c>
    </row>
    <row r="1703" spans="1:21" x14ac:dyDescent="0.3">
      <c r="A1703" t="s">
        <v>350</v>
      </c>
      <c r="B1703">
        <v>53</v>
      </c>
      <c r="C1703" t="s">
        <v>54</v>
      </c>
      <c r="D1703" t="s">
        <v>28</v>
      </c>
      <c r="E1703" t="s">
        <v>44</v>
      </c>
      <c r="F1703" t="s">
        <v>57</v>
      </c>
      <c r="G1703">
        <v>31</v>
      </c>
      <c r="H1703" t="s">
        <v>22</v>
      </c>
      <c r="I1703" t="s">
        <v>31</v>
      </c>
      <c r="J1703" t="s">
        <v>25</v>
      </c>
      <c r="K1703" s="2">
        <v>106559</v>
      </c>
      <c r="L1703" s="2">
        <v>117652</v>
      </c>
      <c r="M1703" t="s">
        <v>32</v>
      </c>
      <c r="N1703">
        <v>48</v>
      </c>
      <c r="O1703" t="s">
        <v>23</v>
      </c>
      <c r="P1703">
        <v>6</v>
      </c>
      <c r="Q1703" s="1">
        <v>-10.44</v>
      </c>
      <c r="R1703" s="2">
        <f t="shared" si="104"/>
        <v>11093</v>
      </c>
      <c r="S1703" s="1">
        <f t="shared" si="105"/>
        <v>10.410195290871723</v>
      </c>
      <c r="T1703" t="str">
        <f t="shared" si="106"/>
        <v>Expert</v>
      </c>
      <c r="U1703" t="str">
        <f t="shared" si="107"/>
        <v>Low Impact</v>
      </c>
    </row>
    <row r="1704" spans="1:21" x14ac:dyDescent="0.3">
      <c r="A1704" t="s">
        <v>279</v>
      </c>
      <c r="B1704">
        <v>36</v>
      </c>
      <c r="C1704" t="s">
        <v>18</v>
      </c>
      <c r="D1704" t="s">
        <v>19</v>
      </c>
      <c r="E1704" t="s">
        <v>51</v>
      </c>
      <c r="F1704" t="s">
        <v>75</v>
      </c>
      <c r="G1704">
        <v>11</v>
      </c>
      <c r="H1704" t="s">
        <v>22</v>
      </c>
      <c r="I1704" t="s">
        <v>22</v>
      </c>
      <c r="J1704" t="s">
        <v>25</v>
      </c>
      <c r="K1704" s="2">
        <v>48639</v>
      </c>
      <c r="L1704" s="2">
        <v>54764</v>
      </c>
      <c r="M1704" t="s">
        <v>24</v>
      </c>
      <c r="N1704">
        <v>51</v>
      </c>
      <c r="O1704" t="s">
        <v>25</v>
      </c>
      <c r="P1704">
        <v>7</v>
      </c>
      <c r="Q1704" s="1">
        <v>-10.45</v>
      </c>
      <c r="R1704" s="2">
        <f t="shared" si="104"/>
        <v>6125</v>
      </c>
      <c r="S1704" s="1">
        <f t="shared" si="105"/>
        <v>12.592775344887846</v>
      </c>
      <c r="T1704" t="str">
        <f t="shared" si="106"/>
        <v>Intermediate</v>
      </c>
      <c r="U1704" t="str">
        <f t="shared" si="107"/>
        <v>High Impact</v>
      </c>
    </row>
    <row r="1705" spans="1:21" x14ac:dyDescent="0.3">
      <c r="A1705" t="s">
        <v>408</v>
      </c>
      <c r="B1705">
        <v>45</v>
      </c>
      <c r="C1705" t="s">
        <v>18</v>
      </c>
      <c r="D1705" t="s">
        <v>19</v>
      </c>
      <c r="E1705" t="s">
        <v>51</v>
      </c>
      <c r="F1705" t="s">
        <v>52</v>
      </c>
      <c r="G1705">
        <v>23</v>
      </c>
      <c r="H1705" t="s">
        <v>31</v>
      </c>
      <c r="I1705" t="s">
        <v>37</v>
      </c>
      <c r="J1705" t="s">
        <v>23</v>
      </c>
      <c r="K1705" s="2">
        <v>73619</v>
      </c>
      <c r="L1705" s="2">
        <v>78391</v>
      </c>
      <c r="M1705" t="s">
        <v>38</v>
      </c>
      <c r="N1705">
        <v>46</v>
      </c>
      <c r="O1705" t="s">
        <v>25</v>
      </c>
      <c r="P1705">
        <v>6</v>
      </c>
      <c r="Q1705" s="1">
        <v>-10.47</v>
      </c>
      <c r="R1705" s="2">
        <f t="shared" si="104"/>
        <v>4772</v>
      </c>
      <c r="S1705" s="1">
        <f t="shared" si="105"/>
        <v>6.4820223040247757</v>
      </c>
      <c r="T1705" t="str">
        <f t="shared" si="106"/>
        <v>Expert</v>
      </c>
      <c r="U1705" t="str">
        <f t="shared" si="107"/>
        <v>Medium Impact</v>
      </c>
    </row>
    <row r="1706" spans="1:21" x14ac:dyDescent="0.3">
      <c r="A1706" t="s">
        <v>724</v>
      </c>
      <c r="B1706">
        <v>43</v>
      </c>
      <c r="C1706" t="s">
        <v>27</v>
      </c>
      <c r="D1706" t="s">
        <v>19</v>
      </c>
      <c r="E1706" t="s">
        <v>29</v>
      </c>
      <c r="F1706" t="s">
        <v>104</v>
      </c>
      <c r="G1706">
        <v>19</v>
      </c>
      <c r="H1706" t="s">
        <v>37</v>
      </c>
      <c r="I1706" t="s">
        <v>31</v>
      </c>
      <c r="J1706" t="s">
        <v>25</v>
      </c>
      <c r="K1706" s="2">
        <v>113948</v>
      </c>
      <c r="L1706" s="2">
        <v>129693</v>
      </c>
      <c r="M1706" t="s">
        <v>32</v>
      </c>
      <c r="N1706">
        <v>51</v>
      </c>
      <c r="O1706" t="s">
        <v>25</v>
      </c>
      <c r="P1706">
        <v>3</v>
      </c>
      <c r="Q1706" s="1">
        <v>-10.5</v>
      </c>
      <c r="R1706" s="2">
        <f t="shared" si="104"/>
        <v>15745</v>
      </c>
      <c r="S1706" s="1">
        <f t="shared" si="105"/>
        <v>13.817706322182048</v>
      </c>
      <c r="T1706" t="str">
        <f t="shared" si="106"/>
        <v>Expert</v>
      </c>
      <c r="U1706" t="str">
        <f t="shared" si="107"/>
        <v>Low Impact</v>
      </c>
    </row>
    <row r="1707" spans="1:21" x14ac:dyDescent="0.3">
      <c r="A1707" t="s">
        <v>17</v>
      </c>
      <c r="B1707">
        <v>50</v>
      </c>
      <c r="C1707" t="s">
        <v>18</v>
      </c>
      <c r="D1707" t="s">
        <v>19</v>
      </c>
      <c r="E1707" t="s">
        <v>20</v>
      </c>
      <c r="F1707" t="s">
        <v>21</v>
      </c>
      <c r="G1707">
        <v>26</v>
      </c>
      <c r="H1707" t="s">
        <v>22</v>
      </c>
      <c r="I1707" t="s">
        <v>22</v>
      </c>
      <c r="J1707" t="s">
        <v>23</v>
      </c>
      <c r="K1707" s="2">
        <v>106820</v>
      </c>
      <c r="L1707" s="2">
        <v>95455</v>
      </c>
      <c r="M1707" t="s">
        <v>24</v>
      </c>
      <c r="N1707">
        <v>45</v>
      </c>
      <c r="O1707" t="s">
        <v>25</v>
      </c>
      <c r="P1707">
        <v>5</v>
      </c>
      <c r="Q1707" s="1">
        <v>-10.64</v>
      </c>
      <c r="R1707" s="2">
        <f t="shared" si="104"/>
        <v>-11365</v>
      </c>
      <c r="S1707" s="1">
        <f t="shared" si="105"/>
        <v>-10.63939337202771</v>
      </c>
      <c r="T1707" t="str">
        <f t="shared" si="106"/>
        <v>Expert</v>
      </c>
      <c r="U1707" t="str">
        <f t="shared" si="107"/>
        <v>High Impact</v>
      </c>
    </row>
    <row r="1708" spans="1:21" x14ac:dyDescent="0.3">
      <c r="A1708" t="s">
        <v>1554</v>
      </c>
      <c r="B1708">
        <v>46</v>
      </c>
      <c r="C1708" t="s">
        <v>54</v>
      </c>
      <c r="D1708" t="s">
        <v>34</v>
      </c>
      <c r="E1708" t="s">
        <v>35</v>
      </c>
      <c r="F1708" t="s">
        <v>36</v>
      </c>
      <c r="G1708">
        <v>22</v>
      </c>
      <c r="H1708" t="s">
        <v>22</v>
      </c>
      <c r="I1708" t="s">
        <v>22</v>
      </c>
      <c r="J1708" t="s">
        <v>25</v>
      </c>
      <c r="K1708" s="2">
        <v>116120</v>
      </c>
      <c r="L1708" s="2">
        <v>126898</v>
      </c>
      <c r="M1708" t="s">
        <v>24</v>
      </c>
      <c r="N1708">
        <v>43</v>
      </c>
      <c r="O1708" t="s">
        <v>23</v>
      </c>
      <c r="P1708">
        <v>9</v>
      </c>
      <c r="Q1708" s="1">
        <v>-10.71</v>
      </c>
      <c r="R1708" s="2">
        <f t="shared" si="104"/>
        <v>10778</v>
      </c>
      <c r="S1708" s="1">
        <f t="shared" si="105"/>
        <v>9.2817774715811243</v>
      </c>
      <c r="T1708" t="str">
        <f t="shared" si="106"/>
        <v>Expert</v>
      </c>
      <c r="U1708" t="str">
        <f t="shared" si="107"/>
        <v>High Impact</v>
      </c>
    </row>
    <row r="1709" spans="1:21" x14ac:dyDescent="0.3">
      <c r="A1709" t="s">
        <v>1340</v>
      </c>
      <c r="B1709">
        <v>57</v>
      </c>
      <c r="C1709" t="s">
        <v>54</v>
      </c>
      <c r="D1709" t="s">
        <v>40</v>
      </c>
      <c r="E1709" t="s">
        <v>20</v>
      </c>
      <c r="F1709" t="s">
        <v>88</v>
      </c>
      <c r="G1709">
        <v>33</v>
      </c>
      <c r="H1709" t="s">
        <v>22</v>
      </c>
      <c r="I1709" t="s">
        <v>22</v>
      </c>
      <c r="J1709" t="s">
        <v>23</v>
      </c>
      <c r="K1709" s="2">
        <v>38080</v>
      </c>
      <c r="L1709" s="2">
        <v>47181</v>
      </c>
      <c r="M1709" t="s">
        <v>38</v>
      </c>
      <c r="N1709">
        <v>43</v>
      </c>
      <c r="O1709" t="s">
        <v>25</v>
      </c>
      <c r="P1709">
        <v>7</v>
      </c>
      <c r="Q1709" s="1">
        <v>-10.75</v>
      </c>
      <c r="R1709" s="2">
        <f t="shared" si="104"/>
        <v>9101</v>
      </c>
      <c r="S1709" s="1">
        <f t="shared" si="105"/>
        <v>23.899684873949582</v>
      </c>
      <c r="T1709" t="str">
        <f t="shared" si="106"/>
        <v>Expert</v>
      </c>
      <c r="U1709" t="str">
        <f t="shared" si="107"/>
        <v>Medium Impact</v>
      </c>
    </row>
    <row r="1710" spans="1:21" x14ac:dyDescent="0.3">
      <c r="A1710" t="s">
        <v>796</v>
      </c>
      <c r="B1710">
        <v>40</v>
      </c>
      <c r="C1710" t="s">
        <v>27</v>
      </c>
      <c r="D1710" t="s">
        <v>34</v>
      </c>
      <c r="E1710" t="s">
        <v>29</v>
      </c>
      <c r="F1710" t="s">
        <v>102</v>
      </c>
      <c r="G1710">
        <v>15</v>
      </c>
      <c r="H1710" t="s">
        <v>31</v>
      </c>
      <c r="I1710" t="s">
        <v>22</v>
      </c>
      <c r="J1710" t="s">
        <v>25</v>
      </c>
      <c r="K1710" s="2">
        <v>34837</v>
      </c>
      <c r="L1710" s="2">
        <v>36507</v>
      </c>
      <c r="M1710" t="s">
        <v>32</v>
      </c>
      <c r="N1710">
        <v>37</v>
      </c>
      <c r="O1710" t="s">
        <v>25</v>
      </c>
      <c r="P1710">
        <v>5</v>
      </c>
      <c r="Q1710" s="1">
        <v>-10.76</v>
      </c>
      <c r="R1710" s="2">
        <f t="shared" si="104"/>
        <v>1670</v>
      </c>
      <c r="S1710" s="1">
        <f t="shared" si="105"/>
        <v>4.7937537675460007</v>
      </c>
      <c r="T1710" t="str">
        <f t="shared" si="106"/>
        <v>Expert</v>
      </c>
      <c r="U1710" t="str">
        <f t="shared" si="107"/>
        <v>Low Impact</v>
      </c>
    </row>
    <row r="1711" spans="1:21" x14ac:dyDescent="0.3">
      <c r="A1711" t="s">
        <v>554</v>
      </c>
      <c r="B1711">
        <v>34</v>
      </c>
      <c r="C1711" t="s">
        <v>18</v>
      </c>
      <c r="D1711" t="s">
        <v>19</v>
      </c>
      <c r="E1711" t="s">
        <v>29</v>
      </c>
      <c r="F1711" t="s">
        <v>30</v>
      </c>
      <c r="G1711">
        <v>8</v>
      </c>
      <c r="H1711" t="s">
        <v>37</v>
      </c>
      <c r="I1711" t="s">
        <v>31</v>
      </c>
      <c r="J1711" t="s">
        <v>23</v>
      </c>
      <c r="K1711" s="2">
        <v>42297</v>
      </c>
      <c r="L1711" s="2">
        <v>49505</v>
      </c>
      <c r="M1711" t="s">
        <v>32</v>
      </c>
      <c r="N1711">
        <v>36</v>
      </c>
      <c r="O1711" t="s">
        <v>23</v>
      </c>
      <c r="P1711">
        <v>5</v>
      </c>
      <c r="Q1711" s="1">
        <v>-10.77</v>
      </c>
      <c r="R1711" s="2">
        <f t="shared" si="104"/>
        <v>7208</v>
      </c>
      <c r="S1711" s="1">
        <f t="shared" si="105"/>
        <v>17.041397735063953</v>
      </c>
      <c r="T1711" t="str">
        <f t="shared" si="106"/>
        <v>Intermediate</v>
      </c>
      <c r="U1711" t="str">
        <f t="shared" si="107"/>
        <v>Low Impact</v>
      </c>
    </row>
    <row r="1712" spans="1:21" x14ac:dyDescent="0.3">
      <c r="A1712" t="s">
        <v>1447</v>
      </c>
      <c r="B1712">
        <v>51</v>
      </c>
      <c r="C1712" t="s">
        <v>18</v>
      </c>
      <c r="D1712" t="s">
        <v>19</v>
      </c>
      <c r="E1712" t="s">
        <v>51</v>
      </c>
      <c r="F1712" t="s">
        <v>52</v>
      </c>
      <c r="G1712">
        <v>27</v>
      </c>
      <c r="H1712" t="s">
        <v>31</v>
      </c>
      <c r="I1712" t="s">
        <v>31</v>
      </c>
      <c r="J1712" t="s">
        <v>23</v>
      </c>
      <c r="K1712" s="2">
        <v>47529</v>
      </c>
      <c r="L1712" s="2">
        <v>48833</v>
      </c>
      <c r="M1712" t="s">
        <v>32</v>
      </c>
      <c r="N1712">
        <v>43</v>
      </c>
      <c r="O1712" t="s">
        <v>25</v>
      </c>
      <c r="P1712">
        <v>7</v>
      </c>
      <c r="Q1712" s="1">
        <v>-10.78</v>
      </c>
      <c r="R1712" s="2">
        <f t="shared" si="104"/>
        <v>1304</v>
      </c>
      <c r="S1712" s="1">
        <f t="shared" si="105"/>
        <v>2.7435881251446483</v>
      </c>
      <c r="T1712" t="str">
        <f t="shared" si="106"/>
        <v>Expert</v>
      </c>
      <c r="U1712" t="str">
        <f t="shared" si="107"/>
        <v>Low Impact</v>
      </c>
    </row>
    <row r="1713" spans="1:21" x14ac:dyDescent="0.3">
      <c r="A1713" t="s">
        <v>337</v>
      </c>
      <c r="B1713">
        <v>57</v>
      </c>
      <c r="C1713" t="s">
        <v>18</v>
      </c>
      <c r="D1713" t="s">
        <v>40</v>
      </c>
      <c r="E1713" t="s">
        <v>29</v>
      </c>
      <c r="F1713" t="s">
        <v>104</v>
      </c>
      <c r="G1713">
        <v>34</v>
      </c>
      <c r="H1713" t="s">
        <v>22</v>
      </c>
      <c r="I1713" t="s">
        <v>31</v>
      </c>
      <c r="J1713" t="s">
        <v>23</v>
      </c>
      <c r="K1713" s="2">
        <v>98576</v>
      </c>
      <c r="L1713" s="2">
        <v>103935</v>
      </c>
      <c r="M1713" t="s">
        <v>32</v>
      </c>
      <c r="N1713">
        <v>51</v>
      </c>
      <c r="O1713" t="s">
        <v>23</v>
      </c>
      <c r="P1713">
        <v>5</v>
      </c>
      <c r="Q1713" s="1">
        <v>-10.82</v>
      </c>
      <c r="R1713" s="2">
        <f t="shared" si="104"/>
        <v>5359</v>
      </c>
      <c r="S1713" s="1">
        <f t="shared" si="105"/>
        <v>5.4364145430936537</v>
      </c>
      <c r="T1713" t="str">
        <f t="shared" si="106"/>
        <v>Expert</v>
      </c>
      <c r="U1713" t="str">
        <f t="shared" si="107"/>
        <v>Low Impact</v>
      </c>
    </row>
    <row r="1714" spans="1:21" x14ac:dyDescent="0.3">
      <c r="A1714" t="s">
        <v>1729</v>
      </c>
      <c r="B1714">
        <v>26</v>
      </c>
      <c r="C1714" t="s">
        <v>27</v>
      </c>
      <c r="D1714" t="s">
        <v>19</v>
      </c>
      <c r="E1714" t="s">
        <v>44</v>
      </c>
      <c r="F1714" t="s">
        <v>45</v>
      </c>
      <c r="G1714">
        <v>3</v>
      </c>
      <c r="H1714" t="s">
        <v>31</v>
      </c>
      <c r="I1714" t="s">
        <v>31</v>
      </c>
      <c r="J1714" t="s">
        <v>23</v>
      </c>
      <c r="K1714" s="2">
        <v>70498</v>
      </c>
      <c r="L1714" s="2">
        <v>69551</v>
      </c>
      <c r="M1714" t="s">
        <v>32</v>
      </c>
      <c r="N1714">
        <v>42</v>
      </c>
      <c r="O1714" t="s">
        <v>25</v>
      </c>
      <c r="P1714">
        <v>3</v>
      </c>
      <c r="Q1714" s="1">
        <v>-10.85</v>
      </c>
      <c r="R1714" s="2">
        <f t="shared" si="104"/>
        <v>-947</v>
      </c>
      <c r="S1714" s="1">
        <f t="shared" si="105"/>
        <v>-1.3433005191636642</v>
      </c>
      <c r="T1714" t="str">
        <f t="shared" si="106"/>
        <v>Beginner</v>
      </c>
      <c r="U1714" t="str">
        <f t="shared" si="107"/>
        <v>Low Impact</v>
      </c>
    </row>
    <row r="1715" spans="1:21" x14ac:dyDescent="0.3">
      <c r="A1715" t="s">
        <v>348</v>
      </c>
      <c r="B1715">
        <v>37</v>
      </c>
      <c r="C1715" t="s">
        <v>54</v>
      </c>
      <c r="D1715" t="s">
        <v>28</v>
      </c>
      <c r="E1715" t="s">
        <v>35</v>
      </c>
      <c r="F1715" t="s">
        <v>132</v>
      </c>
      <c r="G1715">
        <v>11</v>
      </c>
      <c r="H1715" t="s">
        <v>31</v>
      </c>
      <c r="I1715" t="s">
        <v>37</v>
      </c>
      <c r="J1715" t="s">
        <v>23</v>
      </c>
      <c r="K1715" s="2">
        <v>102982</v>
      </c>
      <c r="L1715" s="2">
        <v>104001</v>
      </c>
      <c r="M1715" t="s">
        <v>38</v>
      </c>
      <c r="N1715">
        <v>39</v>
      </c>
      <c r="O1715" t="s">
        <v>25</v>
      </c>
      <c r="P1715">
        <v>6</v>
      </c>
      <c r="Q1715" s="1">
        <v>-10.86</v>
      </c>
      <c r="R1715" s="2">
        <f t="shared" si="104"/>
        <v>1019</v>
      </c>
      <c r="S1715" s="1">
        <f t="shared" si="105"/>
        <v>0.98949330951039993</v>
      </c>
      <c r="T1715" t="str">
        <f t="shared" si="106"/>
        <v>Intermediate</v>
      </c>
      <c r="U1715" t="str">
        <f t="shared" si="107"/>
        <v>Medium Impact</v>
      </c>
    </row>
    <row r="1716" spans="1:21" x14ac:dyDescent="0.3">
      <c r="A1716" t="s">
        <v>968</v>
      </c>
      <c r="B1716">
        <v>48</v>
      </c>
      <c r="C1716" t="s">
        <v>54</v>
      </c>
      <c r="D1716" t="s">
        <v>40</v>
      </c>
      <c r="E1716" t="s">
        <v>35</v>
      </c>
      <c r="F1716" t="s">
        <v>98</v>
      </c>
      <c r="G1716">
        <v>24</v>
      </c>
      <c r="H1716" t="s">
        <v>31</v>
      </c>
      <c r="I1716" t="s">
        <v>22</v>
      </c>
      <c r="J1716" t="s">
        <v>23</v>
      </c>
      <c r="K1716" s="2">
        <v>58333</v>
      </c>
      <c r="L1716" s="2">
        <v>63154</v>
      </c>
      <c r="M1716" t="s">
        <v>32</v>
      </c>
      <c r="N1716">
        <v>51</v>
      </c>
      <c r="O1716" t="s">
        <v>25</v>
      </c>
      <c r="P1716">
        <v>8</v>
      </c>
      <c r="Q1716" s="1">
        <v>-10.9</v>
      </c>
      <c r="R1716" s="2">
        <f t="shared" si="104"/>
        <v>4821</v>
      </c>
      <c r="S1716" s="1">
        <f t="shared" si="105"/>
        <v>8.2646186549637424</v>
      </c>
      <c r="T1716" t="str">
        <f t="shared" si="106"/>
        <v>Expert</v>
      </c>
      <c r="U1716" t="str">
        <f t="shared" si="107"/>
        <v>Low Impact</v>
      </c>
    </row>
    <row r="1717" spans="1:21" x14ac:dyDescent="0.3">
      <c r="A1717" t="s">
        <v>79</v>
      </c>
      <c r="B1717">
        <v>27</v>
      </c>
      <c r="C1717" t="s">
        <v>27</v>
      </c>
      <c r="D1717" t="s">
        <v>28</v>
      </c>
      <c r="E1717" t="s">
        <v>41</v>
      </c>
      <c r="F1717" t="s">
        <v>55</v>
      </c>
      <c r="G1717">
        <v>3</v>
      </c>
      <c r="H1717" t="s">
        <v>22</v>
      </c>
      <c r="I1717" t="s">
        <v>37</v>
      </c>
      <c r="J1717" t="s">
        <v>23</v>
      </c>
      <c r="K1717" s="2">
        <v>110623</v>
      </c>
      <c r="L1717" s="2">
        <v>141487</v>
      </c>
      <c r="M1717" t="s">
        <v>38</v>
      </c>
      <c r="N1717">
        <v>40</v>
      </c>
      <c r="O1717" t="s">
        <v>23</v>
      </c>
      <c r="P1717">
        <v>7</v>
      </c>
      <c r="Q1717" s="1">
        <v>-10.96</v>
      </c>
      <c r="R1717" s="2">
        <f t="shared" si="104"/>
        <v>30864</v>
      </c>
      <c r="S1717" s="1">
        <f t="shared" si="105"/>
        <v>27.900165426719582</v>
      </c>
      <c r="T1717" t="str">
        <f t="shared" si="106"/>
        <v>Beginner</v>
      </c>
      <c r="U1717" t="str">
        <f t="shared" si="107"/>
        <v>Medium Impact</v>
      </c>
    </row>
    <row r="1718" spans="1:21" x14ac:dyDescent="0.3">
      <c r="A1718" t="s">
        <v>1444</v>
      </c>
      <c r="B1718">
        <v>59</v>
      </c>
      <c r="C1718" t="s">
        <v>27</v>
      </c>
      <c r="D1718" t="s">
        <v>40</v>
      </c>
      <c r="E1718" t="s">
        <v>41</v>
      </c>
      <c r="F1718" t="s">
        <v>55</v>
      </c>
      <c r="G1718">
        <v>36</v>
      </c>
      <c r="H1718" t="s">
        <v>37</v>
      </c>
      <c r="I1718" t="s">
        <v>31</v>
      </c>
      <c r="J1718" t="s">
        <v>23</v>
      </c>
      <c r="K1718" s="2">
        <v>99726</v>
      </c>
      <c r="L1718" s="2">
        <v>114632</v>
      </c>
      <c r="M1718" t="s">
        <v>32</v>
      </c>
      <c r="N1718">
        <v>41</v>
      </c>
      <c r="O1718" t="s">
        <v>23</v>
      </c>
      <c r="P1718">
        <v>6</v>
      </c>
      <c r="Q1718" s="1">
        <v>-10.98</v>
      </c>
      <c r="R1718" s="2">
        <f t="shared" si="104"/>
        <v>14906</v>
      </c>
      <c r="S1718" s="1">
        <f t="shared" si="105"/>
        <v>14.946954655756773</v>
      </c>
      <c r="T1718" t="str">
        <f t="shared" si="106"/>
        <v>Expert</v>
      </c>
      <c r="U1718" t="str">
        <f t="shared" si="107"/>
        <v>Low Impact</v>
      </c>
    </row>
    <row r="1719" spans="1:21" x14ac:dyDescent="0.3">
      <c r="A1719" t="s">
        <v>1976</v>
      </c>
      <c r="B1719">
        <v>24</v>
      </c>
      <c r="C1719" t="s">
        <v>54</v>
      </c>
      <c r="D1719" t="s">
        <v>34</v>
      </c>
      <c r="E1719" t="s">
        <v>59</v>
      </c>
      <c r="F1719" t="s">
        <v>60</v>
      </c>
      <c r="G1719">
        <v>0</v>
      </c>
      <c r="H1719" t="s">
        <v>31</v>
      </c>
      <c r="I1719" t="s">
        <v>37</v>
      </c>
      <c r="J1719" t="s">
        <v>25</v>
      </c>
      <c r="K1719" s="2">
        <v>52580</v>
      </c>
      <c r="L1719" s="2">
        <v>54418</v>
      </c>
      <c r="M1719" t="s">
        <v>38</v>
      </c>
      <c r="N1719">
        <v>35</v>
      </c>
      <c r="O1719" t="s">
        <v>23</v>
      </c>
      <c r="P1719">
        <v>8</v>
      </c>
      <c r="Q1719" s="1">
        <v>-11.04</v>
      </c>
      <c r="R1719" s="2">
        <f t="shared" si="104"/>
        <v>1838</v>
      </c>
      <c r="S1719" s="1">
        <f t="shared" si="105"/>
        <v>3.4956257131989346</v>
      </c>
      <c r="T1719" t="str">
        <f t="shared" si="106"/>
        <v>Beginner</v>
      </c>
      <c r="U1719" t="str">
        <f t="shared" si="107"/>
        <v>Medium Impact</v>
      </c>
    </row>
    <row r="1720" spans="1:21" x14ac:dyDescent="0.3">
      <c r="A1720" t="s">
        <v>755</v>
      </c>
      <c r="B1720">
        <v>58</v>
      </c>
      <c r="C1720" t="s">
        <v>27</v>
      </c>
      <c r="D1720" t="s">
        <v>34</v>
      </c>
      <c r="E1720" t="s">
        <v>35</v>
      </c>
      <c r="F1720" t="s">
        <v>98</v>
      </c>
      <c r="G1720">
        <v>34</v>
      </c>
      <c r="H1720" t="s">
        <v>31</v>
      </c>
      <c r="I1720" t="s">
        <v>31</v>
      </c>
      <c r="J1720" t="s">
        <v>23</v>
      </c>
      <c r="K1720" s="2">
        <v>53862</v>
      </c>
      <c r="L1720" s="2">
        <v>52412</v>
      </c>
      <c r="M1720" t="s">
        <v>32</v>
      </c>
      <c r="N1720">
        <v>40</v>
      </c>
      <c r="O1720" t="s">
        <v>25</v>
      </c>
      <c r="P1720">
        <v>9</v>
      </c>
      <c r="Q1720" s="1">
        <v>-11.05</v>
      </c>
      <c r="R1720" s="2">
        <f t="shared" si="104"/>
        <v>-1450</v>
      </c>
      <c r="S1720" s="1">
        <f t="shared" si="105"/>
        <v>-2.6920649066131968</v>
      </c>
      <c r="T1720" t="str">
        <f t="shared" si="106"/>
        <v>Expert</v>
      </c>
      <c r="U1720" t="str">
        <f t="shared" si="107"/>
        <v>Low Impact</v>
      </c>
    </row>
    <row r="1721" spans="1:21" x14ac:dyDescent="0.3">
      <c r="A1721" t="s">
        <v>2027</v>
      </c>
      <c r="B1721">
        <v>58</v>
      </c>
      <c r="C1721" t="s">
        <v>27</v>
      </c>
      <c r="D1721" t="s">
        <v>40</v>
      </c>
      <c r="E1721" t="s">
        <v>29</v>
      </c>
      <c r="F1721" t="s">
        <v>30</v>
      </c>
      <c r="G1721">
        <v>36</v>
      </c>
      <c r="H1721" t="s">
        <v>31</v>
      </c>
      <c r="I1721" t="s">
        <v>37</v>
      </c>
      <c r="J1721" t="s">
        <v>25</v>
      </c>
      <c r="K1721" s="2">
        <v>92497</v>
      </c>
      <c r="L1721" s="2">
        <v>96691</v>
      </c>
      <c r="M1721" t="s">
        <v>38</v>
      </c>
      <c r="N1721">
        <v>51</v>
      </c>
      <c r="O1721" t="s">
        <v>23</v>
      </c>
      <c r="P1721">
        <v>8</v>
      </c>
      <c r="Q1721" s="1">
        <v>-11.1</v>
      </c>
      <c r="R1721" s="2">
        <f t="shared" si="104"/>
        <v>4194</v>
      </c>
      <c r="S1721" s="1">
        <f t="shared" si="105"/>
        <v>4.5342011092251635</v>
      </c>
      <c r="T1721" t="str">
        <f t="shared" si="106"/>
        <v>Expert</v>
      </c>
      <c r="U1721" t="str">
        <f t="shared" si="107"/>
        <v>Medium Impact</v>
      </c>
    </row>
    <row r="1722" spans="1:21" x14ac:dyDescent="0.3">
      <c r="A1722" t="s">
        <v>957</v>
      </c>
      <c r="B1722">
        <v>58</v>
      </c>
      <c r="C1722" t="s">
        <v>18</v>
      </c>
      <c r="D1722" t="s">
        <v>19</v>
      </c>
      <c r="E1722" t="s">
        <v>29</v>
      </c>
      <c r="F1722" t="s">
        <v>102</v>
      </c>
      <c r="G1722">
        <v>32</v>
      </c>
      <c r="H1722" t="s">
        <v>31</v>
      </c>
      <c r="I1722" t="s">
        <v>22</v>
      </c>
      <c r="J1722" t="s">
        <v>25</v>
      </c>
      <c r="K1722" s="2">
        <v>117892</v>
      </c>
      <c r="L1722" s="2">
        <v>120283</v>
      </c>
      <c r="M1722" t="s">
        <v>32</v>
      </c>
      <c r="N1722">
        <v>41</v>
      </c>
      <c r="O1722" t="s">
        <v>23</v>
      </c>
      <c r="P1722">
        <v>7</v>
      </c>
      <c r="Q1722" s="1">
        <v>-11.12</v>
      </c>
      <c r="R1722" s="2">
        <f t="shared" si="104"/>
        <v>2391</v>
      </c>
      <c r="S1722" s="1">
        <f t="shared" si="105"/>
        <v>2.0281274386726835</v>
      </c>
      <c r="T1722" t="str">
        <f t="shared" si="106"/>
        <v>Expert</v>
      </c>
      <c r="U1722" t="str">
        <f t="shared" si="107"/>
        <v>Low Impact</v>
      </c>
    </row>
    <row r="1723" spans="1:21" x14ac:dyDescent="0.3">
      <c r="A1723" t="s">
        <v>1324</v>
      </c>
      <c r="B1723">
        <v>26</v>
      </c>
      <c r="C1723" t="s">
        <v>27</v>
      </c>
      <c r="D1723" t="s">
        <v>19</v>
      </c>
      <c r="E1723" t="s">
        <v>29</v>
      </c>
      <c r="F1723" t="s">
        <v>104</v>
      </c>
      <c r="G1723">
        <v>3</v>
      </c>
      <c r="H1723" t="s">
        <v>31</v>
      </c>
      <c r="I1723" t="s">
        <v>22</v>
      </c>
      <c r="J1723" t="s">
        <v>23</v>
      </c>
      <c r="K1723" s="2">
        <v>108627</v>
      </c>
      <c r="L1723" s="2">
        <v>105204</v>
      </c>
      <c r="M1723" t="s">
        <v>32</v>
      </c>
      <c r="N1723">
        <v>44</v>
      </c>
      <c r="O1723" t="s">
        <v>25</v>
      </c>
      <c r="P1723">
        <v>4</v>
      </c>
      <c r="Q1723" s="1">
        <v>-11.15</v>
      </c>
      <c r="R1723" s="2">
        <f t="shared" si="104"/>
        <v>-3423</v>
      </c>
      <c r="S1723" s="1">
        <f t="shared" si="105"/>
        <v>-3.1511502665083269</v>
      </c>
      <c r="T1723" t="str">
        <f t="shared" si="106"/>
        <v>Beginner</v>
      </c>
      <c r="U1723" t="str">
        <f t="shared" si="107"/>
        <v>Low Impact</v>
      </c>
    </row>
    <row r="1724" spans="1:21" x14ac:dyDescent="0.3">
      <c r="A1724" t="s">
        <v>1416</v>
      </c>
      <c r="B1724">
        <v>24</v>
      </c>
      <c r="C1724" t="s">
        <v>18</v>
      </c>
      <c r="D1724" t="s">
        <v>34</v>
      </c>
      <c r="E1724" t="s">
        <v>41</v>
      </c>
      <c r="F1724" t="s">
        <v>55</v>
      </c>
      <c r="G1724">
        <v>0</v>
      </c>
      <c r="H1724" t="s">
        <v>37</v>
      </c>
      <c r="I1724" t="s">
        <v>37</v>
      </c>
      <c r="J1724" t="s">
        <v>25</v>
      </c>
      <c r="K1724" s="2">
        <v>113251</v>
      </c>
      <c r="L1724" s="2">
        <v>108836</v>
      </c>
      <c r="M1724" t="s">
        <v>38</v>
      </c>
      <c r="N1724">
        <v>40</v>
      </c>
      <c r="O1724" t="s">
        <v>23</v>
      </c>
      <c r="P1724">
        <v>9</v>
      </c>
      <c r="Q1724" s="1">
        <v>-11.19</v>
      </c>
      <c r="R1724" s="2">
        <f t="shared" si="104"/>
        <v>-4415</v>
      </c>
      <c r="S1724" s="1">
        <f t="shared" si="105"/>
        <v>-3.8984203229993555</v>
      </c>
      <c r="T1724" t="str">
        <f t="shared" si="106"/>
        <v>Beginner</v>
      </c>
      <c r="U1724" t="str">
        <f t="shared" si="107"/>
        <v>Medium Impact</v>
      </c>
    </row>
    <row r="1725" spans="1:21" x14ac:dyDescent="0.3">
      <c r="A1725" t="s">
        <v>864</v>
      </c>
      <c r="B1725">
        <v>34</v>
      </c>
      <c r="C1725" t="s">
        <v>27</v>
      </c>
      <c r="D1725" t="s">
        <v>28</v>
      </c>
      <c r="E1725" t="s">
        <v>20</v>
      </c>
      <c r="F1725" t="s">
        <v>118</v>
      </c>
      <c r="G1725">
        <v>10</v>
      </c>
      <c r="H1725" t="s">
        <v>22</v>
      </c>
      <c r="I1725" t="s">
        <v>37</v>
      </c>
      <c r="J1725" t="s">
        <v>25</v>
      </c>
      <c r="K1725" s="2">
        <v>111417</v>
      </c>
      <c r="L1725" s="2">
        <v>140250</v>
      </c>
      <c r="M1725" t="s">
        <v>38</v>
      </c>
      <c r="N1725">
        <v>52</v>
      </c>
      <c r="O1725" t="s">
        <v>25</v>
      </c>
      <c r="P1725">
        <v>9</v>
      </c>
      <c r="Q1725" s="1">
        <v>-11.2</v>
      </c>
      <c r="R1725" s="2">
        <f t="shared" si="104"/>
        <v>28833</v>
      </c>
      <c r="S1725" s="1">
        <f t="shared" si="105"/>
        <v>25.878456608955545</v>
      </c>
      <c r="T1725" t="str">
        <f t="shared" si="106"/>
        <v>Intermediate</v>
      </c>
      <c r="U1725" t="str">
        <f t="shared" si="107"/>
        <v>Medium Impact</v>
      </c>
    </row>
    <row r="1726" spans="1:21" x14ac:dyDescent="0.3">
      <c r="A1726" t="s">
        <v>1670</v>
      </c>
      <c r="B1726">
        <v>40</v>
      </c>
      <c r="C1726" t="s">
        <v>54</v>
      </c>
      <c r="D1726" t="s">
        <v>19</v>
      </c>
      <c r="E1726" t="s">
        <v>35</v>
      </c>
      <c r="F1726" t="s">
        <v>132</v>
      </c>
      <c r="G1726">
        <v>16</v>
      </c>
      <c r="H1726" t="s">
        <v>22</v>
      </c>
      <c r="I1726" t="s">
        <v>37</v>
      </c>
      <c r="J1726" t="s">
        <v>23</v>
      </c>
      <c r="K1726" s="2">
        <v>52191</v>
      </c>
      <c r="L1726" s="2">
        <v>50525</v>
      </c>
      <c r="M1726" t="s">
        <v>38</v>
      </c>
      <c r="N1726">
        <v>48</v>
      </c>
      <c r="O1726" t="s">
        <v>23</v>
      </c>
      <c r="P1726">
        <v>4</v>
      </c>
      <c r="Q1726" s="1">
        <v>-11.24</v>
      </c>
      <c r="R1726" s="2">
        <f t="shared" si="104"/>
        <v>-1666</v>
      </c>
      <c r="S1726" s="1">
        <f t="shared" si="105"/>
        <v>-3.1921212469582878</v>
      </c>
      <c r="T1726" t="str">
        <f t="shared" si="106"/>
        <v>Expert</v>
      </c>
      <c r="U1726" t="str">
        <f t="shared" si="107"/>
        <v>Medium Impact</v>
      </c>
    </row>
    <row r="1727" spans="1:21" x14ac:dyDescent="0.3">
      <c r="A1727" t="s">
        <v>1137</v>
      </c>
      <c r="B1727">
        <v>27</v>
      </c>
      <c r="C1727" t="s">
        <v>27</v>
      </c>
      <c r="D1727" t="s">
        <v>40</v>
      </c>
      <c r="E1727" t="s">
        <v>44</v>
      </c>
      <c r="F1727" t="s">
        <v>45</v>
      </c>
      <c r="G1727">
        <v>3</v>
      </c>
      <c r="H1727" t="s">
        <v>37</v>
      </c>
      <c r="I1727" t="s">
        <v>22</v>
      </c>
      <c r="J1727" t="s">
        <v>25</v>
      </c>
      <c r="K1727" s="2">
        <v>68231</v>
      </c>
      <c r="L1727" s="2">
        <v>64184</v>
      </c>
      <c r="M1727" t="s">
        <v>32</v>
      </c>
      <c r="N1727">
        <v>39</v>
      </c>
      <c r="O1727" t="s">
        <v>25</v>
      </c>
      <c r="P1727">
        <v>8</v>
      </c>
      <c r="Q1727" s="1">
        <v>-11.26</v>
      </c>
      <c r="R1727" s="2">
        <f t="shared" si="104"/>
        <v>-4047</v>
      </c>
      <c r="S1727" s="1">
        <f t="shared" si="105"/>
        <v>-5.9313215400624353</v>
      </c>
      <c r="T1727" t="str">
        <f t="shared" si="106"/>
        <v>Beginner</v>
      </c>
      <c r="U1727" t="str">
        <f t="shared" si="107"/>
        <v>Low Impact</v>
      </c>
    </row>
    <row r="1728" spans="1:21" x14ac:dyDescent="0.3">
      <c r="A1728" t="s">
        <v>1819</v>
      </c>
      <c r="B1728">
        <v>43</v>
      </c>
      <c r="C1728" t="s">
        <v>18</v>
      </c>
      <c r="D1728" t="s">
        <v>34</v>
      </c>
      <c r="E1728" t="s">
        <v>51</v>
      </c>
      <c r="F1728" t="s">
        <v>75</v>
      </c>
      <c r="G1728">
        <v>19</v>
      </c>
      <c r="H1728" t="s">
        <v>37</v>
      </c>
      <c r="I1728" t="s">
        <v>37</v>
      </c>
      <c r="J1728" t="s">
        <v>25</v>
      </c>
      <c r="K1728" s="2">
        <v>33454</v>
      </c>
      <c r="L1728" s="2">
        <v>38752</v>
      </c>
      <c r="M1728" t="s">
        <v>38</v>
      </c>
      <c r="N1728">
        <v>36</v>
      </c>
      <c r="O1728" t="s">
        <v>23</v>
      </c>
      <c r="P1728">
        <v>8</v>
      </c>
      <c r="Q1728" s="1">
        <v>-11.27</v>
      </c>
      <c r="R1728" s="2">
        <f t="shared" si="104"/>
        <v>5298</v>
      </c>
      <c r="S1728" s="1">
        <f t="shared" si="105"/>
        <v>15.83667125007473</v>
      </c>
      <c r="T1728" t="str">
        <f t="shared" si="106"/>
        <v>Expert</v>
      </c>
      <c r="U1728" t="str">
        <f t="shared" si="107"/>
        <v>Medium Impact</v>
      </c>
    </row>
    <row r="1729" spans="1:21" x14ac:dyDescent="0.3">
      <c r="A1729" t="s">
        <v>1198</v>
      </c>
      <c r="B1729">
        <v>46</v>
      </c>
      <c r="C1729" t="s">
        <v>54</v>
      </c>
      <c r="D1729" t="s">
        <v>34</v>
      </c>
      <c r="E1729" t="s">
        <v>51</v>
      </c>
      <c r="F1729" t="s">
        <v>130</v>
      </c>
      <c r="G1729">
        <v>24</v>
      </c>
      <c r="H1729" t="s">
        <v>37</v>
      </c>
      <c r="I1729" t="s">
        <v>31</v>
      </c>
      <c r="J1729" t="s">
        <v>23</v>
      </c>
      <c r="K1729" s="2">
        <v>71152</v>
      </c>
      <c r="L1729" s="2">
        <v>74769</v>
      </c>
      <c r="M1729" t="s">
        <v>32</v>
      </c>
      <c r="N1729">
        <v>45</v>
      </c>
      <c r="O1729" t="s">
        <v>23</v>
      </c>
      <c r="P1729">
        <v>3</v>
      </c>
      <c r="Q1729" s="1">
        <v>-11.33</v>
      </c>
      <c r="R1729" s="2">
        <f t="shared" si="104"/>
        <v>3617</v>
      </c>
      <c r="S1729" s="1">
        <f t="shared" si="105"/>
        <v>5.0834832471328983</v>
      </c>
      <c r="T1729" t="str">
        <f t="shared" si="106"/>
        <v>Expert</v>
      </c>
      <c r="U1729" t="str">
        <f t="shared" si="107"/>
        <v>Low Impact</v>
      </c>
    </row>
    <row r="1730" spans="1:21" x14ac:dyDescent="0.3">
      <c r="A1730" t="s">
        <v>193</v>
      </c>
      <c r="B1730">
        <v>54</v>
      </c>
      <c r="C1730" t="s">
        <v>18</v>
      </c>
      <c r="D1730" t="s">
        <v>34</v>
      </c>
      <c r="E1730" t="s">
        <v>29</v>
      </c>
      <c r="F1730" t="s">
        <v>30</v>
      </c>
      <c r="G1730">
        <v>28</v>
      </c>
      <c r="H1730" t="s">
        <v>31</v>
      </c>
      <c r="I1730" t="s">
        <v>31</v>
      </c>
      <c r="J1730" t="s">
        <v>23</v>
      </c>
      <c r="K1730" s="2">
        <v>94484</v>
      </c>
      <c r="L1730" s="2">
        <v>100794</v>
      </c>
      <c r="M1730" t="s">
        <v>32</v>
      </c>
      <c r="N1730">
        <v>38</v>
      </c>
      <c r="O1730" t="s">
        <v>23</v>
      </c>
      <c r="P1730">
        <v>8</v>
      </c>
      <c r="Q1730" s="1">
        <v>-11.41</v>
      </c>
      <c r="R1730" s="2">
        <f t="shared" ref="R1730:R1793" si="108">L1730-K1730</f>
        <v>6310</v>
      </c>
      <c r="S1730" s="1">
        <f t="shared" ref="S1730:S1793" si="109">(L1730-K1730)/K1730*100</f>
        <v>6.678379408153762</v>
      </c>
      <c r="T1730" t="str">
        <f t="shared" ref="T1730:T1793" si="110">IF(G1730&lt;5,"Beginner",IF(G1730&lt;15,"Intermediate","Expert"))</f>
        <v>Expert</v>
      </c>
      <c r="U1730" t="str">
        <f t="shared" ref="U1730:U1793" si="111">IF(M1730="Replaced","High Impact",IF(M1730="Modified","Medium Impact","Low Impact"))</f>
        <v>Low Impact</v>
      </c>
    </row>
    <row r="1731" spans="1:21" x14ac:dyDescent="0.3">
      <c r="A1731" t="s">
        <v>576</v>
      </c>
      <c r="B1731">
        <v>38</v>
      </c>
      <c r="C1731" t="s">
        <v>27</v>
      </c>
      <c r="D1731" t="s">
        <v>34</v>
      </c>
      <c r="E1731" t="s">
        <v>51</v>
      </c>
      <c r="F1731" t="s">
        <v>130</v>
      </c>
      <c r="G1731">
        <v>15</v>
      </c>
      <c r="H1731" t="s">
        <v>31</v>
      </c>
      <c r="I1731" t="s">
        <v>37</v>
      </c>
      <c r="J1731" t="s">
        <v>25</v>
      </c>
      <c r="K1731" s="2">
        <v>43050</v>
      </c>
      <c r="L1731" s="2">
        <v>41232</v>
      </c>
      <c r="M1731" t="s">
        <v>38</v>
      </c>
      <c r="N1731">
        <v>40</v>
      </c>
      <c r="O1731" t="s">
        <v>23</v>
      </c>
      <c r="P1731">
        <v>8</v>
      </c>
      <c r="Q1731" s="1">
        <v>-11.47</v>
      </c>
      <c r="R1731" s="2">
        <f t="shared" si="108"/>
        <v>-1818</v>
      </c>
      <c r="S1731" s="1">
        <f t="shared" si="109"/>
        <v>-4.2229965156794425</v>
      </c>
      <c r="T1731" t="str">
        <f t="shared" si="110"/>
        <v>Expert</v>
      </c>
      <c r="U1731" t="str">
        <f t="shared" si="111"/>
        <v>Medium Impact</v>
      </c>
    </row>
    <row r="1732" spans="1:21" x14ac:dyDescent="0.3">
      <c r="A1732" t="s">
        <v>419</v>
      </c>
      <c r="B1732">
        <v>55</v>
      </c>
      <c r="C1732" t="s">
        <v>18</v>
      </c>
      <c r="D1732" t="s">
        <v>19</v>
      </c>
      <c r="E1732" t="s">
        <v>59</v>
      </c>
      <c r="F1732" t="s">
        <v>77</v>
      </c>
      <c r="G1732">
        <v>32</v>
      </c>
      <c r="H1732" t="s">
        <v>22</v>
      </c>
      <c r="I1732" t="s">
        <v>37</v>
      </c>
      <c r="J1732" t="s">
        <v>23</v>
      </c>
      <c r="K1732" s="2">
        <v>99184</v>
      </c>
      <c r="L1732" s="2">
        <v>104855</v>
      </c>
      <c r="M1732" t="s">
        <v>38</v>
      </c>
      <c r="N1732">
        <v>50</v>
      </c>
      <c r="O1732" t="s">
        <v>23</v>
      </c>
      <c r="P1732">
        <v>3</v>
      </c>
      <c r="Q1732" s="1">
        <v>-11.54</v>
      </c>
      <c r="R1732" s="2">
        <f t="shared" si="108"/>
        <v>5671</v>
      </c>
      <c r="S1732" s="1">
        <f t="shared" si="109"/>
        <v>5.717656073560252</v>
      </c>
      <c r="T1732" t="str">
        <f t="shared" si="110"/>
        <v>Expert</v>
      </c>
      <c r="U1732" t="str">
        <f t="shared" si="111"/>
        <v>Medium Impact</v>
      </c>
    </row>
    <row r="1733" spans="1:21" x14ac:dyDescent="0.3">
      <c r="A1733" t="s">
        <v>206</v>
      </c>
      <c r="B1733">
        <v>38</v>
      </c>
      <c r="C1733" t="s">
        <v>54</v>
      </c>
      <c r="D1733" t="s">
        <v>28</v>
      </c>
      <c r="E1733" t="s">
        <v>41</v>
      </c>
      <c r="F1733" t="s">
        <v>49</v>
      </c>
      <c r="G1733">
        <v>14</v>
      </c>
      <c r="H1733" t="s">
        <v>37</v>
      </c>
      <c r="I1733" t="s">
        <v>31</v>
      </c>
      <c r="J1733" t="s">
        <v>25</v>
      </c>
      <c r="K1733" s="2">
        <v>71914</v>
      </c>
      <c r="L1733" s="2">
        <v>74483</v>
      </c>
      <c r="M1733" t="s">
        <v>32</v>
      </c>
      <c r="N1733">
        <v>41</v>
      </c>
      <c r="O1733" t="s">
        <v>25</v>
      </c>
      <c r="P1733">
        <v>6</v>
      </c>
      <c r="Q1733" s="1">
        <v>-11.55</v>
      </c>
      <c r="R1733" s="2">
        <f t="shared" si="108"/>
        <v>2569</v>
      </c>
      <c r="S1733" s="1">
        <f t="shared" si="109"/>
        <v>3.5723224963150431</v>
      </c>
      <c r="T1733" t="str">
        <f t="shared" si="110"/>
        <v>Intermediate</v>
      </c>
      <c r="U1733" t="str">
        <f t="shared" si="111"/>
        <v>Low Impact</v>
      </c>
    </row>
    <row r="1734" spans="1:21" x14ac:dyDescent="0.3">
      <c r="A1734" t="s">
        <v>1803</v>
      </c>
      <c r="B1734">
        <v>41</v>
      </c>
      <c r="C1734" t="s">
        <v>27</v>
      </c>
      <c r="D1734" t="s">
        <v>28</v>
      </c>
      <c r="E1734" t="s">
        <v>29</v>
      </c>
      <c r="F1734" t="s">
        <v>104</v>
      </c>
      <c r="G1734">
        <v>15</v>
      </c>
      <c r="H1734" t="s">
        <v>22</v>
      </c>
      <c r="I1734" t="s">
        <v>37</v>
      </c>
      <c r="J1734" t="s">
        <v>23</v>
      </c>
      <c r="K1734" s="2">
        <v>32853</v>
      </c>
      <c r="L1734" s="2">
        <v>44455</v>
      </c>
      <c r="M1734" t="s">
        <v>38</v>
      </c>
      <c r="N1734">
        <v>37</v>
      </c>
      <c r="O1734" t="s">
        <v>25</v>
      </c>
      <c r="P1734">
        <v>8</v>
      </c>
      <c r="Q1734" s="1">
        <v>-11.55</v>
      </c>
      <c r="R1734" s="2">
        <f t="shared" si="108"/>
        <v>11602</v>
      </c>
      <c r="S1734" s="1">
        <f t="shared" si="109"/>
        <v>35.314887529297174</v>
      </c>
      <c r="T1734" t="str">
        <f t="shared" si="110"/>
        <v>Expert</v>
      </c>
      <c r="U1734" t="str">
        <f t="shared" si="111"/>
        <v>Medium Impact</v>
      </c>
    </row>
    <row r="1735" spans="1:21" x14ac:dyDescent="0.3">
      <c r="A1735" t="s">
        <v>480</v>
      </c>
      <c r="B1735">
        <v>33</v>
      </c>
      <c r="C1735" t="s">
        <v>27</v>
      </c>
      <c r="D1735" t="s">
        <v>34</v>
      </c>
      <c r="E1735" t="s">
        <v>41</v>
      </c>
      <c r="F1735" t="s">
        <v>55</v>
      </c>
      <c r="G1735">
        <v>11</v>
      </c>
      <c r="H1735" t="s">
        <v>31</v>
      </c>
      <c r="I1735" t="s">
        <v>22</v>
      </c>
      <c r="J1735" t="s">
        <v>25</v>
      </c>
      <c r="K1735" s="2">
        <v>47438</v>
      </c>
      <c r="L1735" s="2">
        <v>49963</v>
      </c>
      <c r="M1735" t="s">
        <v>32</v>
      </c>
      <c r="N1735">
        <v>39</v>
      </c>
      <c r="O1735" t="s">
        <v>25</v>
      </c>
      <c r="P1735">
        <v>8</v>
      </c>
      <c r="Q1735" s="1">
        <v>-11.57</v>
      </c>
      <c r="R1735" s="2">
        <f t="shared" si="108"/>
        <v>2525</v>
      </c>
      <c r="S1735" s="1">
        <f t="shared" si="109"/>
        <v>5.3227370462498413</v>
      </c>
      <c r="T1735" t="str">
        <f t="shared" si="110"/>
        <v>Intermediate</v>
      </c>
      <c r="U1735" t="str">
        <f t="shared" si="111"/>
        <v>Low Impact</v>
      </c>
    </row>
    <row r="1736" spans="1:21" x14ac:dyDescent="0.3">
      <c r="A1736" t="s">
        <v>1903</v>
      </c>
      <c r="B1736">
        <v>35</v>
      </c>
      <c r="C1736" t="s">
        <v>27</v>
      </c>
      <c r="D1736" t="s">
        <v>34</v>
      </c>
      <c r="E1736" t="s">
        <v>29</v>
      </c>
      <c r="F1736" t="s">
        <v>102</v>
      </c>
      <c r="G1736">
        <v>9</v>
      </c>
      <c r="H1736" t="s">
        <v>22</v>
      </c>
      <c r="I1736" t="s">
        <v>22</v>
      </c>
      <c r="J1736" t="s">
        <v>25</v>
      </c>
      <c r="K1736" s="2">
        <v>108766</v>
      </c>
      <c r="L1736" s="2">
        <v>136079</v>
      </c>
      <c r="M1736" t="s">
        <v>24</v>
      </c>
      <c r="N1736">
        <v>39</v>
      </c>
      <c r="O1736" t="s">
        <v>25</v>
      </c>
      <c r="P1736">
        <v>7</v>
      </c>
      <c r="Q1736" s="1">
        <v>-11.6</v>
      </c>
      <c r="R1736" s="2">
        <f t="shared" si="108"/>
        <v>27313</v>
      </c>
      <c r="S1736" s="1">
        <f t="shared" si="109"/>
        <v>25.111707702774765</v>
      </c>
      <c r="T1736" t="str">
        <f t="shared" si="110"/>
        <v>Intermediate</v>
      </c>
      <c r="U1736" t="str">
        <f t="shared" si="111"/>
        <v>High Impact</v>
      </c>
    </row>
    <row r="1737" spans="1:21" x14ac:dyDescent="0.3">
      <c r="A1737" t="s">
        <v>191</v>
      </c>
      <c r="B1737">
        <v>27</v>
      </c>
      <c r="C1737" t="s">
        <v>27</v>
      </c>
      <c r="D1737" t="s">
        <v>19</v>
      </c>
      <c r="E1737" t="s">
        <v>59</v>
      </c>
      <c r="F1737" t="s">
        <v>93</v>
      </c>
      <c r="G1737">
        <v>3</v>
      </c>
      <c r="H1737" t="s">
        <v>31</v>
      </c>
      <c r="I1737" t="s">
        <v>22</v>
      </c>
      <c r="J1737" t="s">
        <v>23</v>
      </c>
      <c r="K1737" s="2">
        <v>113122</v>
      </c>
      <c r="L1737" s="2">
        <v>113148</v>
      </c>
      <c r="M1737" t="s">
        <v>32</v>
      </c>
      <c r="N1737">
        <v>49</v>
      </c>
      <c r="O1737" t="s">
        <v>25</v>
      </c>
      <c r="P1737">
        <v>9</v>
      </c>
      <c r="Q1737" s="1">
        <v>-11.64</v>
      </c>
      <c r="R1737" s="2">
        <f t="shared" si="108"/>
        <v>26</v>
      </c>
      <c r="S1737" s="1">
        <f t="shared" si="109"/>
        <v>2.2984034935733103E-2</v>
      </c>
      <c r="T1737" t="str">
        <f t="shared" si="110"/>
        <v>Beginner</v>
      </c>
      <c r="U1737" t="str">
        <f t="shared" si="111"/>
        <v>Low Impact</v>
      </c>
    </row>
    <row r="1738" spans="1:21" x14ac:dyDescent="0.3">
      <c r="A1738" t="s">
        <v>1912</v>
      </c>
      <c r="B1738">
        <v>35</v>
      </c>
      <c r="C1738" t="s">
        <v>54</v>
      </c>
      <c r="D1738" t="s">
        <v>19</v>
      </c>
      <c r="E1738" t="s">
        <v>51</v>
      </c>
      <c r="F1738" t="s">
        <v>75</v>
      </c>
      <c r="G1738">
        <v>12</v>
      </c>
      <c r="H1738" t="s">
        <v>22</v>
      </c>
      <c r="I1738" t="s">
        <v>22</v>
      </c>
      <c r="J1738" t="s">
        <v>23</v>
      </c>
      <c r="K1738" s="2">
        <v>119711</v>
      </c>
      <c r="L1738" s="2">
        <v>138070</v>
      </c>
      <c r="M1738" t="s">
        <v>38</v>
      </c>
      <c r="N1738">
        <v>50</v>
      </c>
      <c r="O1738" t="s">
        <v>25</v>
      </c>
      <c r="P1738">
        <v>4</v>
      </c>
      <c r="Q1738" s="1">
        <v>-11.65</v>
      </c>
      <c r="R1738" s="2">
        <f t="shared" si="108"/>
        <v>18359</v>
      </c>
      <c r="S1738" s="1">
        <f t="shared" si="109"/>
        <v>15.336101110173669</v>
      </c>
      <c r="T1738" t="str">
        <f t="shared" si="110"/>
        <v>Intermediate</v>
      </c>
      <c r="U1738" t="str">
        <f t="shared" si="111"/>
        <v>Medium Impact</v>
      </c>
    </row>
    <row r="1739" spans="1:21" x14ac:dyDescent="0.3">
      <c r="A1739" t="s">
        <v>896</v>
      </c>
      <c r="B1739">
        <v>22</v>
      </c>
      <c r="C1739" t="s">
        <v>27</v>
      </c>
      <c r="D1739" t="s">
        <v>34</v>
      </c>
      <c r="E1739" t="s">
        <v>29</v>
      </c>
      <c r="F1739" t="s">
        <v>102</v>
      </c>
      <c r="G1739">
        <v>0</v>
      </c>
      <c r="H1739" t="s">
        <v>31</v>
      </c>
      <c r="I1739" t="s">
        <v>22</v>
      </c>
      <c r="J1739" t="s">
        <v>25</v>
      </c>
      <c r="K1739" s="2">
        <v>85514</v>
      </c>
      <c r="L1739" s="2">
        <v>90703</v>
      </c>
      <c r="M1739" t="s">
        <v>32</v>
      </c>
      <c r="N1739">
        <v>42</v>
      </c>
      <c r="O1739" t="s">
        <v>25</v>
      </c>
      <c r="P1739">
        <v>4</v>
      </c>
      <c r="Q1739" s="1">
        <v>-11.66</v>
      </c>
      <c r="R1739" s="2">
        <f t="shared" si="108"/>
        <v>5189</v>
      </c>
      <c r="S1739" s="1">
        <f t="shared" si="109"/>
        <v>6.0680122553032252</v>
      </c>
      <c r="T1739" t="str">
        <f t="shared" si="110"/>
        <v>Beginner</v>
      </c>
      <c r="U1739" t="str">
        <f t="shared" si="111"/>
        <v>Low Impact</v>
      </c>
    </row>
    <row r="1740" spans="1:21" x14ac:dyDescent="0.3">
      <c r="A1740" t="s">
        <v>2019</v>
      </c>
      <c r="B1740">
        <v>37</v>
      </c>
      <c r="C1740" t="s">
        <v>27</v>
      </c>
      <c r="D1740" t="s">
        <v>19</v>
      </c>
      <c r="E1740" t="s">
        <v>51</v>
      </c>
      <c r="F1740" t="s">
        <v>130</v>
      </c>
      <c r="G1740">
        <v>12</v>
      </c>
      <c r="H1740" t="s">
        <v>22</v>
      </c>
      <c r="I1740" t="s">
        <v>31</v>
      </c>
      <c r="J1740" t="s">
        <v>25</v>
      </c>
      <c r="K1740" s="2">
        <v>102134</v>
      </c>
      <c r="L1740" s="2">
        <v>88678</v>
      </c>
      <c r="M1740" t="s">
        <v>32</v>
      </c>
      <c r="N1740">
        <v>47</v>
      </c>
      <c r="O1740" t="s">
        <v>23</v>
      </c>
      <c r="P1740">
        <v>7</v>
      </c>
      <c r="Q1740" s="1">
        <v>-11.67</v>
      </c>
      <c r="R1740" s="2">
        <f t="shared" si="108"/>
        <v>-13456</v>
      </c>
      <c r="S1740" s="1">
        <f t="shared" si="109"/>
        <v>-13.174848728141461</v>
      </c>
      <c r="T1740" t="str">
        <f t="shared" si="110"/>
        <v>Intermediate</v>
      </c>
      <c r="U1740" t="str">
        <f t="shared" si="111"/>
        <v>Low Impact</v>
      </c>
    </row>
    <row r="1741" spans="1:21" x14ac:dyDescent="0.3">
      <c r="A1741" t="s">
        <v>926</v>
      </c>
      <c r="B1741">
        <v>30</v>
      </c>
      <c r="C1741" t="s">
        <v>27</v>
      </c>
      <c r="D1741" t="s">
        <v>34</v>
      </c>
      <c r="E1741" t="s">
        <v>20</v>
      </c>
      <c r="F1741" t="s">
        <v>118</v>
      </c>
      <c r="G1741">
        <v>4</v>
      </c>
      <c r="H1741" t="s">
        <v>22</v>
      </c>
      <c r="I1741" t="s">
        <v>31</v>
      </c>
      <c r="J1741" t="s">
        <v>25</v>
      </c>
      <c r="K1741" s="2">
        <v>77894</v>
      </c>
      <c r="L1741" s="2">
        <v>80434</v>
      </c>
      <c r="M1741" t="s">
        <v>32</v>
      </c>
      <c r="N1741">
        <v>36</v>
      </c>
      <c r="O1741" t="s">
        <v>25</v>
      </c>
      <c r="P1741">
        <v>6</v>
      </c>
      <c r="Q1741" s="1">
        <v>-11.7</v>
      </c>
      <c r="R1741" s="2">
        <f t="shared" si="108"/>
        <v>2540</v>
      </c>
      <c r="S1741" s="1">
        <f t="shared" si="109"/>
        <v>3.2608416566102654</v>
      </c>
      <c r="T1741" t="str">
        <f t="shared" si="110"/>
        <v>Beginner</v>
      </c>
      <c r="U1741" t="str">
        <f t="shared" si="111"/>
        <v>Low Impact</v>
      </c>
    </row>
    <row r="1742" spans="1:21" x14ac:dyDescent="0.3">
      <c r="A1742" t="s">
        <v>1638</v>
      </c>
      <c r="B1742">
        <v>56</v>
      </c>
      <c r="C1742" t="s">
        <v>54</v>
      </c>
      <c r="D1742" t="s">
        <v>28</v>
      </c>
      <c r="E1742" t="s">
        <v>59</v>
      </c>
      <c r="F1742" t="s">
        <v>77</v>
      </c>
      <c r="G1742">
        <v>34</v>
      </c>
      <c r="H1742" t="s">
        <v>31</v>
      </c>
      <c r="I1742" t="s">
        <v>37</v>
      </c>
      <c r="J1742" t="s">
        <v>25</v>
      </c>
      <c r="K1742" s="2">
        <v>94814</v>
      </c>
      <c r="L1742" s="2">
        <v>94757</v>
      </c>
      <c r="M1742" t="s">
        <v>38</v>
      </c>
      <c r="N1742">
        <v>47</v>
      </c>
      <c r="O1742" t="s">
        <v>25</v>
      </c>
      <c r="P1742">
        <v>8</v>
      </c>
      <c r="Q1742" s="1">
        <v>-11.71</v>
      </c>
      <c r="R1742" s="2">
        <f t="shared" si="108"/>
        <v>-57</v>
      </c>
      <c r="S1742" s="1">
        <f t="shared" si="109"/>
        <v>-6.0117704136519921E-2</v>
      </c>
      <c r="T1742" t="str">
        <f t="shared" si="110"/>
        <v>Expert</v>
      </c>
      <c r="U1742" t="str">
        <f t="shared" si="111"/>
        <v>Medium Impact</v>
      </c>
    </row>
    <row r="1743" spans="1:21" x14ac:dyDescent="0.3">
      <c r="A1743" t="s">
        <v>1682</v>
      </c>
      <c r="B1743">
        <v>59</v>
      </c>
      <c r="C1743" t="s">
        <v>54</v>
      </c>
      <c r="D1743" t="s">
        <v>34</v>
      </c>
      <c r="E1743" t="s">
        <v>29</v>
      </c>
      <c r="F1743" t="s">
        <v>30</v>
      </c>
      <c r="G1743">
        <v>37</v>
      </c>
      <c r="H1743" t="s">
        <v>37</v>
      </c>
      <c r="I1743" t="s">
        <v>22</v>
      </c>
      <c r="J1743" t="s">
        <v>25</v>
      </c>
      <c r="K1743" s="2">
        <v>66394</v>
      </c>
      <c r="L1743" s="2">
        <v>70313</v>
      </c>
      <c r="M1743" t="s">
        <v>32</v>
      </c>
      <c r="N1743">
        <v>39</v>
      </c>
      <c r="O1743" t="s">
        <v>23</v>
      </c>
      <c r="P1743">
        <v>7</v>
      </c>
      <c r="Q1743" s="1">
        <v>-11.73</v>
      </c>
      <c r="R1743" s="2">
        <f t="shared" si="108"/>
        <v>3919</v>
      </c>
      <c r="S1743" s="1">
        <f t="shared" si="109"/>
        <v>5.9026418049823786</v>
      </c>
      <c r="T1743" t="str">
        <f t="shared" si="110"/>
        <v>Expert</v>
      </c>
      <c r="U1743" t="str">
        <f t="shared" si="111"/>
        <v>Low Impact</v>
      </c>
    </row>
    <row r="1744" spans="1:21" x14ac:dyDescent="0.3">
      <c r="A1744" t="s">
        <v>866</v>
      </c>
      <c r="B1744">
        <v>55</v>
      </c>
      <c r="C1744" t="s">
        <v>27</v>
      </c>
      <c r="D1744" t="s">
        <v>34</v>
      </c>
      <c r="E1744" t="s">
        <v>51</v>
      </c>
      <c r="F1744" t="s">
        <v>52</v>
      </c>
      <c r="G1744">
        <v>30</v>
      </c>
      <c r="H1744" t="s">
        <v>31</v>
      </c>
      <c r="I1744" t="s">
        <v>31</v>
      </c>
      <c r="J1744" t="s">
        <v>25</v>
      </c>
      <c r="K1744" s="2">
        <v>43386</v>
      </c>
      <c r="L1744" s="2">
        <v>46822</v>
      </c>
      <c r="M1744" t="s">
        <v>32</v>
      </c>
      <c r="N1744">
        <v>50</v>
      </c>
      <c r="O1744" t="s">
        <v>23</v>
      </c>
      <c r="P1744">
        <v>7</v>
      </c>
      <c r="Q1744" s="1">
        <v>-11.76</v>
      </c>
      <c r="R1744" s="2">
        <f t="shared" si="108"/>
        <v>3436</v>
      </c>
      <c r="S1744" s="1">
        <f t="shared" si="109"/>
        <v>7.9196054026644536</v>
      </c>
      <c r="T1744" t="str">
        <f t="shared" si="110"/>
        <v>Expert</v>
      </c>
      <c r="U1744" t="str">
        <f t="shared" si="111"/>
        <v>Low Impact</v>
      </c>
    </row>
    <row r="1745" spans="1:21" x14ac:dyDescent="0.3">
      <c r="A1745" t="s">
        <v>1588</v>
      </c>
      <c r="B1745">
        <v>53</v>
      </c>
      <c r="C1745" t="s">
        <v>27</v>
      </c>
      <c r="D1745" t="s">
        <v>19</v>
      </c>
      <c r="E1745" t="s">
        <v>44</v>
      </c>
      <c r="F1745" t="s">
        <v>45</v>
      </c>
      <c r="G1745">
        <v>28</v>
      </c>
      <c r="H1745" t="s">
        <v>22</v>
      </c>
      <c r="I1745" t="s">
        <v>31</v>
      </c>
      <c r="J1745" t="s">
        <v>25</v>
      </c>
      <c r="K1745" s="2">
        <v>36163</v>
      </c>
      <c r="L1745" s="2">
        <v>37686</v>
      </c>
      <c r="M1745" t="s">
        <v>32</v>
      </c>
      <c r="N1745">
        <v>49</v>
      </c>
      <c r="O1745" t="s">
        <v>23</v>
      </c>
      <c r="P1745">
        <v>4</v>
      </c>
      <c r="Q1745" s="1">
        <v>-11.78</v>
      </c>
      <c r="R1745" s="2">
        <f t="shared" si="108"/>
        <v>1523</v>
      </c>
      <c r="S1745" s="1">
        <f t="shared" si="109"/>
        <v>4.2114868788540774</v>
      </c>
      <c r="T1745" t="str">
        <f t="shared" si="110"/>
        <v>Expert</v>
      </c>
      <c r="U1745" t="str">
        <f t="shared" si="111"/>
        <v>Low Impact</v>
      </c>
    </row>
    <row r="1746" spans="1:21" x14ac:dyDescent="0.3">
      <c r="A1746" t="s">
        <v>1762</v>
      </c>
      <c r="B1746">
        <v>22</v>
      </c>
      <c r="C1746" t="s">
        <v>18</v>
      </c>
      <c r="D1746" t="s">
        <v>28</v>
      </c>
      <c r="E1746" t="s">
        <v>20</v>
      </c>
      <c r="F1746" t="s">
        <v>88</v>
      </c>
      <c r="G1746">
        <v>0</v>
      </c>
      <c r="H1746" t="s">
        <v>37</v>
      </c>
      <c r="I1746" t="s">
        <v>22</v>
      </c>
      <c r="J1746" t="s">
        <v>23</v>
      </c>
      <c r="K1746" s="2">
        <v>119848</v>
      </c>
      <c r="L1746" s="2">
        <v>119636</v>
      </c>
      <c r="M1746" t="s">
        <v>32</v>
      </c>
      <c r="N1746">
        <v>35</v>
      </c>
      <c r="O1746" t="s">
        <v>23</v>
      </c>
      <c r="P1746">
        <v>8</v>
      </c>
      <c r="Q1746" s="1">
        <v>-11.85</v>
      </c>
      <c r="R1746" s="2">
        <f t="shared" si="108"/>
        <v>-212</v>
      </c>
      <c r="S1746" s="1">
        <f t="shared" si="109"/>
        <v>-0.17689072825579066</v>
      </c>
      <c r="T1746" t="str">
        <f t="shared" si="110"/>
        <v>Beginner</v>
      </c>
      <c r="U1746" t="str">
        <f t="shared" si="111"/>
        <v>Low Impact</v>
      </c>
    </row>
    <row r="1747" spans="1:21" x14ac:dyDescent="0.3">
      <c r="A1747" t="s">
        <v>748</v>
      </c>
      <c r="B1747">
        <v>42</v>
      </c>
      <c r="C1747" t="s">
        <v>27</v>
      </c>
      <c r="D1747" t="s">
        <v>34</v>
      </c>
      <c r="E1747" t="s">
        <v>20</v>
      </c>
      <c r="F1747" t="s">
        <v>21</v>
      </c>
      <c r="G1747">
        <v>16</v>
      </c>
      <c r="H1747" t="s">
        <v>31</v>
      </c>
      <c r="I1747" t="s">
        <v>22</v>
      </c>
      <c r="J1747" t="s">
        <v>25</v>
      </c>
      <c r="K1747" s="2">
        <v>70149</v>
      </c>
      <c r="L1747" s="2">
        <v>76897</v>
      </c>
      <c r="M1747" t="s">
        <v>32</v>
      </c>
      <c r="N1747">
        <v>36</v>
      </c>
      <c r="O1747" t="s">
        <v>23</v>
      </c>
      <c r="P1747">
        <v>6</v>
      </c>
      <c r="Q1747" s="1">
        <v>-11.87</v>
      </c>
      <c r="R1747" s="2">
        <f t="shared" si="108"/>
        <v>6748</v>
      </c>
      <c r="S1747" s="1">
        <f t="shared" si="109"/>
        <v>9.6195241557256708</v>
      </c>
      <c r="T1747" t="str">
        <f t="shared" si="110"/>
        <v>Expert</v>
      </c>
      <c r="U1747" t="str">
        <f t="shared" si="111"/>
        <v>Low Impact</v>
      </c>
    </row>
    <row r="1748" spans="1:21" x14ac:dyDescent="0.3">
      <c r="A1748" t="s">
        <v>804</v>
      </c>
      <c r="B1748">
        <v>59</v>
      </c>
      <c r="C1748" t="s">
        <v>27</v>
      </c>
      <c r="D1748" t="s">
        <v>28</v>
      </c>
      <c r="E1748" t="s">
        <v>29</v>
      </c>
      <c r="F1748" t="s">
        <v>102</v>
      </c>
      <c r="G1748">
        <v>37</v>
      </c>
      <c r="H1748" t="s">
        <v>22</v>
      </c>
      <c r="I1748" t="s">
        <v>31</v>
      </c>
      <c r="J1748" t="s">
        <v>23</v>
      </c>
      <c r="K1748" s="2">
        <v>86809</v>
      </c>
      <c r="L1748" s="2">
        <v>107495</v>
      </c>
      <c r="M1748" t="s">
        <v>32</v>
      </c>
      <c r="N1748">
        <v>51</v>
      </c>
      <c r="O1748" t="s">
        <v>23</v>
      </c>
      <c r="P1748">
        <v>3</v>
      </c>
      <c r="Q1748" s="1">
        <v>-11.88</v>
      </c>
      <c r="R1748" s="2">
        <f t="shared" si="108"/>
        <v>20686</v>
      </c>
      <c r="S1748" s="1">
        <f t="shared" si="109"/>
        <v>23.82932645232637</v>
      </c>
      <c r="T1748" t="str">
        <f t="shared" si="110"/>
        <v>Expert</v>
      </c>
      <c r="U1748" t="str">
        <f t="shared" si="111"/>
        <v>Low Impact</v>
      </c>
    </row>
    <row r="1749" spans="1:21" x14ac:dyDescent="0.3">
      <c r="A1749" t="s">
        <v>2035</v>
      </c>
      <c r="B1749">
        <v>37</v>
      </c>
      <c r="C1749" t="s">
        <v>27</v>
      </c>
      <c r="D1749" t="s">
        <v>40</v>
      </c>
      <c r="E1749" t="s">
        <v>51</v>
      </c>
      <c r="F1749" t="s">
        <v>52</v>
      </c>
      <c r="G1749">
        <v>14</v>
      </c>
      <c r="H1749" t="s">
        <v>31</v>
      </c>
      <c r="I1749" t="s">
        <v>37</v>
      </c>
      <c r="J1749" t="s">
        <v>23</v>
      </c>
      <c r="K1749" s="2">
        <v>44633</v>
      </c>
      <c r="L1749" s="2">
        <v>45308</v>
      </c>
      <c r="M1749" t="s">
        <v>38</v>
      </c>
      <c r="N1749">
        <v>54</v>
      </c>
      <c r="O1749" t="s">
        <v>25</v>
      </c>
      <c r="P1749">
        <v>3</v>
      </c>
      <c r="Q1749" s="1">
        <v>-11.89</v>
      </c>
      <c r="R1749" s="2">
        <f t="shared" si="108"/>
        <v>675</v>
      </c>
      <c r="S1749" s="1">
        <f t="shared" si="109"/>
        <v>1.5123339233302713</v>
      </c>
      <c r="T1749" t="str">
        <f t="shared" si="110"/>
        <v>Intermediate</v>
      </c>
      <c r="U1749" t="str">
        <f t="shared" si="111"/>
        <v>Medium Impact</v>
      </c>
    </row>
    <row r="1750" spans="1:21" x14ac:dyDescent="0.3">
      <c r="A1750" t="s">
        <v>1481</v>
      </c>
      <c r="B1750">
        <v>27</v>
      </c>
      <c r="C1750" t="s">
        <v>54</v>
      </c>
      <c r="D1750" t="s">
        <v>28</v>
      </c>
      <c r="E1750" t="s">
        <v>44</v>
      </c>
      <c r="F1750" t="s">
        <v>45</v>
      </c>
      <c r="G1750">
        <v>5</v>
      </c>
      <c r="H1750" t="s">
        <v>31</v>
      </c>
      <c r="I1750" t="s">
        <v>22</v>
      </c>
      <c r="J1750" t="s">
        <v>23</v>
      </c>
      <c r="K1750" s="2">
        <v>96567</v>
      </c>
      <c r="L1750" s="2">
        <v>94607</v>
      </c>
      <c r="M1750" t="s">
        <v>32</v>
      </c>
      <c r="N1750">
        <v>49</v>
      </c>
      <c r="O1750" t="s">
        <v>23</v>
      </c>
      <c r="P1750">
        <v>9</v>
      </c>
      <c r="Q1750" s="1">
        <v>-11.95</v>
      </c>
      <c r="R1750" s="2">
        <f t="shared" si="108"/>
        <v>-1960</v>
      </c>
      <c r="S1750" s="1">
        <f t="shared" si="109"/>
        <v>-2.029678875806435</v>
      </c>
      <c r="T1750" t="str">
        <f t="shared" si="110"/>
        <v>Intermediate</v>
      </c>
      <c r="U1750" t="str">
        <f t="shared" si="111"/>
        <v>Low Impact</v>
      </c>
    </row>
    <row r="1751" spans="1:21" x14ac:dyDescent="0.3">
      <c r="A1751" t="s">
        <v>1097</v>
      </c>
      <c r="B1751">
        <v>47</v>
      </c>
      <c r="C1751" t="s">
        <v>54</v>
      </c>
      <c r="D1751" t="s">
        <v>19</v>
      </c>
      <c r="E1751" t="s">
        <v>20</v>
      </c>
      <c r="F1751" t="s">
        <v>118</v>
      </c>
      <c r="G1751">
        <v>24</v>
      </c>
      <c r="H1751" t="s">
        <v>31</v>
      </c>
      <c r="I1751" t="s">
        <v>31</v>
      </c>
      <c r="J1751" t="s">
        <v>25</v>
      </c>
      <c r="K1751" s="2">
        <v>80568</v>
      </c>
      <c r="L1751" s="2">
        <v>84077</v>
      </c>
      <c r="M1751" t="s">
        <v>32</v>
      </c>
      <c r="N1751">
        <v>35</v>
      </c>
      <c r="O1751" t="s">
        <v>23</v>
      </c>
      <c r="P1751">
        <v>7</v>
      </c>
      <c r="Q1751" s="1">
        <v>-11.96</v>
      </c>
      <c r="R1751" s="2">
        <f t="shared" si="108"/>
        <v>3509</v>
      </c>
      <c r="S1751" s="1">
        <f t="shared" si="109"/>
        <v>4.3553271770429944</v>
      </c>
      <c r="T1751" t="str">
        <f t="shared" si="110"/>
        <v>Expert</v>
      </c>
      <c r="U1751" t="str">
        <f t="shared" si="111"/>
        <v>Low Impact</v>
      </c>
    </row>
    <row r="1752" spans="1:21" x14ac:dyDescent="0.3">
      <c r="A1752" t="s">
        <v>2032</v>
      </c>
      <c r="B1752">
        <v>25</v>
      </c>
      <c r="C1752" t="s">
        <v>18</v>
      </c>
      <c r="D1752" t="s">
        <v>34</v>
      </c>
      <c r="E1752" t="s">
        <v>59</v>
      </c>
      <c r="F1752" t="s">
        <v>93</v>
      </c>
      <c r="G1752">
        <v>1</v>
      </c>
      <c r="H1752" t="s">
        <v>37</v>
      </c>
      <c r="I1752" t="s">
        <v>22</v>
      </c>
      <c r="J1752" t="s">
        <v>23</v>
      </c>
      <c r="K1752" s="2">
        <v>73098</v>
      </c>
      <c r="L1752" s="2">
        <v>83315</v>
      </c>
      <c r="M1752" t="s">
        <v>32</v>
      </c>
      <c r="N1752">
        <v>49</v>
      </c>
      <c r="O1752" t="s">
        <v>25</v>
      </c>
      <c r="P1752">
        <v>5</v>
      </c>
      <c r="Q1752" s="1">
        <v>-12</v>
      </c>
      <c r="R1752" s="2">
        <f t="shared" si="108"/>
        <v>10217</v>
      </c>
      <c r="S1752" s="1">
        <f t="shared" si="109"/>
        <v>13.977126597170923</v>
      </c>
      <c r="T1752" t="str">
        <f t="shared" si="110"/>
        <v>Beginner</v>
      </c>
      <c r="U1752" t="str">
        <f t="shared" si="111"/>
        <v>Low Impact</v>
      </c>
    </row>
    <row r="1753" spans="1:21" x14ac:dyDescent="0.3">
      <c r="A1753" t="s">
        <v>1735</v>
      </c>
      <c r="B1753">
        <v>56</v>
      </c>
      <c r="C1753" t="s">
        <v>27</v>
      </c>
      <c r="D1753" t="s">
        <v>19</v>
      </c>
      <c r="E1753" t="s">
        <v>35</v>
      </c>
      <c r="F1753" t="s">
        <v>132</v>
      </c>
      <c r="G1753">
        <v>34</v>
      </c>
      <c r="H1753" t="s">
        <v>31</v>
      </c>
      <c r="I1753" t="s">
        <v>22</v>
      </c>
      <c r="J1753" t="s">
        <v>23</v>
      </c>
      <c r="K1753" s="2">
        <v>101975</v>
      </c>
      <c r="L1753" s="2">
        <v>101796</v>
      </c>
      <c r="M1753" t="s">
        <v>32</v>
      </c>
      <c r="N1753">
        <v>40</v>
      </c>
      <c r="O1753" t="s">
        <v>23</v>
      </c>
      <c r="P1753">
        <v>4</v>
      </c>
      <c r="Q1753" s="1">
        <v>-12.07</v>
      </c>
      <c r="R1753" s="2">
        <f t="shared" si="108"/>
        <v>-179</v>
      </c>
      <c r="S1753" s="1">
        <f t="shared" si="109"/>
        <v>-0.17553321892620741</v>
      </c>
      <c r="T1753" t="str">
        <f t="shared" si="110"/>
        <v>Expert</v>
      </c>
      <c r="U1753" t="str">
        <f t="shared" si="111"/>
        <v>Low Impact</v>
      </c>
    </row>
    <row r="1754" spans="1:21" x14ac:dyDescent="0.3">
      <c r="A1754" t="s">
        <v>814</v>
      </c>
      <c r="B1754">
        <v>42</v>
      </c>
      <c r="C1754" t="s">
        <v>27</v>
      </c>
      <c r="D1754" t="s">
        <v>28</v>
      </c>
      <c r="E1754" t="s">
        <v>35</v>
      </c>
      <c r="F1754" t="s">
        <v>132</v>
      </c>
      <c r="G1754">
        <v>17</v>
      </c>
      <c r="H1754" t="s">
        <v>31</v>
      </c>
      <c r="I1754" t="s">
        <v>31</v>
      </c>
      <c r="J1754" t="s">
        <v>23</v>
      </c>
      <c r="K1754" s="2">
        <v>56140</v>
      </c>
      <c r="L1754" s="2">
        <v>55693</v>
      </c>
      <c r="M1754" t="s">
        <v>32</v>
      </c>
      <c r="N1754">
        <v>49</v>
      </c>
      <c r="O1754" t="s">
        <v>25</v>
      </c>
      <c r="P1754">
        <v>4</v>
      </c>
      <c r="Q1754" s="1">
        <v>-12.07</v>
      </c>
      <c r="R1754" s="2">
        <f t="shared" si="108"/>
        <v>-447</v>
      </c>
      <c r="S1754" s="1">
        <f t="shared" si="109"/>
        <v>-0.79622372639828998</v>
      </c>
      <c r="T1754" t="str">
        <f t="shared" si="110"/>
        <v>Expert</v>
      </c>
      <c r="U1754" t="str">
        <f t="shared" si="111"/>
        <v>Low Impact</v>
      </c>
    </row>
    <row r="1755" spans="1:21" x14ac:dyDescent="0.3">
      <c r="A1755" t="s">
        <v>1635</v>
      </c>
      <c r="B1755">
        <v>27</v>
      </c>
      <c r="C1755" t="s">
        <v>27</v>
      </c>
      <c r="D1755" t="s">
        <v>28</v>
      </c>
      <c r="E1755" t="s">
        <v>20</v>
      </c>
      <c r="F1755" t="s">
        <v>88</v>
      </c>
      <c r="G1755">
        <v>4</v>
      </c>
      <c r="H1755" t="s">
        <v>37</v>
      </c>
      <c r="I1755" t="s">
        <v>22</v>
      </c>
      <c r="J1755" t="s">
        <v>25</v>
      </c>
      <c r="K1755" s="2">
        <v>63387</v>
      </c>
      <c r="L1755" s="2">
        <v>57628</v>
      </c>
      <c r="M1755" t="s">
        <v>32</v>
      </c>
      <c r="N1755">
        <v>36</v>
      </c>
      <c r="O1755" t="s">
        <v>23</v>
      </c>
      <c r="P1755">
        <v>3</v>
      </c>
      <c r="Q1755" s="1">
        <v>-12.09</v>
      </c>
      <c r="R1755" s="2">
        <f t="shared" si="108"/>
        <v>-5759</v>
      </c>
      <c r="S1755" s="1">
        <f t="shared" si="109"/>
        <v>-9.085459163550885</v>
      </c>
      <c r="T1755" t="str">
        <f t="shared" si="110"/>
        <v>Beginner</v>
      </c>
      <c r="U1755" t="str">
        <f t="shared" si="111"/>
        <v>Low Impact</v>
      </c>
    </row>
    <row r="1756" spans="1:21" x14ac:dyDescent="0.3">
      <c r="A1756" t="s">
        <v>582</v>
      </c>
      <c r="B1756">
        <v>34</v>
      </c>
      <c r="C1756" t="s">
        <v>27</v>
      </c>
      <c r="D1756" t="s">
        <v>28</v>
      </c>
      <c r="E1756" t="s">
        <v>51</v>
      </c>
      <c r="F1756" t="s">
        <v>52</v>
      </c>
      <c r="G1756">
        <v>10</v>
      </c>
      <c r="H1756" t="s">
        <v>31</v>
      </c>
      <c r="I1756" t="s">
        <v>37</v>
      </c>
      <c r="J1756" t="s">
        <v>23</v>
      </c>
      <c r="K1756" s="2">
        <v>88002</v>
      </c>
      <c r="L1756" s="2">
        <v>88836</v>
      </c>
      <c r="M1756" t="s">
        <v>38</v>
      </c>
      <c r="N1756">
        <v>44</v>
      </c>
      <c r="O1756" t="s">
        <v>23</v>
      </c>
      <c r="P1756">
        <v>3</v>
      </c>
      <c r="Q1756" s="1">
        <v>-12.1</v>
      </c>
      <c r="R1756" s="2">
        <f t="shared" si="108"/>
        <v>834</v>
      </c>
      <c r="S1756" s="1">
        <f t="shared" si="109"/>
        <v>0.94770573396059188</v>
      </c>
      <c r="T1756" t="str">
        <f t="shared" si="110"/>
        <v>Intermediate</v>
      </c>
      <c r="U1756" t="str">
        <f t="shared" si="111"/>
        <v>Medium Impact</v>
      </c>
    </row>
    <row r="1757" spans="1:21" x14ac:dyDescent="0.3">
      <c r="A1757" t="s">
        <v>456</v>
      </c>
      <c r="B1757">
        <v>50</v>
      </c>
      <c r="C1757" t="s">
        <v>27</v>
      </c>
      <c r="D1757" t="s">
        <v>40</v>
      </c>
      <c r="E1757" t="s">
        <v>59</v>
      </c>
      <c r="F1757" t="s">
        <v>93</v>
      </c>
      <c r="G1757">
        <v>26</v>
      </c>
      <c r="H1757" t="s">
        <v>37</v>
      </c>
      <c r="I1757" t="s">
        <v>31</v>
      </c>
      <c r="J1757" t="s">
        <v>23</v>
      </c>
      <c r="K1757" s="2">
        <v>58803</v>
      </c>
      <c r="L1757" s="2">
        <v>64855</v>
      </c>
      <c r="M1757" t="s">
        <v>32</v>
      </c>
      <c r="N1757">
        <v>38</v>
      </c>
      <c r="O1757" t="s">
        <v>23</v>
      </c>
      <c r="P1757">
        <v>8</v>
      </c>
      <c r="Q1757" s="1">
        <v>-12.1</v>
      </c>
      <c r="R1757" s="2">
        <f t="shared" si="108"/>
        <v>6052</v>
      </c>
      <c r="S1757" s="1">
        <f t="shared" si="109"/>
        <v>10.291991905174907</v>
      </c>
      <c r="T1757" t="str">
        <f t="shared" si="110"/>
        <v>Expert</v>
      </c>
      <c r="U1757" t="str">
        <f t="shared" si="111"/>
        <v>Low Impact</v>
      </c>
    </row>
    <row r="1758" spans="1:21" x14ac:dyDescent="0.3">
      <c r="A1758" t="s">
        <v>1825</v>
      </c>
      <c r="B1758">
        <v>42</v>
      </c>
      <c r="C1758" t="s">
        <v>27</v>
      </c>
      <c r="D1758" t="s">
        <v>28</v>
      </c>
      <c r="E1758" t="s">
        <v>51</v>
      </c>
      <c r="F1758" t="s">
        <v>52</v>
      </c>
      <c r="G1758">
        <v>17</v>
      </c>
      <c r="H1758" t="s">
        <v>37</v>
      </c>
      <c r="I1758" t="s">
        <v>31</v>
      </c>
      <c r="J1758" t="s">
        <v>25</v>
      </c>
      <c r="K1758" s="2">
        <v>69823</v>
      </c>
      <c r="L1758" s="2">
        <v>71935</v>
      </c>
      <c r="M1758" t="s">
        <v>32</v>
      </c>
      <c r="N1758">
        <v>37</v>
      </c>
      <c r="O1758" t="s">
        <v>25</v>
      </c>
      <c r="P1758">
        <v>6</v>
      </c>
      <c r="Q1758" s="1">
        <v>-12.13</v>
      </c>
      <c r="R1758" s="2">
        <f t="shared" si="108"/>
        <v>2112</v>
      </c>
      <c r="S1758" s="1">
        <f t="shared" si="109"/>
        <v>3.0247912578949632</v>
      </c>
      <c r="T1758" t="str">
        <f t="shared" si="110"/>
        <v>Expert</v>
      </c>
      <c r="U1758" t="str">
        <f t="shared" si="111"/>
        <v>Low Impact</v>
      </c>
    </row>
    <row r="1759" spans="1:21" x14ac:dyDescent="0.3">
      <c r="A1759" t="s">
        <v>304</v>
      </c>
      <c r="B1759">
        <v>58</v>
      </c>
      <c r="C1759" t="s">
        <v>27</v>
      </c>
      <c r="D1759" t="s">
        <v>40</v>
      </c>
      <c r="E1759" t="s">
        <v>20</v>
      </c>
      <c r="F1759" t="s">
        <v>21</v>
      </c>
      <c r="G1759">
        <v>32</v>
      </c>
      <c r="H1759" t="s">
        <v>37</v>
      </c>
      <c r="I1759" t="s">
        <v>22</v>
      </c>
      <c r="J1759" t="s">
        <v>23</v>
      </c>
      <c r="K1759" s="2">
        <v>43760</v>
      </c>
      <c r="L1759" s="2">
        <v>49538</v>
      </c>
      <c r="M1759" t="s">
        <v>32</v>
      </c>
      <c r="N1759">
        <v>47</v>
      </c>
      <c r="O1759" t="s">
        <v>25</v>
      </c>
      <c r="P1759">
        <v>9</v>
      </c>
      <c r="Q1759" s="1">
        <v>-12.15</v>
      </c>
      <c r="R1759" s="2">
        <f t="shared" si="108"/>
        <v>5778</v>
      </c>
      <c r="S1759" s="1">
        <f t="shared" si="109"/>
        <v>13.203839122486288</v>
      </c>
      <c r="T1759" t="str">
        <f t="shared" si="110"/>
        <v>Expert</v>
      </c>
      <c r="U1759" t="str">
        <f t="shared" si="111"/>
        <v>Low Impact</v>
      </c>
    </row>
    <row r="1760" spans="1:21" x14ac:dyDescent="0.3">
      <c r="A1760" t="s">
        <v>1916</v>
      </c>
      <c r="B1760">
        <v>39</v>
      </c>
      <c r="C1760" t="s">
        <v>18</v>
      </c>
      <c r="D1760" t="s">
        <v>40</v>
      </c>
      <c r="E1760" t="s">
        <v>59</v>
      </c>
      <c r="F1760" t="s">
        <v>60</v>
      </c>
      <c r="G1760">
        <v>14</v>
      </c>
      <c r="H1760" t="s">
        <v>31</v>
      </c>
      <c r="I1760" t="s">
        <v>22</v>
      </c>
      <c r="J1760" t="s">
        <v>25</v>
      </c>
      <c r="K1760" s="2">
        <v>69925</v>
      </c>
      <c r="L1760" s="2">
        <v>66833</v>
      </c>
      <c r="M1760" t="s">
        <v>32</v>
      </c>
      <c r="N1760">
        <v>48</v>
      </c>
      <c r="O1760" t="s">
        <v>25</v>
      </c>
      <c r="P1760">
        <v>9</v>
      </c>
      <c r="Q1760" s="1">
        <v>-12.3</v>
      </c>
      <c r="R1760" s="2">
        <f t="shared" si="108"/>
        <v>-3092</v>
      </c>
      <c r="S1760" s="1">
        <f t="shared" si="109"/>
        <v>-4.4218805863425095</v>
      </c>
      <c r="T1760" t="str">
        <f t="shared" si="110"/>
        <v>Intermediate</v>
      </c>
      <c r="U1760" t="str">
        <f t="shared" si="111"/>
        <v>Low Impact</v>
      </c>
    </row>
    <row r="1761" spans="1:21" x14ac:dyDescent="0.3">
      <c r="A1761" t="s">
        <v>413</v>
      </c>
      <c r="B1761">
        <v>48</v>
      </c>
      <c r="C1761" t="s">
        <v>54</v>
      </c>
      <c r="D1761" t="s">
        <v>19</v>
      </c>
      <c r="E1761" t="s">
        <v>51</v>
      </c>
      <c r="F1761" t="s">
        <v>75</v>
      </c>
      <c r="G1761">
        <v>25</v>
      </c>
      <c r="H1761" t="s">
        <v>31</v>
      </c>
      <c r="I1761" t="s">
        <v>37</v>
      </c>
      <c r="J1761" t="s">
        <v>23</v>
      </c>
      <c r="K1761" s="2">
        <v>37927</v>
      </c>
      <c r="L1761" s="2">
        <v>39150</v>
      </c>
      <c r="M1761" t="s">
        <v>38</v>
      </c>
      <c r="N1761">
        <v>50</v>
      </c>
      <c r="O1761" t="s">
        <v>25</v>
      </c>
      <c r="P1761">
        <v>9</v>
      </c>
      <c r="Q1761" s="1">
        <v>-12.32</v>
      </c>
      <c r="R1761" s="2">
        <f t="shared" si="108"/>
        <v>1223</v>
      </c>
      <c r="S1761" s="1">
        <f t="shared" si="109"/>
        <v>3.2246157091254251</v>
      </c>
      <c r="T1761" t="str">
        <f t="shared" si="110"/>
        <v>Expert</v>
      </c>
      <c r="U1761" t="str">
        <f t="shared" si="111"/>
        <v>Medium Impact</v>
      </c>
    </row>
    <row r="1762" spans="1:21" x14ac:dyDescent="0.3">
      <c r="A1762" t="s">
        <v>162</v>
      </c>
      <c r="B1762">
        <v>32</v>
      </c>
      <c r="C1762" t="s">
        <v>54</v>
      </c>
      <c r="D1762" t="s">
        <v>19</v>
      </c>
      <c r="E1762" t="s">
        <v>29</v>
      </c>
      <c r="F1762" t="s">
        <v>102</v>
      </c>
      <c r="G1762">
        <v>8</v>
      </c>
      <c r="H1762" t="s">
        <v>37</v>
      </c>
      <c r="I1762" t="s">
        <v>22</v>
      </c>
      <c r="J1762" t="s">
        <v>23</v>
      </c>
      <c r="K1762" s="2">
        <v>36254</v>
      </c>
      <c r="L1762" s="2">
        <v>34030</v>
      </c>
      <c r="M1762" t="s">
        <v>32</v>
      </c>
      <c r="N1762">
        <v>45</v>
      </c>
      <c r="O1762" t="s">
        <v>23</v>
      </c>
      <c r="P1762">
        <v>8</v>
      </c>
      <c r="Q1762" s="1">
        <v>-12.32</v>
      </c>
      <c r="R1762" s="2">
        <f t="shared" si="108"/>
        <v>-2224</v>
      </c>
      <c r="S1762" s="1">
        <f t="shared" si="109"/>
        <v>-6.1344955039443922</v>
      </c>
      <c r="T1762" t="str">
        <f t="shared" si="110"/>
        <v>Intermediate</v>
      </c>
      <c r="U1762" t="str">
        <f t="shared" si="111"/>
        <v>Low Impact</v>
      </c>
    </row>
    <row r="1763" spans="1:21" x14ac:dyDescent="0.3">
      <c r="A1763" t="s">
        <v>1661</v>
      </c>
      <c r="B1763">
        <v>59</v>
      </c>
      <c r="C1763" t="s">
        <v>18</v>
      </c>
      <c r="D1763" t="s">
        <v>19</v>
      </c>
      <c r="E1763" t="s">
        <v>51</v>
      </c>
      <c r="F1763" t="s">
        <v>52</v>
      </c>
      <c r="G1763">
        <v>35</v>
      </c>
      <c r="H1763" t="s">
        <v>31</v>
      </c>
      <c r="I1763" t="s">
        <v>37</v>
      </c>
      <c r="J1763" t="s">
        <v>25</v>
      </c>
      <c r="K1763" s="2">
        <v>94325</v>
      </c>
      <c r="L1763" s="2">
        <v>101586</v>
      </c>
      <c r="M1763" t="s">
        <v>38</v>
      </c>
      <c r="N1763">
        <v>44</v>
      </c>
      <c r="O1763" t="s">
        <v>23</v>
      </c>
      <c r="P1763">
        <v>5</v>
      </c>
      <c r="Q1763" s="1">
        <v>-12.35</v>
      </c>
      <c r="R1763" s="2">
        <f t="shared" si="108"/>
        <v>7261</v>
      </c>
      <c r="S1763" s="1">
        <f t="shared" si="109"/>
        <v>7.6978531672409227</v>
      </c>
      <c r="T1763" t="str">
        <f t="shared" si="110"/>
        <v>Expert</v>
      </c>
      <c r="U1763" t="str">
        <f t="shared" si="111"/>
        <v>Medium Impact</v>
      </c>
    </row>
    <row r="1764" spans="1:21" x14ac:dyDescent="0.3">
      <c r="A1764" t="s">
        <v>631</v>
      </c>
      <c r="B1764">
        <v>50</v>
      </c>
      <c r="C1764" t="s">
        <v>18</v>
      </c>
      <c r="D1764" t="s">
        <v>40</v>
      </c>
      <c r="E1764" t="s">
        <v>29</v>
      </c>
      <c r="F1764" t="s">
        <v>104</v>
      </c>
      <c r="G1764">
        <v>28</v>
      </c>
      <c r="H1764" t="s">
        <v>31</v>
      </c>
      <c r="I1764" t="s">
        <v>22</v>
      </c>
      <c r="J1764" t="s">
        <v>25</v>
      </c>
      <c r="K1764" s="2">
        <v>44671</v>
      </c>
      <c r="L1764" s="2">
        <v>43800</v>
      </c>
      <c r="M1764" t="s">
        <v>32</v>
      </c>
      <c r="N1764">
        <v>43</v>
      </c>
      <c r="O1764" t="s">
        <v>23</v>
      </c>
      <c r="P1764">
        <v>9</v>
      </c>
      <c r="Q1764" s="1">
        <v>-12.36</v>
      </c>
      <c r="R1764" s="2">
        <f t="shared" si="108"/>
        <v>-871</v>
      </c>
      <c r="S1764" s="1">
        <f t="shared" si="109"/>
        <v>-1.9498108392469387</v>
      </c>
      <c r="T1764" t="str">
        <f t="shared" si="110"/>
        <v>Expert</v>
      </c>
      <c r="U1764" t="str">
        <f t="shared" si="111"/>
        <v>Low Impact</v>
      </c>
    </row>
    <row r="1765" spans="1:21" x14ac:dyDescent="0.3">
      <c r="A1765" t="s">
        <v>1658</v>
      </c>
      <c r="B1765">
        <v>24</v>
      </c>
      <c r="C1765" t="s">
        <v>54</v>
      </c>
      <c r="D1765" t="s">
        <v>40</v>
      </c>
      <c r="E1765" t="s">
        <v>44</v>
      </c>
      <c r="F1765" t="s">
        <v>57</v>
      </c>
      <c r="G1765">
        <v>2</v>
      </c>
      <c r="H1765" t="s">
        <v>37</v>
      </c>
      <c r="I1765" t="s">
        <v>31</v>
      </c>
      <c r="J1765" t="s">
        <v>23</v>
      </c>
      <c r="K1765" s="2">
        <v>81550</v>
      </c>
      <c r="L1765" s="2">
        <v>94846</v>
      </c>
      <c r="M1765" t="s">
        <v>32</v>
      </c>
      <c r="N1765">
        <v>50</v>
      </c>
      <c r="O1765" t="s">
        <v>23</v>
      </c>
      <c r="P1765">
        <v>8</v>
      </c>
      <c r="Q1765" s="1">
        <v>-12.44</v>
      </c>
      <c r="R1765" s="2">
        <f t="shared" si="108"/>
        <v>13296</v>
      </c>
      <c r="S1765" s="1">
        <f t="shared" si="109"/>
        <v>16.304107909258121</v>
      </c>
      <c r="T1765" t="str">
        <f t="shared" si="110"/>
        <v>Beginner</v>
      </c>
      <c r="U1765" t="str">
        <f t="shared" si="111"/>
        <v>Low Impact</v>
      </c>
    </row>
    <row r="1766" spans="1:21" x14ac:dyDescent="0.3">
      <c r="A1766" t="s">
        <v>766</v>
      </c>
      <c r="B1766">
        <v>23</v>
      </c>
      <c r="C1766" t="s">
        <v>27</v>
      </c>
      <c r="D1766" t="s">
        <v>34</v>
      </c>
      <c r="E1766" t="s">
        <v>44</v>
      </c>
      <c r="F1766" t="s">
        <v>47</v>
      </c>
      <c r="G1766">
        <v>0</v>
      </c>
      <c r="H1766" t="s">
        <v>22</v>
      </c>
      <c r="I1766" t="s">
        <v>22</v>
      </c>
      <c r="J1766" t="s">
        <v>25</v>
      </c>
      <c r="K1766" s="2">
        <v>78899</v>
      </c>
      <c r="L1766" s="2">
        <v>67987</v>
      </c>
      <c r="M1766" t="s">
        <v>24</v>
      </c>
      <c r="N1766">
        <v>42</v>
      </c>
      <c r="O1766" t="s">
        <v>23</v>
      </c>
      <c r="P1766">
        <v>4</v>
      </c>
      <c r="Q1766" s="1">
        <v>-12.44</v>
      </c>
      <c r="R1766" s="2">
        <f t="shared" si="108"/>
        <v>-10912</v>
      </c>
      <c r="S1766" s="1">
        <f t="shared" si="109"/>
        <v>-13.830340055007035</v>
      </c>
      <c r="T1766" t="str">
        <f t="shared" si="110"/>
        <v>Beginner</v>
      </c>
      <c r="U1766" t="str">
        <f t="shared" si="111"/>
        <v>High Impact</v>
      </c>
    </row>
    <row r="1767" spans="1:21" x14ac:dyDescent="0.3">
      <c r="A1767" t="s">
        <v>936</v>
      </c>
      <c r="B1767">
        <v>42</v>
      </c>
      <c r="C1767" t="s">
        <v>54</v>
      </c>
      <c r="D1767" t="s">
        <v>28</v>
      </c>
      <c r="E1767" t="s">
        <v>35</v>
      </c>
      <c r="F1767" t="s">
        <v>36</v>
      </c>
      <c r="G1767">
        <v>20</v>
      </c>
      <c r="H1767" t="s">
        <v>31</v>
      </c>
      <c r="I1767" t="s">
        <v>31</v>
      </c>
      <c r="J1767" t="s">
        <v>23</v>
      </c>
      <c r="K1767" s="2">
        <v>33203</v>
      </c>
      <c r="L1767" s="2">
        <v>34444</v>
      </c>
      <c r="M1767" t="s">
        <v>32</v>
      </c>
      <c r="N1767">
        <v>46</v>
      </c>
      <c r="O1767" t="s">
        <v>23</v>
      </c>
      <c r="P1767">
        <v>3</v>
      </c>
      <c r="Q1767" s="1">
        <v>-12.55</v>
      </c>
      <c r="R1767" s="2">
        <f t="shared" si="108"/>
        <v>1241</v>
      </c>
      <c r="S1767" s="1">
        <f t="shared" si="109"/>
        <v>3.7376140710176795</v>
      </c>
      <c r="T1767" t="str">
        <f t="shared" si="110"/>
        <v>Expert</v>
      </c>
      <c r="U1767" t="str">
        <f t="shared" si="111"/>
        <v>Low Impact</v>
      </c>
    </row>
    <row r="1768" spans="1:21" x14ac:dyDescent="0.3">
      <c r="A1768" t="s">
        <v>509</v>
      </c>
      <c r="B1768">
        <v>34</v>
      </c>
      <c r="C1768" t="s">
        <v>54</v>
      </c>
      <c r="D1768" t="s">
        <v>19</v>
      </c>
      <c r="E1768" t="s">
        <v>59</v>
      </c>
      <c r="F1768" t="s">
        <v>77</v>
      </c>
      <c r="G1768">
        <v>8</v>
      </c>
      <c r="H1768" t="s">
        <v>37</v>
      </c>
      <c r="I1768" t="s">
        <v>31</v>
      </c>
      <c r="J1768" t="s">
        <v>25</v>
      </c>
      <c r="K1768" s="2">
        <v>91202</v>
      </c>
      <c r="L1768" s="2">
        <v>99806</v>
      </c>
      <c r="M1768" t="s">
        <v>32</v>
      </c>
      <c r="N1768">
        <v>51</v>
      </c>
      <c r="O1768" t="s">
        <v>25</v>
      </c>
      <c r="P1768">
        <v>9</v>
      </c>
      <c r="Q1768" s="1">
        <v>-12.62</v>
      </c>
      <c r="R1768" s="2">
        <f t="shared" si="108"/>
        <v>8604</v>
      </c>
      <c r="S1768" s="1">
        <f t="shared" si="109"/>
        <v>9.4340036402710457</v>
      </c>
      <c r="T1768" t="str">
        <f t="shared" si="110"/>
        <v>Intermediate</v>
      </c>
      <c r="U1768" t="str">
        <f t="shared" si="111"/>
        <v>Low Impact</v>
      </c>
    </row>
    <row r="1769" spans="1:21" x14ac:dyDescent="0.3">
      <c r="A1769" t="s">
        <v>1337</v>
      </c>
      <c r="B1769">
        <v>57</v>
      </c>
      <c r="C1769" t="s">
        <v>18</v>
      </c>
      <c r="D1769" t="s">
        <v>19</v>
      </c>
      <c r="E1769" t="s">
        <v>41</v>
      </c>
      <c r="F1769" t="s">
        <v>42</v>
      </c>
      <c r="G1769">
        <v>35</v>
      </c>
      <c r="H1769" t="s">
        <v>22</v>
      </c>
      <c r="I1769" t="s">
        <v>31</v>
      </c>
      <c r="J1769" t="s">
        <v>25</v>
      </c>
      <c r="K1769" s="2">
        <v>42780</v>
      </c>
      <c r="L1769" s="2">
        <v>37514</v>
      </c>
      <c r="M1769" t="s">
        <v>32</v>
      </c>
      <c r="N1769">
        <v>40</v>
      </c>
      <c r="O1769" t="s">
        <v>25</v>
      </c>
      <c r="P1769">
        <v>8</v>
      </c>
      <c r="Q1769" s="1">
        <v>-12.62</v>
      </c>
      <c r="R1769" s="2">
        <f t="shared" si="108"/>
        <v>-5266</v>
      </c>
      <c r="S1769" s="1">
        <f t="shared" si="109"/>
        <v>-12.309490416082282</v>
      </c>
      <c r="T1769" t="str">
        <f t="shared" si="110"/>
        <v>Expert</v>
      </c>
      <c r="U1769" t="str">
        <f t="shared" si="111"/>
        <v>Low Impact</v>
      </c>
    </row>
    <row r="1770" spans="1:21" x14ac:dyDescent="0.3">
      <c r="A1770" t="s">
        <v>894</v>
      </c>
      <c r="B1770">
        <v>38</v>
      </c>
      <c r="C1770" t="s">
        <v>54</v>
      </c>
      <c r="D1770" t="s">
        <v>28</v>
      </c>
      <c r="E1770" t="s">
        <v>29</v>
      </c>
      <c r="F1770" t="s">
        <v>30</v>
      </c>
      <c r="G1770">
        <v>16</v>
      </c>
      <c r="H1770" t="s">
        <v>22</v>
      </c>
      <c r="I1770" t="s">
        <v>31</v>
      </c>
      <c r="J1770" t="s">
        <v>23</v>
      </c>
      <c r="K1770" s="2">
        <v>96766</v>
      </c>
      <c r="L1770" s="2">
        <v>122882</v>
      </c>
      <c r="M1770" t="s">
        <v>32</v>
      </c>
      <c r="N1770">
        <v>53</v>
      </c>
      <c r="O1770" t="s">
        <v>25</v>
      </c>
      <c r="P1770">
        <v>3</v>
      </c>
      <c r="Q1770" s="1">
        <v>-12.65</v>
      </c>
      <c r="R1770" s="2">
        <f t="shared" si="108"/>
        <v>26116</v>
      </c>
      <c r="S1770" s="1">
        <f t="shared" si="109"/>
        <v>26.988818386623404</v>
      </c>
      <c r="T1770" t="str">
        <f t="shared" si="110"/>
        <v>Expert</v>
      </c>
      <c r="U1770" t="str">
        <f t="shared" si="111"/>
        <v>Low Impact</v>
      </c>
    </row>
    <row r="1771" spans="1:21" x14ac:dyDescent="0.3">
      <c r="A1771" t="s">
        <v>363</v>
      </c>
      <c r="B1771">
        <v>44</v>
      </c>
      <c r="C1771" t="s">
        <v>54</v>
      </c>
      <c r="D1771" t="s">
        <v>19</v>
      </c>
      <c r="E1771" t="s">
        <v>51</v>
      </c>
      <c r="F1771" t="s">
        <v>130</v>
      </c>
      <c r="G1771">
        <v>20</v>
      </c>
      <c r="H1771" t="s">
        <v>22</v>
      </c>
      <c r="I1771" t="s">
        <v>22</v>
      </c>
      <c r="J1771" t="s">
        <v>25</v>
      </c>
      <c r="K1771" s="2">
        <v>74936</v>
      </c>
      <c r="L1771" s="2">
        <v>66344</v>
      </c>
      <c r="M1771" t="s">
        <v>38</v>
      </c>
      <c r="N1771">
        <v>48</v>
      </c>
      <c r="O1771" t="s">
        <v>25</v>
      </c>
      <c r="P1771">
        <v>5</v>
      </c>
      <c r="Q1771" s="1">
        <v>-12.72</v>
      </c>
      <c r="R1771" s="2">
        <f t="shared" si="108"/>
        <v>-8592</v>
      </c>
      <c r="S1771" s="1">
        <f t="shared" si="109"/>
        <v>-11.465784135795881</v>
      </c>
      <c r="T1771" t="str">
        <f t="shared" si="110"/>
        <v>Expert</v>
      </c>
      <c r="U1771" t="str">
        <f t="shared" si="111"/>
        <v>Medium Impact</v>
      </c>
    </row>
    <row r="1772" spans="1:21" x14ac:dyDescent="0.3">
      <c r="A1772" t="s">
        <v>467</v>
      </c>
      <c r="B1772">
        <v>25</v>
      </c>
      <c r="C1772" t="s">
        <v>54</v>
      </c>
      <c r="D1772" t="s">
        <v>40</v>
      </c>
      <c r="E1772" t="s">
        <v>44</v>
      </c>
      <c r="F1772" t="s">
        <v>45</v>
      </c>
      <c r="G1772">
        <v>3</v>
      </c>
      <c r="H1772" t="s">
        <v>22</v>
      </c>
      <c r="I1772" t="s">
        <v>37</v>
      </c>
      <c r="J1772" t="s">
        <v>23</v>
      </c>
      <c r="K1772" s="2">
        <v>54995</v>
      </c>
      <c r="L1772" s="2">
        <v>56173</v>
      </c>
      <c r="M1772" t="s">
        <v>38</v>
      </c>
      <c r="N1772">
        <v>42</v>
      </c>
      <c r="O1772" t="s">
        <v>25</v>
      </c>
      <c r="P1772">
        <v>6</v>
      </c>
      <c r="Q1772" s="1">
        <v>-12.74</v>
      </c>
      <c r="R1772" s="2">
        <f t="shared" si="108"/>
        <v>1178</v>
      </c>
      <c r="S1772" s="1">
        <f t="shared" si="109"/>
        <v>2.1420129102645693</v>
      </c>
      <c r="T1772" t="str">
        <f t="shared" si="110"/>
        <v>Beginner</v>
      </c>
      <c r="U1772" t="str">
        <f t="shared" si="111"/>
        <v>Medium Impact</v>
      </c>
    </row>
    <row r="1773" spans="1:21" x14ac:dyDescent="0.3">
      <c r="A1773" t="s">
        <v>960</v>
      </c>
      <c r="B1773">
        <v>26</v>
      </c>
      <c r="C1773" t="s">
        <v>18</v>
      </c>
      <c r="D1773" t="s">
        <v>28</v>
      </c>
      <c r="E1773" t="s">
        <v>51</v>
      </c>
      <c r="F1773" t="s">
        <v>75</v>
      </c>
      <c r="G1773">
        <v>1</v>
      </c>
      <c r="H1773" t="s">
        <v>37</v>
      </c>
      <c r="I1773" t="s">
        <v>37</v>
      </c>
      <c r="J1773" t="s">
        <v>23</v>
      </c>
      <c r="K1773" s="2">
        <v>41957</v>
      </c>
      <c r="L1773" s="2">
        <v>45580</v>
      </c>
      <c r="M1773" t="s">
        <v>38</v>
      </c>
      <c r="N1773">
        <v>36</v>
      </c>
      <c r="O1773" t="s">
        <v>23</v>
      </c>
      <c r="P1773">
        <v>8</v>
      </c>
      <c r="Q1773" s="1">
        <v>-12.76</v>
      </c>
      <c r="R1773" s="2">
        <f t="shared" si="108"/>
        <v>3623</v>
      </c>
      <c r="S1773" s="1">
        <f t="shared" si="109"/>
        <v>8.6350311032723983</v>
      </c>
      <c r="T1773" t="str">
        <f t="shared" si="110"/>
        <v>Beginner</v>
      </c>
      <c r="U1773" t="str">
        <f t="shared" si="111"/>
        <v>Medium Impact</v>
      </c>
    </row>
    <row r="1774" spans="1:21" x14ac:dyDescent="0.3">
      <c r="A1774" t="s">
        <v>1378</v>
      </c>
      <c r="B1774">
        <v>40</v>
      </c>
      <c r="C1774" t="s">
        <v>18</v>
      </c>
      <c r="D1774" t="s">
        <v>40</v>
      </c>
      <c r="E1774" t="s">
        <v>44</v>
      </c>
      <c r="F1774" t="s">
        <v>47</v>
      </c>
      <c r="G1774">
        <v>14</v>
      </c>
      <c r="H1774" t="s">
        <v>37</v>
      </c>
      <c r="I1774" t="s">
        <v>37</v>
      </c>
      <c r="J1774" t="s">
        <v>23</v>
      </c>
      <c r="K1774" s="2">
        <v>68165</v>
      </c>
      <c r="L1774" s="2">
        <v>61374</v>
      </c>
      <c r="M1774" t="s">
        <v>38</v>
      </c>
      <c r="N1774">
        <v>51</v>
      </c>
      <c r="O1774" t="s">
        <v>23</v>
      </c>
      <c r="P1774">
        <v>6</v>
      </c>
      <c r="Q1774" s="1">
        <v>-12.79</v>
      </c>
      <c r="R1774" s="2">
        <f t="shared" si="108"/>
        <v>-6791</v>
      </c>
      <c r="S1774" s="1">
        <f t="shared" si="109"/>
        <v>-9.9625907723905236</v>
      </c>
      <c r="T1774" t="str">
        <f t="shared" si="110"/>
        <v>Intermediate</v>
      </c>
      <c r="U1774" t="str">
        <f t="shared" si="111"/>
        <v>Medium Impact</v>
      </c>
    </row>
    <row r="1775" spans="1:21" x14ac:dyDescent="0.3">
      <c r="A1775" t="s">
        <v>1929</v>
      </c>
      <c r="B1775">
        <v>40</v>
      </c>
      <c r="C1775" t="s">
        <v>54</v>
      </c>
      <c r="D1775" t="s">
        <v>28</v>
      </c>
      <c r="E1775" t="s">
        <v>41</v>
      </c>
      <c r="F1775" t="s">
        <v>49</v>
      </c>
      <c r="G1775">
        <v>15</v>
      </c>
      <c r="H1775" t="s">
        <v>37</v>
      </c>
      <c r="I1775" t="s">
        <v>22</v>
      </c>
      <c r="J1775" t="s">
        <v>25</v>
      </c>
      <c r="K1775" s="2">
        <v>81142</v>
      </c>
      <c r="L1775" s="2">
        <v>88748</v>
      </c>
      <c r="M1775" t="s">
        <v>32</v>
      </c>
      <c r="N1775">
        <v>40</v>
      </c>
      <c r="O1775" t="s">
        <v>25</v>
      </c>
      <c r="P1775">
        <v>4</v>
      </c>
      <c r="Q1775" s="1">
        <v>-12.94</v>
      </c>
      <c r="R1775" s="2">
        <f t="shared" si="108"/>
        <v>7606</v>
      </c>
      <c r="S1775" s="1">
        <f t="shared" si="109"/>
        <v>9.3736905671538775</v>
      </c>
      <c r="T1775" t="str">
        <f t="shared" si="110"/>
        <v>Expert</v>
      </c>
      <c r="U1775" t="str">
        <f t="shared" si="111"/>
        <v>Low Impact</v>
      </c>
    </row>
    <row r="1776" spans="1:21" x14ac:dyDescent="0.3">
      <c r="A1776" t="s">
        <v>1380</v>
      </c>
      <c r="B1776">
        <v>26</v>
      </c>
      <c r="C1776" t="s">
        <v>18</v>
      </c>
      <c r="D1776" t="s">
        <v>34</v>
      </c>
      <c r="E1776" t="s">
        <v>44</v>
      </c>
      <c r="F1776" t="s">
        <v>47</v>
      </c>
      <c r="G1776">
        <v>2</v>
      </c>
      <c r="H1776" t="s">
        <v>22</v>
      </c>
      <c r="I1776" t="s">
        <v>37</v>
      </c>
      <c r="J1776" t="s">
        <v>25</v>
      </c>
      <c r="K1776" s="2">
        <v>86911</v>
      </c>
      <c r="L1776" s="2">
        <v>116187</v>
      </c>
      <c r="M1776" t="s">
        <v>38</v>
      </c>
      <c r="N1776">
        <v>53</v>
      </c>
      <c r="O1776" t="s">
        <v>25</v>
      </c>
      <c r="P1776">
        <v>8</v>
      </c>
      <c r="Q1776" s="1">
        <v>-12.95</v>
      </c>
      <c r="R1776" s="2">
        <f t="shared" si="108"/>
        <v>29276</v>
      </c>
      <c r="S1776" s="1">
        <f t="shared" si="109"/>
        <v>33.685034115359393</v>
      </c>
      <c r="T1776" t="str">
        <f t="shared" si="110"/>
        <v>Beginner</v>
      </c>
      <c r="U1776" t="str">
        <f t="shared" si="111"/>
        <v>Medium Impact</v>
      </c>
    </row>
    <row r="1777" spans="1:21" x14ac:dyDescent="0.3">
      <c r="A1777" t="s">
        <v>139</v>
      </c>
      <c r="B1777">
        <v>49</v>
      </c>
      <c r="C1777" t="s">
        <v>27</v>
      </c>
      <c r="D1777" t="s">
        <v>40</v>
      </c>
      <c r="E1777" t="s">
        <v>41</v>
      </c>
      <c r="F1777" t="s">
        <v>55</v>
      </c>
      <c r="G1777">
        <v>26</v>
      </c>
      <c r="H1777" t="s">
        <v>22</v>
      </c>
      <c r="I1777" t="s">
        <v>31</v>
      </c>
      <c r="J1777" t="s">
        <v>25</v>
      </c>
      <c r="K1777" s="2">
        <v>60355</v>
      </c>
      <c r="L1777" s="2">
        <v>52586</v>
      </c>
      <c r="M1777" t="s">
        <v>32</v>
      </c>
      <c r="N1777">
        <v>43</v>
      </c>
      <c r="O1777" t="s">
        <v>25</v>
      </c>
      <c r="P1777">
        <v>9</v>
      </c>
      <c r="Q1777" s="1">
        <v>-12.95</v>
      </c>
      <c r="R1777" s="2">
        <f t="shared" si="108"/>
        <v>-7769</v>
      </c>
      <c r="S1777" s="1">
        <f t="shared" si="109"/>
        <v>-12.87217297655538</v>
      </c>
      <c r="T1777" t="str">
        <f t="shared" si="110"/>
        <v>Expert</v>
      </c>
      <c r="U1777" t="str">
        <f t="shared" si="111"/>
        <v>Low Impact</v>
      </c>
    </row>
    <row r="1778" spans="1:21" x14ac:dyDescent="0.3">
      <c r="A1778" t="s">
        <v>714</v>
      </c>
      <c r="B1778">
        <v>43</v>
      </c>
      <c r="C1778" t="s">
        <v>54</v>
      </c>
      <c r="D1778" t="s">
        <v>19</v>
      </c>
      <c r="E1778" t="s">
        <v>59</v>
      </c>
      <c r="F1778" t="s">
        <v>93</v>
      </c>
      <c r="G1778">
        <v>17</v>
      </c>
      <c r="H1778" t="s">
        <v>37</v>
      </c>
      <c r="I1778" t="s">
        <v>22</v>
      </c>
      <c r="J1778" t="s">
        <v>23</v>
      </c>
      <c r="K1778" s="2">
        <v>36589</v>
      </c>
      <c r="L1778" s="2">
        <v>38262</v>
      </c>
      <c r="M1778" t="s">
        <v>32</v>
      </c>
      <c r="N1778">
        <v>49</v>
      </c>
      <c r="O1778" t="s">
        <v>23</v>
      </c>
      <c r="P1778">
        <v>4</v>
      </c>
      <c r="Q1778" s="1">
        <v>-12.98</v>
      </c>
      <c r="R1778" s="2">
        <f t="shared" si="108"/>
        <v>1673</v>
      </c>
      <c r="S1778" s="1">
        <f t="shared" si="109"/>
        <v>4.5724124736942793</v>
      </c>
      <c r="T1778" t="str">
        <f t="shared" si="110"/>
        <v>Expert</v>
      </c>
      <c r="U1778" t="str">
        <f t="shared" si="111"/>
        <v>Low Impact</v>
      </c>
    </row>
    <row r="1779" spans="1:21" x14ac:dyDescent="0.3">
      <c r="A1779" t="s">
        <v>1450</v>
      </c>
      <c r="B1779">
        <v>43</v>
      </c>
      <c r="C1779" t="s">
        <v>18</v>
      </c>
      <c r="D1779" t="s">
        <v>28</v>
      </c>
      <c r="E1779" t="s">
        <v>51</v>
      </c>
      <c r="F1779" t="s">
        <v>130</v>
      </c>
      <c r="G1779">
        <v>17</v>
      </c>
      <c r="H1779" t="s">
        <v>31</v>
      </c>
      <c r="I1779" t="s">
        <v>37</v>
      </c>
      <c r="J1779" t="s">
        <v>25</v>
      </c>
      <c r="K1779" s="2">
        <v>36922</v>
      </c>
      <c r="L1779" s="2">
        <v>36819</v>
      </c>
      <c r="M1779" t="s">
        <v>38</v>
      </c>
      <c r="N1779">
        <v>36</v>
      </c>
      <c r="O1779" t="s">
        <v>23</v>
      </c>
      <c r="P1779">
        <v>5</v>
      </c>
      <c r="Q1779" s="1">
        <v>-12.99</v>
      </c>
      <c r="R1779" s="2">
        <f t="shared" si="108"/>
        <v>-103</v>
      </c>
      <c r="S1779" s="1">
        <f t="shared" si="109"/>
        <v>-0.27896646985537077</v>
      </c>
      <c r="T1779" t="str">
        <f t="shared" si="110"/>
        <v>Expert</v>
      </c>
      <c r="U1779" t="str">
        <f t="shared" si="111"/>
        <v>Medium Impact</v>
      </c>
    </row>
    <row r="1780" spans="1:21" x14ac:dyDescent="0.3">
      <c r="A1780" t="s">
        <v>482</v>
      </c>
      <c r="B1780">
        <v>27</v>
      </c>
      <c r="C1780" t="s">
        <v>54</v>
      </c>
      <c r="D1780" t="s">
        <v>40</v>
      </c>
      <c r="E1780" t="s">
        <v>29</v>
      </c>
      <c r="F1780" t="s">
        <v>30</v>
      </c>
      <c r="G1780">
        <v>3</v>
      </c>
      <c r="H1780" t="s">
        <v>37</v>
      </c>
      <c r="I1780" t="s">
        <v>22</v>
      </c>
      <c r="J1780" t="s">
        <v>23</v>
      </c>
      <c r="K1780" s="2">
        <v>83161</v>
      </c>
      <c r="L1780" s="2">
        <v>97300</v>
      </c>
      <c r="M1780" t="s">
        <v>32</v>
      </c>
      <c r="N1780">
        <v>44</v>
      </c>
      <c r="O1780" t="s">
        <v>23</v>
      </c>
      <c r="P1780">
        <v>6</v>
      </c>
      <c r="Q1780" s="1">
        <v>-13.03</v>
      </c>
      <c r="R1780" s="2">
        <f t="shared" si="108"/>
        <v>14139</v>
      </c>
      <c r="S1780" s="1">
        <f t="shared" si="109"/>
        <v>17.001960053390412</v>
      </c>
      <c r="T1780" t="str">
        <f t="shared" si="110"/>
        <v>Beginner</v>
      </c>
      <c r="U1780" t="str">
        <f t="shared" si="111"/>
        <v>Low Impact</v>
      </c>
    </row>
    <row r="1781" spans="1:21" x14ac:dyDescent="0.3">
      <c r="A1781" t="s">
        <v>830</v>
      </c>
      <c r="B1781">
        <v>55</v>
      </c>
      <c r="C1781" t="s">
        <v>54</v>
      </c>
      <c r="D1781" t="s">
        <v>40</v>
      </c>
      <c r="E1781" t="s">
        <v>44</v>
      </c>
      <c r="F1781" t="s">
        <v>47</v>
      </c>
      <c r="G1781">
        <v>31</v>
      </c>
      <c r="H1781" t="s">
        <v>22</v>
      </c>
      <c r="I1781" t="s">
        <v>22</v>
      </c>
      <c r="J1781" t="s">
        <v>23</v>
      </c>
      <c r="K1781" s="2">
        <v>109823</v>
      </c>
      <c r="L1781" s="2">
        <v>151324</v>
      </c>
      <c r="M1781" t="s">
        <v>38</v>
      </c>
      <c r="N1781">
        <v>47</v>
      </c>
      <c r="O1781" t="s">
        <v>25</v>
      </c>
      <c r="P1781">
        <v>7</v>
      </c>
      <c r="Q1781" s="1">
        <v>-13.11</v>
      </c>
      <c r="R1781" s="2">
        <f t="shared" si="108"/>
        <v>41501</v>
      </c>
      <c r="S1781" s="1">
        <f t="shared" si="109"/>
        <v>37.788987734809645</v>
      </c>
      <c r="T1781" t="str">
        <f t="shared" si="110"/>
        <v>Expert</v>
      </c>
      <c r="U1781" t="str">
        <f t="shared" si="111"/>
        <v>Medium Impact</v>
      </c>
    </row>
    <row r="1782" spans="1:21" x14ac:dyDescent="0.3">
      <c r="A1782" t="s">
        <v>1612</v>
      </c>
      <c r="B1782">
        <v>55</v>
      </c>
      <c r="C1782" t="s">
        <v>27</v>
      </c>
      <c r="D1782" t="s">
        <v>19</v>
      </c>
      <c r="E1782" t="s">
        <v>29</v>
      </c>
      <c r="F1782" t="s">
        <v>102</v>
      </c>
      <c r="G1782">
        <v>30</v>
      </c>
      <c r="H1782" t="s">
        <v>31</v>
      </c>
      <c r="I1782" t="s">
        <v>31</v>
      </c>
      <c r="J1782" t="s">
        <v>25</v>
      </c>
      <c r="K1782" s="2">
        <v>116478</v>
      </c>
      <c r="L1782" s="2">
        <v>127503</v>
      </c>
      <c r="M1782" t="s">
        <v>32</v>
      </c>
      <c r="N1782">
        <v>48</v>
      </c>
      <c r="O1782" t="s">
        <v>23</v>
      </c>
      <c r="P1782">
        <v>8</v>
      </c>
      <c r="Q1782" s="1">
        <v>-13.13</v>
      </c>
      <c r="R1782" s="2">
        <f t="shared" si="108"/>
        <v>11025</v>
      </c>
      <c r="S1782" s="1">
        <f t="shared" si="109"/>
        <v>9.4653067532066135</v>
      </c>
      <c r="T1782" t="str">
        <f t="shared" si="110"/>
        <v>Expert</v>
      </c>
      <c r="U1782" t="str">
        <f t="shared" si="111"/>
        <v>Low Impact</v>
      </c>
    </row>
    <row r="1783" spans="1:21" x14ac:dyDescent="0.3">
      <c r="A1783" t="s">
        <v>381</v>
      </c>
      <c r="B1783">
        <v>42</v>
      </c>
      <c r="C1783" t="s">
        <v>54</v>
      </c>
      <c r="D1783" t="s">
        <v>40</v>
      </c>
      <c r="E1783" t="s">
        <v>20</v>
      </c>
      <c r="F1783" t="s">
        <v>88</v>
      </c>
      <c r="G1783">
        <v>17</v>
      </c>
      <c r="H1783" t="s">
        <v>31</v>
      </c>
      <c r="I1783" t="s">
        <v>22</v>
      </c>
      <c r="J1783" t="s">
        <v>23</v>
      </c>
      <c r="K1783" s="2">
        <v>55227</v>
      </c>
      <c r="L1783" s="2">
        <v>56395</v>
      </c>
      <c r="M1783" t="s">
        <v>32</v>
      </c>
      <c r="N1783">
        <v>47</v>
      </c>
      <c r="O1783" t="s">
        <v>25</v>
      </c>
      <c r="P1783">
        <v>7</v>
      </c>
      <c r="Q1783" s="1">
        <v>-13.16</v>
      </c>
      <c r="R1783" s="2">
        <f t="shared" si="108"/>
        <v>1168</v>
      </c>
      <c r="S1783" s="1">
        <f t="shared" si="109"/>
        <v>2.1149075633295307</v>
      </c>
      <c r="T1783" t="str">
        <f t="shared" si="110"/>
        <v>Expert</v>
      </c>
      <c r="U1783" t="str">
        <f t="shared" si="111"/>
        <v>Low Impact</v>
      </c>
    </row>
    <row r="1784" spans="1:21" x14ac:dyDescent="0.3">
      <c r="A1784" t="s">
        <v>462</v>
      </c>
      <c r="B1784">
        <v>30</v>
      </c>
      <c r="C1784" t="s">
        <v>54</v>
      </c>
      <c r="D1784" t="s">
        <v>40</v>
      </c>
      <c r="E1784" t="s">
        <v>35</v>
      </c>
      <c r="F1784" t="s">
        <v>132</v>
      </c>
      <c r="G1784">
        <v>4</v>
      </c>
      <c r="H1784" t="s">
        <v>31</v>
      </c>
      <c r="I1784" t="s">
        <v>37</v>
      </c>
      <c r="J1784" t="s">
        <v>23</v>
      </c>
      <c r="K1784" s="2">
        <v>100448</v>
      </c>
      <c r="L1784" s="2">
        <v>104723</v>
      </c>
      <c r="M1784" t="s">
        <v>38</v>
      </c>
      <c r="N1784">
        <v>53</v>
      </c>
      <c r="O1784" t="s">
        <v>25</v>
      </c>
      <c r="P1784">
        <v>5</v>
      </c>
      <c r="Q1784" s="1">
        <v>-13.17</v>
      </c>
      <c r="R1784" s="2">
        <f t="shared" si="108"/>
        <v>4275</v>
      </c>
      <c r="S1784" s="1">
        <f t="shared" si="109"/>
        <v>4.2559334182860784</v>
      </c>
      <c r="T1784" t="str">
        <f t="shared" si="110"/>
        <v>Beginner</v>
      </c>
      <c r="U1784" t="str">
        <f t="shared" si="111"/>
        <v>Medium Impact</v>
      </c>
    </row>
    <row r="1785" spans="1:21" x14ac:dyDescent="0.3">
      <c r="A1785" t="s">
        <v>771</v>
      </c>
      <c r="B1785">
        <v>43</v>
      </c>
      <c r="C1785" t="s">
        <v>27</v>
      </c>
      <c r="D1785" t="s">
        <v>19</v>
      </c>
      <c r="E1785" t="s">
        <v>44</v>
      </c>
      <c r="F1785" t="s">
        <v>57</v>
      </c>
      <c r="G1785">
        <v>21</v>
      </c>
      <c r="H1785" t="s">
        <v>37</v>
      </c>
      <c r="I1785" t="s">
        <v>31</v>
      </c>
      <c r="J1785" t="s">
        <v>23</v>
      </c>
      <c r="K1785" s="2">
        <v>116483</v>
      </c>
      <c r="L1785" s="2">
        <v>129344</v>
      </c>
      <c r="M1785" t="s">
        <v>32</v>
      </c>
      <c r="N1785">
        <v>50</v>
      </c>
      <c r="O1785" t="s">
        <v>23</v>
      </c>
      <c r="P1785">
        <v>4</v>
      </c>
      <c r="Q1785" s="1">
        <v>-13.19</v>
      </c>
      <c r="R1785" s="2">
        <f t="shared" si="108"/>
        <v>12861</v>
      </c>
      <c r="S1785" s="1">
        <f t="shared" si="109"/>
        <v>11.041096125614896</v>
      </c>
      <c r="T1785" t="str">
        <f t="shared" si="110"/>
        <v>Expert</v>
      </c>
      <c r="U1785" t="str">
        <f t="shared" si="111"/>
        <v>Low Impact</v>
      </c>
    </row>
    <row r="1786" spans="1:21" x14ac:dyDescent="0.3">
      <c r="A1786" t="s">
        <v>823</v>
      </c>
      <c r="B1786">
        <v>24</v>
      </c>
      <c r="C1786" t="s">
        <v>54</v>
      </c>
      <c r="D1786" t="s">
        <v>34</v>
      </c>
      <c r="E1786" t="s">
        <v>44</v>
      </c>
      <c r="F1786" t="s">
        <v>57</v>
      </c>
      <c r="G1786">
        <v>2</v>
      </c>
      <c r="H1786" t="s">
        <v>22</v>
      </c>
      <c r="I1786" t="s">
        <v>31</v>
      </c>
      <c r="J1786" t="s">
        <v>25</v>
      </c>
      <c r="K1786" s="2">
        <v>83051</v>
      </c>
      <c r="L1786" s="2">
        <v>79302</v>
      </c>
      <c r="M1786" t="s">
        <v>32</v>
      </c>
      <c r="N1786">
        <v>41</v>
      </c>
      <c r="O1786" t="s">
        <v>25</v>
      </c>
      <c r="P1786">
        <v>9</v>
      </c>
      <c r="Q1786" s="1">
        <v>-13.19</v>
      </c>
      <c r="R1786" s="2">
        <f t="shared" si="108"/>
        <v>-3749</v>
      </c>
      <c r="S1786" s="1">
        <f t="shared" si="109"/>
        <v>-4.5140937496237248</v>
      </c>
      <c r="T1786" t="str">
        <f t="shared" si="110"/>
        <v>Beginner</v>
      </c>
      <c r="U1786" t="str">
        <f t="shared" si="111"/>
        <v>Low Impact</v>
      </c>
    </row>
    <row r="1787" spans="1:21" x14ac:dyDescent="0.3">
      <c r="A1787" t="s">
        <v>82</v>
      </c>
      <c r="B1787">
        <v>39</v>
      </c>
      <c r="C1787" t="s">
        <v>18</v>
      </c>
      <c r="D1787" t="s">
        <v>28</v>
      </c>
      <c r="E1787" t="s">
        <v>20</v>
      </c>
      <c r="F1787" t="s">
        <v>21</v>
      </c>
      <c r="G1787">
        <v>17</v>
      </c>
      <c r="H1787" t="s">
        <v>37</v>
      </c>
      <c r="I1787" t="s">
        <v>31</v>
      </c>
      <c r="J1787" t="s">
        <v>23</v>
      </c>
      <c r="K1787" s="2">
        <v>31802</v>
      </c>
      <c r="L1787" s="2">
        <v>31875</v>
      </c>
      <c r="M1787" t="s">
        <v>32</v>
      </c>
      <c r="N1787">
        <v>44</v>
      </c>
      <c r="O1787" t="s">
        <v>23</v>
      </c>
      <c r="P1787">
        <v>5</v>
      </c>
      <c r="Q1787" s="1">
        <v>-13.19</v>
      </c>
      <c r="R1787" s="2">
        <f t="shared" si="108"/>
        <v>73</v>
      </c>
      <c r="S1787" s="1">
        <f t="shared" si="109"/>
        <v>0.22954531161562164</v>
      </c>
      <c r="T1787" t="str">
        <f t="shared" si="110"/>
        <v>Expert</v>
      </c>
      <c r="U1787" t="str">
        <f t="shared" si="111"/>
        <v>Low Impact</v>
      </c>
    </row>
    <row r="1788" spans="1:21" x14ac:dyDescent="0.3">
      <c r="A1788" t="s">
        <v>1687</v>
      </c>
      <c r="B1788">
        <v>29</v>
      </c>
      <c r="C1788" t="s">
        <v>27</v>
      </c>
      <c r="D1788" t="s">
        <v>34</v>
      </c>
      <c r="E1788" t="s">
        <v>20</v>
      </c>
      <c r="F1788" t="s">
        <v>118</v>
      </c>
      <c r="G1788">
        <v>6</v>
      </c>
      <c r="H1788" t="s">
        <v>37</v>
      </c>
      <c r="I1788" t="s">
        <v>22</v>
      </c>
      <c r="J1788" t="s">
        <v>25</v>
      </c>
      <c r="K1788" s="2">
        <v>30944</v>
      </c>
      <c r="L1788" s="2">
        <v>29600</v>
      </c>
      <c r="M1788" t="s">
        <v>32</v>
      </c>
      <c r="N1788">
        <v>40</v>
      </c>
      <c r="O1788" t="s">
        <v>23</v>
      </c>
      <c r="P1788">
        <v>7</v>
      </c>
      <c r="Q1788" s="1">
        <v>-13.19</v>
      </c>
      <c r="R1788" s="2">
        <f t="shared" si="108"/>
        <v>-1344</v>
      </c>
      <c r="S1788" s="1">
        <f t="shared" si="109"/>
        <v>-4.3433298862461225</v>
      </c>
      <c r="T1788" t="str">
        <f t="shared" si="110"/>
        <v>Intermediate</v>
      </c>
      <c r="U1788" t="str">
        <f t="shared" si="111"/>
        <v>Low Impact</v>
      </c>
    </row>
    <row r="1789" spans="1:21" x14ac:dyDescent="0.3">
      <c r="A1789" t="s">
        <v>1764</v>
      </c>
      <c r="B1789">
        <v>34</v>
      </c>
      <c r="C1789" t="s">
        <v>54</v>
      </c>
      <c r="D1789" t="s">
        <v>19</v>
      </c>
      <c r="E1789" t="s">
        <v>41</v>
      </c>
      <c r="F1789" t="s">
        <v>42</v>
      </c>
      <c r="G1789">
        <v>9</v>
      </c>
      <c r="H1789" t="s">
        <v>22</v>
      </c>
      <c r="I1789" t="s">
        <v>37</v>
      </c>
      <c r="J1789" t="s">
        <v>23</v>
      </c>
      <c r="K1789" s="2">
        <v>113441</v>
      </c>
      <c r="L1789" s="2">
        <v>127071</v>
      </c>
      <c r="M1789" t="s">
        <v>38</v>
      </c>
      <c r="N1789">
        <v>48</v>
      </c>
      <c r="O1789" t="s">
        <v>25</v>
      </c>
      <c r="P1789">
        <v>4</v>
      </c>
      <c r="Q1789" s="1">
        <v>-13.21</v>
      </c>
      <c r="R1789" s="2">
        <f t="shared" si="108"/>
        <v>13630</v>
      </c>
      <c r="S1789" s="1">
        <f t="shared" si="109"/>
        <v>12.015056284764768</v>
      </c>
      <c r="T1789" t="str">
        <f t="shared" si="110"/>
        <v>Intermediate</v>
      </c>
      <c r="U1789" t="str">
        <f t="shared" si="111"/>
        <v>Medium Impact</v>
      </c>
    </row>
    <row r="1790" spans="1:21" x14ac:dyDescent="0.3">
      <c r="A1790" t="s">
        <v>1460</v>
      </c>
      <c r="B1790">
        <v>29</v>
      </c>
      <c r="C1790" t="s">
        <v>18</v>
      </c>
      <c r="D1790" t="s">
        <v>19</v>
      </c>
      <c r="E1790" t="s">
        <v>44</v>
      </c>
      <c r="F1790" t="s">
        <v>47</v>
      </c>
      <c r="G1790">
        <v>4</v>
      </c>
      <c r="H1790" t="s">
        <v>37</v>
      </c>
      <c r="I1790" t="s">
        <v>22</v>
      </c>
      <c r="J1790" t="s">
        <v>25</v>
      </c>
      <c r="K1790" s="2">
        <v>77994</v>
      </c>
      <c r="L1790" s="2">
        <v>80467</v>
      </c>
      <c r="M1790" t="s">
        <v>32</v>
      </c>
      <c r="N1790">
        <v>46</v>
      </c>
      <c r="O1790" t="s">
        <v>25</v>
      </c>
      <c r="P1790">
        <v>9</v>
      </c>
      <c r="Q1790" s="1">
        <v>-13.23</v>
      </c>
      <c r="R1790" s="2">
        <f t="shared" si="108"/>
        <v>2473</v>
      </c>
      <c r="S1790" s="1">
        <f t="shared" si="109"/>
        <v>3.1707567248762727</v>
      </c>
      <c r="T1790" t="str">
        <f t="shared" si="110"/>
        <v>Beginner</v>
      </c>
      <c r="U1790" t="str">
        <f t="shared" si="111"/>
        <v>Low Impact</v>
      </c>
    </row>
    <row r="1791" spans="1:21" x14ac:dyDescent="0.3">
      <c r="A1791" t="s">
        <v>873</v>
      </c>
      <c r="B1791">
        <v>52</v>
      </c>
      <c r="C1791" t="s">
        <v>18</v>
      </c>
      <c r="D1791" t="s">
        <v>28</v>
      </c>
      <c r="E1791" t="s">
        <v>29</v>
      </c>
      <c r="F1791" t="s">
        <v>104</v>
      </c>
      <c r="G1791">
        <v>30</v>
      </c>
      <c r="H1791" t="s">
        <v>37</v>
      </c>
      <c r="I1791" t="s">
        <v>22</v>
      </c>
      <c r="J1791" t="s">
        <v>25</v>
      </c>
      <c r="K1791" s="2">
        <v>82091</v>
      </c>
      <c r="L1791" s="2">
        <v>91745</v>
      </c>
      <c r="M1791" t="s">
        <v>32</v>
      </c>
      <c r="N1791">
        <v>52</v>
      </c>
      <c r="O1791" t="s">
        <v>25</v>
      </c>
      <c r="P1791">
        <v>8</v>
      </c>
      <c r="Q1791" s="1">
        <v>-13.24</v>
      </c>
      <c r="R1791" s="2">
        <f t="shared" si="108"/>
        <v>9654</v>
      </c>
      <c r="S1791" s="1">
        <f t="shared" si="109"/>
        <v>11.760119866976892</v>
      </c>
      <c r="T1791" t="str">
        <f t="shared" si="110"/>
        <v>Expert</v>
      </c>
      <c r="U1791" t="str">
        <f t="shared" si="111"/>
        <v>Low Impact</v>
      </c>
    </row>
    <row r="1792" spans="1:21" x14ac:dyDescent="0.3">
      <c r="A1792" t="s">
        <v>1272</v>
      </c>
      <c r="B1792">
        <v>54</v>
      </c>
      <c r="C1792" t="s">
        <v>18</v>
      </c>
      <c r="D1792" t="s">
        <v>40</v>
      </c>
      <c r="E1792" t="s">
        <v>44</v>
      </c>
      <c r="F1792" t="s">
        <v>47</v>
      </c>
      <c r="G1792">
        <v>28</v>
      </c>
      <c r="H1792" t="s">
        <v>37</v>
      </c>
      <c r="I1792" t="s">
        <v>31</v>
      </c>
      <c r="J1792" t="s">
        <v>25</v>
      </c>
      <c r="K1792" s="2">
        <v>65645</v>
      </c>
      <c r="L1792" s="2">
        <v>67240</v>
      </c>
      <c r="M1792" t="s">
        <v>32</v>
      </c>
      <c r="N1792">
        <v>44</v>
      </c>
      <c r="O1792" t="s">
        <v>25</v>
      </c>
      <c r="P1792">
        <v>8</v>
      </c>
      <c r="Q1792" s="1">
        <v>-13.26</v>
      </c>
      <c r="R1792" s="2">
        <f t="shared" si="108"/>
        <v>1595</v>
      </c>
      <c r="S1792" s="1">
        <f t="shared" si="109"/>
        <v>2.4297356995963133</v>
      </c>
      <c r="T1792" t="str">
        <f t="shared" si="110"/>
        <v>Expert</v>
      </c>
      <c r="U1792" t="str">
        <f t="shared" si="111"/>
        <v>Low Impact</v>
      </c>
    </row>
    <row r="1793" spans="1:21" x14ac:dyDescent="0.3">
      <c r="A1793" t="s">
        <v>614</v>
      </c>
      <c r="B1793">
        <v>24</v>
      </c>
      <c r="C1793" t="s">
        <v>27</v>
      </c>
      <c r="D1793" t="s">
        <v>19</v>
      </c>
      <c r="E1793" t="s">
        <v>41</v>
      </c>
      <c r="F1793" t="s">
        <v>42</v>
      </c>
      <c r="G1793">
        <v>1</v>
      </c>
      <c r="H1793" t="s">
        <v>31</v>
      </c>
      <c r="I1793" t="s">
        <v>22</v>
      </c>
      <c r="J1793" t="s">
        <v>23</v>
      </c>
      <c r="K1793" s="2">
        <v>86704</v>
      </c>
      <c r="L1793" s="2">
        <v>94386</v>
      </c>
      <c r="M1793" t="s">
        <v>32</v>
      </c>
      <c r="N1793">
        <v>39</v>
      </c>
      <c r="O1793" t="s">
        <v>23</v>
      </c>
      <c r="P1793">
        <v>3</v>
      </c>
      <c r="Q1793" s="1">
        <v>-13.29</v>
      </c>
      <c r="R1793" s="2">
        <f t="shared" si="108"/>
        <v>7682</v>
      </c>
      <c r="S1793" s="1">
        <f t="shared" si="109"/>
        <v>8.8600295257427568</v>
      </c>
      <c r="T1793" t="str">
        <f t="shared" si="110"/>
        <v>Beginner</v>
      </c>
      <c r="U1793" t="str">
        <f t="shared" si="111"/>
        <v>Low Impact</v>
      </c>
    </row>
    <row r="1794" spans="1:21" x14ac:dyDescent="0.3">
      <c r="A1794" t="s">
        <v>382</v>
      </c>
      <c r="B1794">
        <v>53</v>
      </c>
      <c r="C1794" t="s">
        <v>54</v>
      </c>
      <c r="D1794" t="s">
        <v>28</v>
      </c>
      <c r="E1794" t="s">
        <v>41</v>
      </c>
      <c r="F1794" t="s">
        <v>42</v>
      </c>
      <c r="G1794">
        <v>28</v>
      </c>
      <c r="H1794" t="s">
        <v>22</v>
      </c>
      <c r="I1794" t="s">
        <v>37</v>
      </c>
      <c r="J1794" t="s">
        <v>25</v>
      </c>
      <c r="K1794" s="2">
        <v>87866</v>
      </c>
      <c r="L1794" s="2">
        <v>72598</v>
      </c>
      <c r="M1794" t="s">
        <v>38</v>
      </c>
      <c r="N1794">
        <v>52</v>
      </c>
      <c r="O1794" t="s">
        <v>23</v>
      </c>
      <c r="P1794">
        <v>9</v>
      </c>
      <c r="Q1794" s="1">
        <v>-13.35</v>
      </c>
      <c r="R1794" s="2">
        <f t="shared" ref="R1794:R1857" si="112">L1794-K1794</f>
        <v>-15268</v>
      </c>
      <c r="S1794" s="1">
        <f t="shared" ref="S1794:S1857" si="113">(L1794-K1794)/K1794*100</f>
        <v>-17.376459608949993</v>
      </c>
      <c r="T1794" t="str">
        <f t="shared" ref="T1794:T1857" si="114">IF(G1794&lt;5,"Beginner",IF(G1794&lt;15,"Intermediate","Expert"))</f>
        <v>Expert</v>
      </c>
      <c r="U1794" t="str">
        <f t="shared" ref="U1794:U1857" si="115">IF(M1794="Replaced","High Impact",IF(M1794="Modified","Medium Impact","Low Impact"))</f>
        <v>Medium Impact</v>
      </c>
    </row>
    <row r="1795" spans="1:21" x14ac:dyDescent="0.3">
      <c r="A1795" t="s">
        <v>662</v>
      </c>
      <c r="B1795">
        <v>39</v>
      </c>
      <c r="C1795" t="s">
        <v>18</v>
      </c>
      <c r="D1795" t="s">
        <v>40</v>
      </c>
      <c r="E1795" t="s">
        <v>29</v>
      </c>
      <c r="F1795" t="s">
        <v>104</v>
      </c>
      <c r="G1795">
        <v>15</v>
      </c>
      <c r="H1795" t="s">
        <v>31</v>
      </c>
      <c r="I1795" t="s">
        <v>31</v>
      </c>
      <c r="J1795" t="s">
        <v>23</v>
      </c>
      <c r="K1795" s="2">
        <v>76646</v>
      </c>
      <c r="L1795" s="2">
        <v>82742</v>
      </c>
      <c r="M1795" t="s">
        <v>32</v>
      </c>
      <c r="N1795">
        <v>45</v>
      </c>
      <c r="O1795" t="s">
        <v>25</v>
      </c>
      <c r="P1795">
        <v>7</v>
      </c>
      <c r="Q1795" s="1">
        <v>-13.4</v>
      </c>
      <c r="R1795" s="2">
        <f t="shared" si="112"/>
        <v>6096</v>
      </c>
      <c r="S1795" s="1">
        <f t="shared" si="113"/>
        <v>7.9534483208517077</v>
      </c>
      <c r="T1795" t="str">
        <f t="shared" si="114"/>
        <v>Expert</v>
      </c>
      <c r="U1795" t="str">
        <f t="shared" si="115"/>
        <v>Low Impact</v>
      </c>
    </row>
    <row r="1796" spans="1:21" x14ac:dyDescent="0.3">
      <c r="A1796" t="s">
        <v>496</v>
      </c>
      <c r="B1796">
        <v>25</v>
      </c>
      <c r="C1796" t="s">
        <v>27</v>
      </c>
      <c r="D1796" t="s">
        <v>40</v>
      </c>
      <c r="E1796" t="s">
        <v>51</v>
      </c>
      <c r="F1796" t="s">
        <v>52</v>
      </c>
      <c r="G1796">
        <v>0</v>
      </c>
      <c r="H1796" t="s">
        <v>22</v>
      </c>
      <c r="I1796" t="s">
        <v>37</v>
      </c>
      <c r="J1796" t="s">
        <v>23</v>
      </c>
      <c r="K1796" s="2">
        <v>83410</v>
      </c>
      <c r="L1796" s="2">
        <v>76760</v>
      </c>
      <c r="M1796" t="s">
        <v>38</v>
      </c>
      <c r="N1796">
        <v>54</v>
      </c>
      <c r="O1796" t="s">
        <v>23</v>
      </c>
      <c r="P1796">
        <v>7</v>
      </c>
      <c r="Q1796" s="1">
        <v>-13.44</v>
      </c>
      <c r="R1796" s="2">
        <f t="shared" si="112"/>
        <v>-6650</v>
      </c>
      <c r="S1796" s="1">
        <f t="shared" si="113"/>
        <v>-7.9726651480637818</v>
      </c>
      <c r="T1796" t="str">
        <f t="shared" si="114"/>
        <v>Beginner</v>
      </c>
      <c r="U1796" t="str">
        <f t="shared" si="115"/>
        <v>Medium Impact</v>
      </c>
    </row>
    <row r="1797" spans="1:21" x14ac:dyDescent="0.3">
      <c r="A1797" t="s">
        <v>326</v>
      </c>
      <c r="B1797">
        <v>27</v>
      </c>
      <c r="C1797" t="s">
        <v>18</v>
      </c>
      <c r="D1797" t="s">
        <v>34</v>
      </c>
      <c r="E1797" t="s">
        <v>41</v>
      </c>
      <c r="F1797" t="s">
        <v>42</v>
      </c>
      <c r="G1797">
        <v>2</v>
      </c>
      <c r="H1797" t="s">
        <v>22</v>
      </c>
      <c r="I1797" t="s">
        <v>22</v>
      </c>
      <c r="J1797" t="s">
        <v>25</v>
      </c>
      <c r="K1797" s="2">
        <v>61348</v>
      </c>
      <c r="L1797" s="2">
        <v>79032</v>
      </c>
      <c r="M1797" t="s">
        <v>24</v>
      </c>
      <c r="N1797">
        <v>39</v>
      </c>
      <c r="O1797" t="s">
        <v>25</v>
      </c>
      <c r="P1797">
        <v>4</v>
      </c>
      <c r="Q1797" s="1">
        <v>-13.46</v>
      </c>
      <c r="R1797" s="2">
        <f t="shared" si="112"/>
        <v>17684</v>
      </c>
      <c r="S1797" s="1">
        <f t="shared" si="113"/>
        <v>28.825715589750278</v>
      </c>
      <c r="T1797" t="str">
        <f t="shared" si="114"/>
        <v>Beginner</v>
      </c>
      <c r="U1797" t="str">
        <f t="shared" si="115"/>
        <v>High Impact</v>
      </c>
    </row>
    <row r="1798" spans="1:21" x14ac:dyDescent="0.3">
      <c r="A1798" t="s">
        <v>1610</v>
      </c>
      <c r="B1798">
        <v>44</v>
      </c>
      <c r="C1798" t="s">
        <v>18</v>
      </c>
      <c r="D1798" t="s">
        <v>19</v>
      </c>
      <c r="E1798" t="s">
        <v>51</v>
      </c>
      <c r="F1798" t="s">
        <v>75</v>
      </c>
      <c r="G1798">
        <v>22</v>
      </c>
      <c r="H1798" t="s">
        <v>22</v>
      </c>
      <c r="I1798" t="s">
        <v>22</v>
      </c>
      <c r="J1798" t="s">
        <v>25</v>
      </c>
      <c r="K1798" s="2">
        <v>115782</v>
      </c>
      <c r="L1798" s="2">
        <v>117419</v>
      </c>
      <c r="M1798" t="s">
        <v>24</v>
      </c>
      <c r="N1798">
        <v>47</v>
      </c>
      <c r="O1798" t="s">
        <v>23</v>
      </c>
      <c r="P1798">
        <v>6</v>
      </c>
      <c r="Q1798" s="1">
        <v>-13.5</v>
      </c>
      <c r="R1798" s="2">
        <f t="shared" si="112"/>
        <v>1637</v>
      </c>
      <c r="S1798" s="1">
        <f t="shared" si="113"/>
        <v>1.413863985766354</v>
      </c>
      <c r="T1798" t="str">
        <f t="shared" si="114"/>
        <v>Expert</v>
      </c>
      <c r="U1798" t="str">
        <f t="shared" si="115"/>
        <v>High Impact</v>
      </c>
    </row>
    <row r="1799" spans="1:21" x14ac:dyDescent="0.3">
      <c r="A1799" t="s">
        <v>1812</v>
      </c>
      <c r="B1799">
        <v>35</v>
      </c>
      <c r="C1799" t="s">
        <v>27</v>
      </c>
      <c r="D1799" t="s">
        <v>28</v>
      </c>
      <c r="E1799" t="s">
        <v>29</v>
      </c>
      <c r="F1799" t="s">
        <v>30</v>
      </c>
      <c r="G1799">
        <v>13</v>
      </c>
      <c r="H1799" t="s">
        <v>31</v>
      </c>
      <c r="I1799" t="s">
        <v>31</v>
      </c>
      <c r="J1799" t="s">
        <v>23</v>
      </c>
      <c r="K1799" s="2">
        <v>34369</v>
      </c>
      <c r="L1799" s="2">
        <v>32975</v>
      </c>
      <c r="M1799" t="s">
        <v>32</v>
      </c>
      <c r="N1799">
        <v>50</v>
      </c>
      <c r="O1799" t="s">
        <v>23</v>
      </c>
      <c r="P1799">
        <v>9</v>
      </c>
      <c r="Q1799" s="1">
        <v>-13.53</v>
      </c>
      <c r="R1799" s="2">
        <f t="shared" si="112"/>
        <v>-1394</v>
      </c>
      <c r="S1799" s="1">
        <f t="shared" si="113"/>
        <v>-4.0559806802641916</v>
      </c>
      <c r="T1799" t="str">
        <f t="shared" si="114"/>
        <v>Intermediate</v>
      </c>
      <c r="U1799" t="str">
        <f t="shared" si="115"/>
        <v>Low Impact</v>
      </c>
    </row>
    <row r="1800" spans="1:21" x14ac:dyDescent="0.3">
      <c r="A1800" t="s">
        <v>1252</v>
      </c>
      <c r="B1800">
        <v>38</v>
      </c>
      <c r="C1800" t="s">
        <v>54</v>
      </c>
      <c r="D1800" t="s">
        <v>34</v>
      </c>
      <c r="E1800" t="s">
        <v>35</v>
      </c>
      <c r="F1800" t="s">
        <v>98</v>
      </c>
      <c r="G1800">
        <v>14</v>
      </c>
      <c r="H1800" t="s">
        <v>37</v>
      </c>
      <c r="I1800" t="s">
        <v>31</v>
      </c>
      <c r="J1800" t="s">
        <v>23</v>
      </c>
      <c r="K1800" s="2">
        <v>73516</v>
      </c>
      <c r="L1800" s="2">
        <v>79451</v>
      </c>
      <c r="M1800" t="s">
        <v>32</v>
      </c>
      <c r="N1800">
        <v>45</v>
      </c>
      <c r="O1800" t="s">
        <v>23</v>
      </c>
      <c r="P1800">
        <v>8</v>
      </c>
      <c r="Q1800" s="1">
        <v>-13.57</v>
      </c>
      <c r="R1800" s="2">
        <f t="shared" si="112"/>
        <v>5935</v>
      </c>
      <c r="S1800" s="1">
        <f t="shared" si="113"/>
        <v>8.0730725284291864</v>
      </c>
      <c r="T1800" t="str">
        <f t="shared" si="114"/>
        <v>Intermediate</v>
      </c>
      <c r="U1800" t="str">
        <f t="shared" si="115"/>
        <v>Low Impact</v>
      </c>
    </row>
    <row r="1801" spans="1:21" x14ac:dyDescent="0.3">
      <c r="A1801" t="s">
        <v>1940</v>
      </c>
      <c r="B1801">
        <v>55</v>
      </c>
      <c r="C1801" t="s">
        <v>27</v>
      </c>
      <c r="D1801" t="s">
        <v>28</v>
      </c>
      <c r="E1801" t="s">
        <v>59</v>
      </c>
      <c r="F1801" t="s">
        <v>77</v>
      </c>
      <c r="G1801">
        <v>30</v>
      </c>
      <c r="H1801" t="s">
        <v>31</v>
      </c>
      <c r="I1801" t="s">
        <v>37</v>
      </c>
      <c r="J1801" t="s">
        <v>25</v>
      </c>
      <c r="K1801" s="2">
        <v>78657</v>
      </c>
      <c r="L1801" s="2">
        <v>79537</v>
      </c>
      <c r="M1801" t="s">
        <v>38</v>
      </c>
      <c r="N1801">
        <v>43</v>
      </c>
      <c r="O1801" t="s">
        <v>25</v>
      </c>
      <c r="P1801">
        <v>4</v>
      </c>
      <c r="Q1801" s="1">
        <v>-13.59</v>
      </c>
      <c r="R1801" s="2">
        <f t="shared" si="112"/>
        <v>880</v>
      </c>
      <c r="S1801" s="1">
        <f t="shared" si="113"/>
        <v>1.118781545189875</v>
      </c>
      <c r="T1801" t="str">
        <f t="shared" si="114"/>
        <v>Expert</v>
      </c>
      <c r="U1801" t="str">
        <f t="shared" si="115"/>
        <v>Medium Impact</v>
      </c>
    </row>
    <row r="1802" spans="1:21" x14ac:dyDescent="0.3">
      <c r="A1802" t="s">
        <v>318</v>
      </c>
      <c r="B1802">
        <v>52</v>
      </c>
      <c r="C1802" t="s">
        <v>27</v>
      </c>
      <c r="D1802" t="s">
        <v>40</v>
      </c>
      <c r="E1802" t="s">
        <v>44</v>
      </c>
      <c r="F1802" t="s">
        <v>47</v>
      </c>
      <c r="G1802">
        <v>26</v>
      </c>
      <c r="H1802" t="s">
        <v>37</v>
      </c>
      <c r="I1802" t="s">
        <v>37</v>
      </c>
      <c r="J1802" t="s">
        <v>25</v>
      </c>
      <c r="K1802" s="2">
        <v>72287</v>
      </c>
      <c r="L1802" s="2">
        <v>79181</v>
      </c>
      <c r="M1802" t="s">
        <v>38</v>
      </c>
      <c r="N1802">
        <v>36</v>
      </c>
      <c r="O1802" t="s">
        <v>23</v>
      </c>
      <c r="P1802">
        <v>4</v>
      </c>
      <c r="Q1802" s="1">
        <v>-13.6</v>
      </c>
      <c r="R1802" s="2">
        <f t="shared" si="112"/>
        <v>6894</v>
      </c>
      <c r="S1802" s="1">
        <f t="shared" si="113"/>
        <v>9.5369845200381818</v>
      </c>
      <c r="T1802" t="str">
        <f t="shared" si="114"/>
        <v>Expert</v>
      </c>
      <c r="U1802" t="str">
        <f t="shared" si="115"/>
        <v>Medium Impact</v>
      </c>
    </row>
    <row r="1803" spans="1:21" x14ac:dyDescent="0.3">
      <c r="A1803" t="s">
        <v>1941</v>
      </c>
      <c r="B1803">
        <v>59</v>
      </c>
      <c r="C1803" t="s">
        <v>18</v>
      </c>
      <c r="D1803" t="s">
        <v>40</v>
      </c>
      <c r="E1803" t="s">
        <v>59</v>
      </c>
      <c r="F1803" t="s">
        <v>60</v>
      </c>
      <c r="G1803">
        <v>37</v>
      </c>
      <c r="H1803" t="s">
        <v>22</v>
      </c>
      <c r="I1803" t="s">
        <v>22</v>
      </c>
      <c r="J1803" t="s">
        <v>25</v>
      </c>
      <c r="K1803" s="2">
        <v>46442</v>
      </c>
      <c r="L1803" s="2">
        <v>42287</v>
      </c>
      <c r="M1803" t="s">
        <v>24</v>
      </c>
      <c r="N1803">
        <v>53</v>
      </c>
      <c r="O1803" t="s">
        <v>25</v>
      </c>
      <c r="P1803">
        <v>8</v>
      </c>
      <c r="Q1803" s="1">
        <v>-13.61</v>
      </c>
      <c r="R1803" s="2">
        <f t="shared" si="112"/>
        <v>-4155</v>
      </c>
      <c r="S1803" s="1">
        <f t="shared" si="113"/>
        <v>-8.9466431247577631</v>
      </c>
      <c r="T1803" t="str">
        <f t="shared" si="114"/>
        <v>Expert</v>
      </c>
      <c r="U1803" t="str">
        <f t="shared" si="115"/>
        <v>High Impact</v>
      </c>
    </row>
    <row r="1804" spans="1:21" x14ac:dyDescent="0.3">
      <c r="A1804" t="s">
        <v>1555</v>
      </c>
      <c r="B1804">
        <v>44</v>
      </c>
      <c r="C1804" t="s">
        <v>54</v>
      </c>
      <c r="D1804" t="s">
        <v>34</v>
      </c>
      <c r="E1804" t="s">
        <v>35</v>
      </c>
      <c r="F1804" t="s">
        <v>36</v>
      </c>
      <c r="G1804">
        <v>18</v>
      </c>
      <c r="H1804" t="s">
        <v>22</v>
      </c>
      <c r="I1804" t="s">
        <v>37</v>
      </c>
      <c r="J1804" t="s">
        <v>25</v>
      </c>
      <c r="K1804" s="2">
        <v>105700</v>
      </c>
      <c r="L1804" s="2">
        <v>147546</v>
      </c>
      <c r="M1804" t="s">
        <v>38</v>
      </c>
      <c r="N1804">
        <v>48</v>
      </c>
      <c r="O1804" t="s">
        <v>25</v>
      </c>
      <c r="P1804">
        <v>8</v>
      </c>
      <c r="Q1804" s="1">
        <v>-13.63</v>
      </c>
      <c r="R1804" s="2">
        <f t="shared" si="112"/>
        <v>41846</v>
      </c>
      <c r="S1804" s="1">
        <f t="shared" si="113"/>
        <v>39.589403973509931</v>
      </c>
      <c r="T1804" t="str">
        <f t="shared" si="114"/>
        <v>Expert</v>
      </c>
      <c r="U1804" t="str">
        <f t="shared" si="115"/>
        <v>Medium Impact</v>
      </c>
    </row>
    <row r="1805" spans="1:21" x14ac:dyDescent="0.3">
      <c r="A1805" t="s">
        <v>1549</v>
      </c>
      <c r="B1805">
        <v>47</v>
      </c>
      <c r="C1805" t="s">
        <v>27</v>
      </c>
      <c r="D1805" t="s">
        <v>40</v>
      </c>
      <c r="E1805" t="s">
        <v>59</v>
      </c>
      <c r="F1805" t="s">
        <v>60</v>
      </c>
      <c r="G1805">
        <v>24</v>
      </c>
      <c r="H1805" t="s">
        <v>37</v>
      </c>
      <c r="I1805" t="s">
        <v>31</v>
      </c>
      <c r="J1805" t="s">
        <v>23</v>
      </c>
      <c r="K1805" s="2">
        <v>111490</v>
      </c>
      <c r="L1805" s="2">
        <v>110799</v>
      </c>
      <c r="M1805" t="s">
        <v>32</v>
      </c>
      <c r="N1805">
        <v>51</v>
      </c>
      <c r="O1805" t="s">
        <v>25</v>
      </c>
      <c r="P1805">
        <v>3</v>
      </c>
      <c r="Q1805" s="1">
        <v>-13.65</v>
      </c>
      <c r="R1805" s="2">
        <f t="shared" si="112"/>
        <v>-691</v>
      </c>
      <c r="S1805" s="1">
        <f t="shared" si="113"/>
        <v>-0.61978652793972555</v>
      </c>
      <c r="T1805" t="str">
        <f t="shared" si="114"/>
        <v>Expert</v>
      </c>
      <c r="U1805" t="str">
        <f t="shared" si="115"/>
        <v>Low Impact</v>
      </c>
    </row>
    <row r="1806" spans="1:21" x14ac:dyDescent="0.3">
      <c r="A1806" t="s">
        <v>520</v>
      </c>
      <c r="B1806">
        <v>38</v>
      </c>
      <c r="C1806" t="s">
        <v>27</v>
      </c>
      <c r="D1806" t="s">
        <v>40</v>
      </c>
      <c r="E1806" t="s">
        <v>35</v>
      </c>
      <c r="F1806" t="s">
        <v>132</v>
      </c>
      <c r="G1806">
        <v>13</v>
      </c>
      <c r="H1806" t="s">
        <v>22</v>
      </c>
      <c r="I1806" t="s">
        <v>22</v>
      </c>
      <c r="J1806" t="s">
        <v>25</v>
      </c>
      <c r="K1806" s="2">
        <v>84040</v>
      </c>
      <c r="L1806" s="2">
        <v>82260</v>
      </c>
      <c r="M1806" t="s">
        <v>24</v>
      </c>
      <c r="N1806">
        <v>53</v>
      </c>
      <c r="O1806" t="s">
        <v>23</v>
      </c>
      <c r="P1806">
        <v>5</v>
      </c>
      <c r="Q1806" s="1">
        <v>-13.68</v>
      </c>
      <c r="R1806" s="2">
        <f t="shared" si="112"/>
        <v>-1780</v>
      </c>
      <c r="S1806" s="1">
        <f t="shared" si="113"/>
        <v>-2.1180390290337936</v>
      </c>
      <c r="T1806" t="str">
        <f t="shared" si="114"/>
        <v>Intermediate</v>
      </c>
      <c r="U1806" t="str">
        <f t="shared" si="115"/>
        <v>High Impact</v>
      </c>
    </row>
    <row r="1807" spans="1:21" x14ac:dyDescent="0.3">
      <c r="A1807" t="s">
        <v>1598</v>
      </c>
      <c r="B1807">
        <v>29</v>
      </c>
      <c r="C1807" t="s">
        <v>18</v>
      </c>
      <c r="D1807" t="s">
        <v>40</v>
      </c>
      <c r="E1807" t="s">
        <v>41</v>
      </c>
      <c r="F1807" t="s">
        <v>55</v>
      </c>
      <c r="G1807">
        <v>3</v>
      </c>
      <c r="H1807" t="s">
        <v>31</v>
      </c>
      <c r="I1807" t="s">
        <v>31</v>
      </c>
      <c r="J1807" t="s">
        <v>25</v>
      </c>
      <c r="K1807" s="2">
        <v>60226</v>
      </c>
      <c r="L1807" s="2">
        <v>62706</v>
      </c>
      <c r="M1807" t="s">
        <v>32</v>
      </c>
      <c r="N1807">
        <v>41</v>
      </c>
      <c r="O1807" t="s">
        <v>23</v>
      </c>
      <c r="P1807">
        <v>5</v>
      </c>
      <c r="Q1807" s="1">
        <v>-13.71</v>
      </c>
      <c r="R1807" s="2">
        <f t="shared" si="112"/>
        <v>2480</v>
      </c>
      <c r="S1807" s="1">
        <f t="shared" si="113"/>
        <v>4.1178228672002124</v>
      </c>
      <c r="T1807" t="str">
        <f t="shared" si="114"/>
        <v>Beginner</v>
      </c>
      <c r="U1807" t="str">
        <f t="shared" si="115"/>
        <v>Low Impact</v>
      </c>
    </row>
    <row r="1808" spans="1:21" x14ac:dyDescent="0.3">
      <c r="A1808" t="s">
        <v>1141</v>
      </c>
      <c r="B1808">
        <v>29</v>
      </c>
      <c r="C1808" t="s">
        <v>54</v>
      </c>
      <c r="D1808" t="s">
        <v>28</v>
      </c>
      <c r="E1808" t="s">
        <v>51</v>
      </c>
      <c r="F1808" t="s">
        <v>130</v>
      </c>
      <c r="G1808">
        <v>4</v>
      </c>
      <c r="H1808" t="s">
        <v>37</v>
      </c>
      <c r="I1808" t="s">
        <v>22</v>
      </c>
      <c r="J1808" t="s">
        <v>23</v>
      </c>
      <c r="K1808" s="2">
        <v>37642</v>
      </c>
      <c r="L1808" s="2">
        <v>44398</v>
      </c>
      <c r="M1808" t="s">
        <v>32</v>
      </c>
      <c r="N1808">
        <v>36</v>
      </c>
      <c r="O1808" t="s">
        <v>23</v>
      </c>
      <c r="P1808">
        <v>8</v>
      </c>
      <c r="Q1808" s="1">
        <v>-13.71</v>
      </c>
      <c r="R1808" s="2">
        <f t="shared" si="112"/>
        <v>6756</v>
      </c>
      <c r="S1808" s="1">
        <f t="shared" si="113"/>
        <v>17.948036767440627</v>
      </c>
      <c r="T1808" t="str">
        <f t="shared" si="114"/>
        <v>Beginner</v>
      </c>
      <c r="U1808" t="str">
        <f t="shared" si="115"/>
        <v>Low Impact</v>
      </c>
    </row>
    <row r="1809" spans="1:21" x14ac:dyDescent="0.3">
      <c r="A1809" t="s">
        <v>503</v>
      </c>
      <c r="B1809">
        <v>30</v>
      </c>
      <c r="C1809" t="s">
        <v>54</v>
      </c>
      <c r="D1809" t="s">
        <v>28</v>
      </c>
      <c r="E1809" t="s">
        <v>51</v>
      </c>
      <c r="F1809" t="s">
        <v>75</v>
      </c>
      <c r="G1809">
        <v>8</v>
      </c>
      <c r="H1809" t="s">
        <v>37</v>
      </c>
      <c r="I1809" t="s">
        <v>31</v>
      </c>
      <c r="J1809" t="s">
        <v>25</v>
      </c>
      <c r="K1809" s="2">
        <v>50131</v>
      </c>
      <c r="L1809" s="2">
        <v>55645</v>
      </c>
      <c r="M1809" t="s">
        <v>32</v>
      </c>
      <c r="N1809">
        <v>43</v>
      </c>
      <c r="O1809" t="s">
        <v>23</v>
      </c>
      <c r="P1809">
        <v>4</v>
      </c>
      <c r="Q1809" s="1">
        <v>-13.74</v>
      </c>
      <c r="R1809" s="2">
        <f t="shared" si="112"/>
        <v>5514</v>
      </c>
      <c r="S1809" s="1">
        <f t="shared" si="113"/>
        <v>10.999182142785902</v>
      </c>
      <c r="T1809" t="str">
        <f t="shared" si="114"/>
        <v>Intermediate</v>
      </c>
      <c r="U1809" t="str">
        <f t="shared" si="115"/>
        <v>Low Impact</v>
      </c>
    </row>
    <row r="1810" spans="1:21" x14ac:dyDescent="0.3">
      <c r="A1810" t="s">
        <v>215</v>
      </c>
      <c r="B1810">
        <v>24</v>
      </c>
      <c r="C1810" t="s">
        <v>18</v>
      </c>
      <c r="D1810" t="s">
        <v>28</v>
      </c>
      <c r="E1810" t="s">
        <v>59</v>
      </c>
      <c r="F1810" t="s">
        <v>77</v>
      </c>
      <c r="G1810">
        <v>0</v>
      </c>
      <c r="H1810" t="s">
        <v>22</v>
      </c>
      <c r="I1810" t="s">
        <v>31</v>
      </c>
      <c r="J1810" t="s">
        <v>25</v>
      </c>
      <c r="K1810" s="2">
        <v>93230</v>
      </c>
      <c r="L1810" s="2">
        <v>75686</v>
      </c>
      <c r="M1810" t="s">
        <v>32</v>
      </c>
      <c r="N1810">
        <v>49</v>
      </c>
      <c r="O1810" t="s">
        <v>23</v>
      </c>
      <c r="P1810">
        <v>7</v>
      </c>
      <c r="Q1810" s="1">
        <v>-13.75</v>
      </c>
      <c r="R1810" s="2">
        <f t="shared" si="112"/>
        <v>-17544</v>
      </c>
      <c r="S1810" s="1">
        <f t="shared" si="113"/>
        <v>-18.81797704601523</v>
      </c>
      <c r="T1810" t="str">
        <f t="shared" si="114"/>
        <v>Beginner</v>
      </c>
      <c r="U1810" t="str">
        <f t="shared" si="115"/>
        <v>Low Impact</v>
      </c>
    </row>
    <row r="1811" spans="1:21" x14ac:dyDescent="0.3">
      <c r="A1811" t="s">
        <v>310</v>
      </c>
      <c r="B1811">
        <v>56</v>
      </c>
      <c r="C1811" t="s">
        <v>54</v>
      </c>
      <c r="D1811" t="s">
        <v>34</v>
      </c>
      <c r="E1811" t="s">
        <v>51</v>
      </c>
      <c r="F1811" t="s">
        <v>75</v>
      </c>
      <c r="G1811">
        <v>30</v>
      </c>
      <c r="H1811" t="s">
        <v>22</v>
      </c>
      <c r="I1811" t="s">
        <v>31</v>
      </c>
      <c r="J1811" t="s">
        <v>23</v>
      </c>
      <c r="K1811" s="2">
        <v>58404</v>
      </c>
      <c r="L1811" s="2">
        <v>49826</v>
      </c>
      <c r="M1811" t="s">
        <v>32</v>
      </c>
      <c r="N1811">
        <v>53</v>
      </c>
      <c r="O1811" t="s">
        <v>25</v>
      </c>
      <c r="P1811">
        <v>8</v>
      </c>
      <c r="Q1811" s="1">
        <v>-13.8</v>
      </c>
      <c r="R1811" s="2">
        <f t="shared" si="112"/>
        <v>-8578</v>
      </c>
      <c r="S1811" s="1">
        <f t="shared" si="113"/>
        <v>-14.687350181494418</v>
      </c>
      <c r="T1811" t="str">
        <f t="shared" si="114"/>
        <v>Expert</v>
      </c>
      <c r="U1811" t="str">
        <f t="shared" si="115"/>
        <v>Low Impact</v>
      </c>
    </row>
    <row r="1812" spans="1:21" x14ac:dyDescent="0.3">
      <c r="A1812" t="s">
        <v>1058</v>
      </c>
      <c r="B1812">
        <v>57</v>
      </c>
      <c r="C1812" t="s">
        <v>27</v>
      </c>
      <c r="D1812" t="s">
        <v>19</v>
      </c>
      <c r="E1812" t="s">
        <v>41</v>
      </c>
      <c r="F1812" t="s">
        <v>42</v>
      </c>
      <c r="G1812">
        <v>32</v>
      </c>
      <c r="H1812" t="s">
        <v>31</v>
      </c>
      <c r="I1812" t="s">
        <v>37</v>
      </c>
      <c r="J1812" t="s">
        <v>23</v>
      </c>
      <c r="K1812" s="2">
        <v>76694</v>
      </c>
      <c r="L1812" s="2">
        <v>73062</v>
      </c>
      <c r="M1812" t="s">
        <v>38</v>
      </c>
      <c r="N1812">
        <v>51</v>
      </c>
      <c r="O1812" t="s">
        <v>23</v>
      </c>
      <c r="P1812">
        <v>6</v>
      </c>
      <c r="Q1812" s="1">
        <v>-13.83</v>
      </c>
      <c r="R1812" s="2">
        <f t="shared" si="112"/>
        <v>-3632</v>
      </c>
      <c r="S1812" s="1">
        <f t="shared" si="113"/>
        <v>-4.7357029233056043</v>
      </c>
      <c r="T1812" t="str">
        <f t="shared" si="114"/>
        <v>Expert</v>
      </c>
      <c r="U1812" t="str">
        <f t="shared" si="115"/>
        <v>Medium Impact</v>
      </c>
    </row>
    <row r="1813" spans="1:21" x14ac:dyDescent="0.3">
      <c r="A1813" t="s">
        <v>1177</v>
      </c>
      <c r="B1813">
        <v>56</v>
      </c>
      <c r="C1813" t="s">
        <v>27</v>
      </c>
      <c r="D1813" t="s">
        <v>34</v>
      </c>
      <c r="E1813" t="s">
        <v>59</v>
      </c>
      <c r="F1813" t="s">
        <v>93</v>
      </c>
      <c r="G1813">
        <v>33</v>
      </c>
      <c r="H1813" t="s">
        <v>31</v>
      </c>
      <c r="I1813" t="s">
        <v>22</v>
      </c>
      <c r="J1813" t="s">
        <v>25</v>
      </c>
      <c r="K1813" s="2">
        <v>56853</v>
      </c>
      <c r="L1813" s="2">
        <v>59014</v>
      </c>
      <c r="M1813" t="s">
        <v>32</v>
      </c>
      <c r="N1813">
        <v>39</v>
      </c>
      <c r="O1813" t="s">
        <v>23</v>
      </c>
      <c r="P1813">
        <v>4</v>
      </c>
      <c r="Q1813" s="1">
        <v>-13.83</v>
      </c>
      <c r="R1813" s="2">
        <f t="shared" si="112"/>
        <v>2161</v>
      </c>
      <c r="S1813" s="1">
        <f t="shared" si="113"/>
        <v>3.8010307283696552</v>
      </c>
      <c r="T1813" t="str">
        <f t="shared" si="114"/>
        <v>Expert</v>
      </c>
      <c r="U1813" t="str">
        <f t="shared" si="115"/>
        <v>Low Impact</v>
      </c>
    </row>
    <row r="1814" spans="1:21" x14ac:dyDescent="0.3">
      <c r="A1814" t="s">
        <v>513</v>
      </c>
      <c r="B1814">
        <v>32</v>
      </c>
      <c r="C1814" t="s">
        <v>18</v>
      </c>
      <c r="D1814" t="s">
        <v>34</v>
      </c>
      <c r="E1814" t="s">
        <v>59</v>
      </c>
      <c r="F1814" t="s">
        <v>93</v>
      </c>
      <c r="G1814">
        <v>10</v>
      </c>
      <c r="H1814" t="s">
        <v>22</v>
      </c>
      <c r="I1814" t="s">
        <v>37</v>
      </c>
      <c r="J1814" t="s">
        <v>25</v>
      </c>
      <c r="K1814" s="2">
        <v>109563</v>
      </c>
      <c r="L1814" s="2">
        <v>114106</v>
      </c>
      <c r="M1814" t="s">
        <v>38</v>
      </c>
      <c r="N1814">
        <v>51</v>
      </c>
      <c r="O1814" t="s">
        <v>25</v>
      </c>
      <c r="P1814">
        <v>4</v>
      </c>
      <c r="Q1814" s="1">
        <v>-13.84</v>
      </c>
      <c r="R1814" s="2">
        <f t="shared" si="112"/>
        <v>4543</v>
      </c>
      <c r="S1814" s="1">
        <f t="shared" si="113"/>
        <v>4.1464728056004301</v>
      </c>
      <c r="T1814" t="str">
        <f t="shared" si="114"/>
        <v>Intermediate</v>
      </c>
      <c r="U1814" t="str">
        <f t="shared" si="115"/>
        <v>Medium Impact</v>
      </c>
    </row>
    <row r="1815" spans="1:21" x14ac:dyDescent="0.3">
      <c r="A1815" t="s">
        <v>746</v>
      </c>
      <c r="B1815">
        <v>31</v>
      </c>
      <c r="C1815" t="s">
        <v>27</v>
      </c>
      <c r="D1815" t="s">
        <v>34</v>
      </c>
      <c r="E1815" t="s">
        <v>41</v>
      </c>
      <c r="F1815" t="s">
        <v>55</v>
      </c>
      <c r="G1815">
        <v>8</v>
      </c>
      <c r="H1815" t="s">
        <v>31</v>
      </c>
      <c r="I1815" t="s">
        <v>37</v>
      </c>
      <c r="J1815" t="s">
        <v>23</v>
      </c>
      <c r="K1815" s="2">
        <v>58141</v>
      </c>
      <c r="L1815" s="2">
        <v>58662</v>
      </c>
      <c r="M1815" t="s">
        <v>38</v>
      </c>
      <c r="N1815">
        <v>43</v>
      </c>
      <c r="O1815" t="s">
        <v>25</v>
      </c>
      <c r="P1815">
        <v>3</v>
      </c>
      <c r="Q1815" s="1">
        <v>-13.99</v>
      </c>
      <c r="R1815" s="2">
        <f t="shared" si="112"/>
        <v>521</v>
      </c>
      <c r="S1815" s="1">
        <f t="shared" si="113"/>
        <v>0.89609741834505774</v>
      </c>
      <c r="T1815" t="str">
        <f t="shared" si="114"/>
        <v>Intermediate</v>
      </c>
      <c r="U1815" t="str">
        <f t="shared" si="115"/>
        <v>Medium Impact</v>
      </c>
    </row>
    <row r="1816" spans="1:21" x14ac:dyDescent="0.3">
      <c r="A1816" t="s">
        <v>1244</v>
      </c>
      <c r="B1816">
        <v>31</v>
      </c>
      <c r="C1816" t="s">
        <v>54</v>
      </c>
      <c r="D1816" t="s">
        <v>19</v>
      </c>
      <c r="E1816" t="s">
        <v>51</v>
      </c>
      <c r="F1816" t="s">
        <v>130</v>
      </c>
      <c r="G1816">
        <v>5</v>
      </c>
      <c r="H1816" t="s">
        <v>37</v>
      </c>
      <c r="I1816" t="s">
        <v>37</v>
      </c>
      <c r="J1816" t="s">
        <v>25</v>
      </c>
      <c r="K1816" s="2">
        <v>36458</v>
      </c>
      <c r="L1816" s="2">
        <v>34777</v>
      </c>
      <c r="M1816" t="s">
        <v>38</v>
      </c>
      <c r="N1816">
        <v>51</v>
      </c>
      <c r="O1816" t="s">
        <v>25</v>
      </c>
      <c r="P1816">
        <v>5</v>
      </c>
      <c r="Q1816" s="1">
        <v>-14.01</v>
      </c>
      <c r="R1816" s="2">
        <f t="shared" si="112"/>
        <v>-1681</v>
      </c>
      <c r="S1816" s="1">
        <f t="shared" si="113"/>
        <v>-4.6107850128915464</v>
      </c>
      <c r="T1816" t="str">
        <f t="shared" si="114"/>
        <v>Intermediate</v>
      </c>
      <c r="U1816" t="str">
        <f t="shared" si="115"/>
        <v>Medium Impact</v>
      </c>
    </row>
    <row r="1817" spans="1:21" x14ac:dyDescent="0.3">
      <c r="A1817" t="s">
        <v>947</v>
      </c>
      <c r="B1817">
        <v>39</v>
      </c>
      <c r="C1817" t="s">
        <v>18</v>
      </c>
      <c r="D1817" t="s">
        <v>40</v>
      </c>
      <c r="E1817" t="s">
        <v>35</v>
      </c>
      <c r="F1817" t="s">
        <v>132</v>
      </c>
      <c r="G1817">
        <v>13</v>
      </c>
      <c r="H1817" t="s">
        <v>22</v>
      </c>
      <c r="I1817" t="s">
        <v>22</v>
      </c>
      <c r="J1817" t="s">
        <v>25</v>
      </c>
      <c r="K1817" s="2">
        <v>80717</v>
      </c>
      <c r="L1817" s="2">
        <v>82337</v>
      </c>
      <c r="M1817" t="s">
        <v>24</v>
      </c>
      <c r="N1817">
        <v>54</v>
      </c>
      <c r="O1817" t="s">
        <v>25</v>
      </c>
      <c r="P1817">
        <v>3</v>
      </c>
      <c r="Q1817" s="1">
        <v>-14.03</v>
      </c>
      <c r="R1817" s="2">
        <f t="shared" si="112"/>
        <v>1620</v>
      </c>
      <c r="S1817" s="1">
        <f t="shared" si="113"/>
        <v>2.0070121535735965</v>
      </c>
      <c r="T1817" t="str">
        <f t="shared" si="114"/>
        <v>Intermediate</v>
      </c>
      <c r="U1817" t="str">
        <f t="shared" si="115"/>
        <v>High Impact</v>
      </c>
    </row>
    <row r="1818" spans="1:21" x14ac:dyDescent="0.3">
      <c r="A1818" t="s">
        <v>114</v>
      </c>
      <c r="B1818">
        <v>51</v>
      </c>
      <c r="C1818" t="s">
        <v>27</v>
      </c>
      <c r="D1818" t="s">
        <v>19</v>
      </c>
      <c r="E1818" t="s">
        <v>59</v>
      </c>
      <c r="F1818" t="s">
        <v>60</v>
      </c>
      <c r="G1818">
        <v>26</v>
      </c>
      <c r="H1818" t="s">
        <v>22</v>
      </c>
      <c r="I1818" t="s">
        <v>31</v>
      </c>
      <c r="J1818" t="s">
        <v>25</v>
      </c>
      <c r="K1818" s="2">
        <v>59124</v>
      </c>
      <c r="L1818" s="2">
        <v>64120</v>
      </c>
      <c r="M1818" t="s">
        <v>32</v>
      </c>
      <c r="N1818">
        <v>50</v>
      </c>
      <c r="O1818" t="s">
        <v>25</v>
      </c>
      <c r="P1818">
        <v>7</v>
      </c>
      <c r="Q1818" s="1">
        <v>-14.13</v>
      </c>
      <c r="R1818" s="2">
        <f t="shared" si="112"/>
        <v>4996</v>
      </c>
      <c r="S1818" s="1">
        <f t="shared" si="113"/>
        <v>8.4500372099316685</v>
      </c>
      <c r="T1818" t="str">
        <f t="shared" si="114"/>
        <v>Expert</v>
      </c>
      <c r="U1818" t="str">
        <f t="shared" si="115"/>
        <v>Low Impact</v>
      </c>
    </row>
    <row r="1819" spans="1:21" x14ac:dyDescent="0.3">
      <c r="A1819" t="s">
        <v>1056</v>
      </c>
      <c r="B1819">
        <v>43</v>
      </c>
      <c r="C1819" t="s">
        <v>27</v>
      </c>
      <c r="D1819" t="s">
        <v>34</v>
      </c>
      <c r="E1819" t="s">
        <v>44</v>
      </c>
      <c r="F1819" t="s">
        <v>47</v>
      </c>
      <c r="G1819">
        <v>19</v>
      </c>
      <c r="H1819" t="s">
        <v>37</v>
      </c>
      <c r="I1819" t="s">
        <v>22</v>
      </c>
      <c r="J1819" t="s">
        <v>25</v>
      </c>
      <c r="K1819" s="2">
        <v>31132</v>
      </c>
      <c r="L1819" s="2">
        <v>29860</v>
      </c>
      <c r="M1819" t="s">
        <v>32</v>
      </c>
      <c r="N1819">
        <v>38</v>
      </c>
      <c r="O1819" t="s">
        <v>23</v>
      </c>
      <c r="P1819">
        <v>6</v>
      </c>
      <c r="Q1819" s="1">
        <v>-14.14</v>
      </c>
      <c r="R1819" s="2">
        <f t="shared" si="112"/>
        <v>-1272</v>
      </c>
      <c r="S1819" s="1">
        <f t="shared" si="113"/>
        <v>-4.085828086855968</v>
      </c>
      <c r="T1819" t="str">
        <f t="shared" si="114"/>
        <v>Expert</v>
      </c>
      <c r="U1819" t="str">
        <f t="shared" si="115"/>
        <v>Low Impact</v>
      </c>
    </row>
    <row r="1820" spans="1:21" x14ac:dyDescent="0.3">
      <c r="A1820" t="s">
        <v>1306</v>
      </c>
      <c r="B1820">
        <v>33</v>
      </c>
      <c r="C1820" t="s">
        <v>27</v>
      </c>
      <c r="D1820" t="s">
        <v>34</v>
      </c>
      <c r="E1820" t="s">
        <v>44</v>
      </c>
      <c r="F1820" t="s">
        <v>45</v>
      </c>
      <c r="G1820">
        <v>9</v>
      </c>
      <c r="H1820" t="s">
        <v>22</v>
      </c>
      <c r="I1820" t="s">
        <v>37</v>
      </c>
      <c r="J1820" t="s">
        <v>23</v>
      </c>
      <c r="K1820" s="2">
        <v>30148</v>
      </c>
      <c r="L1820" s="2">
        <v>37680</v>
      </c>
      <c r="M1820" t="s">
        <v>38</v>
      </c>
      <c r="N1820">
        <v>47</v>
      </c>
      <c r="O1820" t="s">
        <v>23</v>
      </c>
      <c r="P1820">
        <v>6</v>
      </c>
      <c r="Q1820" s="1">
        <v>-14.19</v>
      </c>
      <c r="R1820" s="2">
        <f t="shared" si="112"/>
        <v>7532</v>
      </c>
      <c r="S1820" s="1">
        <f t="shared" si="113"/>
        <v>24.983415151917207</v>
      </c>
      <c r="T1820" t="str">
        <f t="shared" si="114"/>
        <v>Intermediate</v>
      </c>
      <c r="U1820" t="str">
        <f t="shared" si="115"/>
        <v>Medium Impact</v>
      </c>
    </row>
    <row r="1821" spans="1:21" x14ac:dyDescent="0.3">
      <c r="A1821" t="s">
        <v>1918</v>
      </c>
      <c r="B1821">
        <v>24</v>
      </c>
      <c r="C1821" t="s">
        <v>27</v>
      </c>
      <c r="D1821" t="s">
        <v>40</v>
      </c>
      <c r="E1821" t="s">
        <v>51</v>
      </c>
      <c r="F1821" t="s">
        <v>130</v>
      </c>
      <c r="G1821">
        <v>2</v>
      </c>
      <c r="H1821" t="s">
        <v>31</v>
      </c>
      <c r="I1821" t="s">
        <v>31</v>
      </c>
      <c r="J1821" t="s">
        <v>23</v>
      </c>
      <c r="K1821" s="2">
        <v>45376</v>
      </c>
      <c r="L1821" s="2">
        <v>49791</v>
      </c>
      <c r="M1821" t="s">
        <v>32</v>
      </c>
      <c r="N1821">
        <v>39</v>
      </c>
      <c r="O1821" t="s">
        <v>25</v>
      </c>
      <c r="P1821">
        <v>5</v>
      </c>
      <c r="Q1821" s="1">
        <v>-14.23</v>
      </c>
      <c r="R1821" s="2">
        <f t="shared" si="112"/>
        <v>4415</v>
      </c>
      <c r="S1821" s="1">
        <f t="shared" si="113"/>
        <v>9.7298131170662909</v>
      </c>
      <c r="T1821" t="str">
        <f t="shared" si="114"/>
        <v>Beginner</v>
      </c>
      <c r="U1821" t="str">
        <f t="shared" si="115"/>
        <v>Low Impact</v>
      </c>
    </row>
    <row r="1822" spans="1:21" x14ac:dyDescent="0.3">
      <c r="A1822" t="s">
        <v>63</v>
      </c>
      <c r="B1822">
        <v>49</v>
      </c>
      <c r="C1822" t="s">
        <v>18</v>
      </c>
      <c r="D1822" t="s">
        <v>28</v>
      </c>
      <c r="E1822" t="s">
        <v>20</v>
      </c>
      <c r="F1822" t="s">
        <v>21</v>
      </c>
      <c r="G1822">
        <v>27</v>
      </c>
      <c r="H1822" t="s">
        <v>22</v>
      </c>
      <c r="I1822" t="s">
        <v>31</v>
      </c>
      <c r="J1822" t="s">
        <v>23</v>
      </c>
      <c r="K1822" s="2">
        <v>60535</v>
      </c>
      <c r="L1822" s="2">
        <v>64752</v>
      </c>
      <c r="M1822" t="s">
        <v>32</v>
      </c>
      <c r="N1822">
        <v>39</v>
      </c>
      <c r="O1822" t="s">
        <v>23</v>
      </c>
      <c r="P1822">
        <v>5</v>
      </c>
      <c r="Q1822" s="1">
        <v>-14.28</v>
      </c>
      <c r="R1822" s="2">
        <f t="shared" si="112"/>
        <v>4217</v>
      </c>
      <c r="S1822" s="1">
        <f t="shared" si="113"/>
        <v>6.9662178904765835</v>
      </c>
      <c r="T1822" t="str">
        <f t="shared" si="114"/>
        <v>Expert</v>
      </c>
      <c r="U1822" t="str">
        <f t="shared" si="115"/>
        <v>Low Impact</v>
      </c>
    </row>
    <row r="1823" spans="1:21" x14ac:dyDescent="0.3">
      <c r="A1823" t="s">
        <v>424</v>
      </c>
      <c r="B1823">
        <v>49</v>
      </c>
      <c r="C1823" t="s">
        <v>54</v>
      </c>
      <c r="D1823" t="s">
        <v>40</v>
      </c>
      <c r="E1823" t="s">
        <v>51</v>
      </c>
      <c r="F1823" t="s">
        <v>130</v>
      </c>
      <c r="G1823">
        <v>26</v>
      </c>
      <c r="H1823" t="s">
        <v>37</v>
      </c>
      <c r="I1823" t="s">
        <v>22</v>
      </c>
      <c r="J1823" t="s">
        <v>25</v>
      </c>
      <c r="K1823" s="2">
        <v>59118</v>
      </c>
      <c r="L1823" s="2">
        <v>63005</v>
      </c>
      <c r="M1823" t="s">
        <v>32</v>
      </c>
      <c r="N1823">
        <v>37</v>
      </c>
      <c r="O1823" t="s">
        <v>25</v>
      </c>
      <c r="P1823">
        <v>6</v>
      </c>
      <c r="Q1823" s="1">
        <v>-14.35</v>
      </c>
      <c r="R1823" s="2">
        <f t="shared" si="112"/>
        <v>3887</v>
      </c>
      <c r="S1823" s="1">
        <f t="shared" si="113"/>
        <v>6.5749856219763858</v>
      </c>
      <c r="T1823" t="str">
        <f t="shared" si="114"/>
        <v>Expert</v>
      </c>
      <c r="U1823" t="str">
        <f t="shared" si="115"/>
        <v>Low Impact</v>
      </c>
    </row>
    <row r="1824" spans="1:21" x14ac:dyDescent="0.3">
      <c r="A1824" t="s">
        <v>426</v>
      </c>
      <c r="B1824">
        <v>40</v>
      </c>
      <c r="C1824" t="s">
        <v>27</v>
      </c>
      <c r="D1824" t="s">
        <v>40</v>
      </c>
      <c r="E1824" t="s">
        <v>59</v>
      </c>
      <c r="F1824" t="s">
        <v>93</v>
      </c>
      <c r="G1824">
        <v>14</v>
      </c>
      <c r="H1824" t="s">
        <v>31</v>
      </c>
      <c r="I1824" t="s">
        <v>37</v>
      </c>
      <c r="J1824" t="s">
        <v>23</v>
      </c>
      <c r="K1824" s="2">
        <v>32551</v>
      </c>
      <c r="L1824" s="2">
        <v>31835</v>
      </c>
      <c r="M1824" t="s">
        <v>38</v>
      </c>
      <c r="N1824">
        <v>43</v>
      </c>
      <c r="O1824" t="s">
        <v>23</v>
      </c>
      <c r="P1824">
        <v>6</v>
      </c>
      <c r="Q1824" s="1">
        <v>-14.36</v>
      </c>
      <c r="R1824" s="2">
        <f t="shared" si="112"/>
        <v>-716</v>
      </c>
      <c r="S1824" s="1">
        <f t="shared" si="113"/>
        <v>-2.1996252035267734</v>
      </c>
      <c r="T1824" t="str">
        <f t="shared" si="114"/>
        <v>Intermediate</v>
      </c>
      <c r="U1824" t="str">
        <f t="shared" si="115"/>
        <v>Medium Impact</v>
      </c>
    </row>
    <row r="1825" spans="1:21" x14ac:dyDescent="0.3">
      <c r="A1825" t="s">
        <v>90</v>
      </c>
      <c r="B1825">
        <v>24</v>
      </c>
      <c r="C1825" t="s">
        <v>27</v>
      </c>
      <c r="D1825" t="s">
        <v>19</v>
      </c>
      <c r="E1825" t="s">
        <v>51</v>
      </c>
      <c r="F1825" t="s">
        <v>75</v>
      </c>
      <c r="G1825">
        <v>2</v>
      </c>
      <c r="H1825" t="s">
        <v>37</v>
      </c>
      <c r="I1825" t="s">
        <v>31</v>
      </c>
      <c r="J1825" t="s">
        <v>25</v>
      </c>
      <c r="K1825" s="2">
        <v>100271</v>
      </c>
      <c r="L1825" s="2">
        <v>107339</v>
      </c>
      <c r="M1825" t="s">
        <v>32</v>
      </c>
      <c r="N1825">
        <v>53</v>
      </c>
      <c r="O1825" t="s">
        <v>23</v>
      </c>
      <c r="P1825">
        <v>8</v>
      </c>
      <c r="Q1825" s="1">
        <v>-14.38</v>
      </c>
      <c r="R1825" s="2">
        <f t="shared" si="112"/>
        <v>7068</v>
      </c>
      <c r="S1825" s="1">
        <f t="shared" si="113"/>
        <v>7.0488974878080395</v>
      </c>
      <c r="T1825" t="str">
        <f t="shared" si="114"/>
        <v>Beginner</v>
      </c>
      <c r="U1825" t="str">
        <f t="shared" si="115"/>
        <v>Low Impact</v>
      </c>
    </row>
    <row r="1826" spans="1:21" x14ac:dyDescent="0.3">
      <c r="A1826" t="s">
        <v>791</v>
      </c>
      <c r="B1826">
        <v>25</v>
      </c>
      <c r="C1826" t="s">
        <v>54</v>
      </c>
      <c r="D1826" t="s">
        <v>34</v>
      </c>
      <c r="E1826" t="s">
        <v>35</v>
      </c>
      <c r="F1826" t="s">
        <v>132</v>
      </c>
      <c r="G1826">
        <v>1</v>
      </c>
      <c r="H1826" t="s">
        <v>37</v>
      </c>
      <c r="I1826" t="s">
        <v>37</v>
      </c>
      <c r="J1826" t="s">
        <v>23</v>
      </c>
      <c r="K1826" s="2">
        <v>116005</v>
      </c>
      <c r="L1826" s="2">
        <v>139021</v>
      </c>
      <c r="M1826" t="s">
        <v>38</v>
      </c>
      <c r="N1826">
        <v>45</v>
      </c>
      <c r="O1826" t="s">
        <v>23</v>
      </c>
      <c r="P1826">
        <v>7</v>
      </c>
      <c r="Q1826" s="1">
        <v>-14.45</v>
      </c>
      <c r="R1826" s="2">
        <f t="shared" si="112"/>
        <v>23016</v>
      </c>
      <c r="S1826" s="1">
        <f t="shared" si="113"/>
        <v>19.840524115339857</v>
      </c>
      <c r="T1826" t="str">
        <f t="shared" si="114"/>
        <v>Beginner</v>
      </c>
      <c r="U1826" t="str">
        <f t="shared" si="115"/>
        <v>Medium Impact</v>
      </c>
    </row>
    <row r="1827" spans="1:21" x14ac:dyDescent="0.3">
      <c r="A1827" t="s">
        <v>1952</v>
      </c>
      <c r="B1827">
        <v>23</v>
      </c>
      <c r="C1827" t="s">
        <v>54</v>
      </c>
      <c r="D1827" t="s">
        <v>19</v>
      </c>
      <c r="E1827" t="s">
        <v>20</v>
      </c>
      <c r="F1827" t="s">
        <v>88</v>
      </c>
      <c r="G1827">
        <v>0</v>
      </c>
      <c r="H1827" t="s">
        <v>22</v>
      </c>
      <c r="I1827" t="s">
        <v>37</v>
      </c>
      <c r="J1827" t="s">
        <v>25</v>
      </c>
      <c r="K1827" s="2">
        <v>33577</v>
      </c>
      <c r="L1827" s="2">
        <v>44096</v>
      </c>
      <c r="M1827" t="s">
        <v>38</v>
      </c>
      <c r="N1827">
        <v>53</v>
      </c>
      <c r="O1827" t="s">
        <v>25</v>
      </c>
      <c r="P1827">
        <v>8</v>
      </c>
      <c r="Q1827" s="1">
        <v>-14.49</v>
      </c>
      <c r="R1827" s="2">
        <f t="shared" si="112"/>
        <v>10519</v>
      </c>
      <c r="S1827" s="1">
        <f t="shared" si="113"/>
        <v>31.327992375733388</v>
      </c>
      <c r="T1827" t="str">
        <f t="shared" si="114"/>
        <v>Beginner</v>
      </c>
      <c r="U1827" t="str">
        <f t="shared" si="115"/>
        <v>Medium Impact</v>
      </c>
    </row>
    <row r="1828" spans="1:21" x14ac:dyDescent="0.3">
      <c r="A1828" t="s">
        <v>235</v>
      </c>
      <c r="B1828">
        <v>59</v>
      </c>
      <c r="C1828" t="s">
        <v>27</v>
      </c>
      <c r="D1828" t="s">
        <v>34</v>
      </c>
      <c r="E1828" t="s">
        <v>59</v>
      </c>
      <c r="F1828" t="s">
        <v>93</v>
      </c>
      <c r="G1828">
        <v>36</v>
      </c>
      <c r="H1828" t="s">
        <v>22</v>
      </c>
      <c r="I1828" t="s">
        <v>31</v>
      </c>
      <c r="J1828" t="s">
        <v>25</v>
      </c>
      <c r="K1828" s="2">
        <v>53051</v>
      </c>
      <c r="L1828" s="2">
        <v>53930</v>
      </c>
      <c r="M1828" t="s">
        <v>32</v>
      </c>
      <c r="N1828">
        <v>51</v>
      </c>
      <c r="O1828" t="s">
        <v>25</v>
      </c>
      <c r="P1828">
        <v>7</v>
      </c>
      <c r="Q1828" s="1">
        <v>-14.51</v>
      </c>
      <c r="R1828" s="2">
        <f t="shared" si="112"/>
        <v>879</v>
      </c>
      <c r="S1828" s="1">
        <f t="shared" si="113"/>
        <v>1.6568961942281955</v>
      </c>
      <c r="T1828" t="str">
        <f t="shared" si="114"/>
        <v>Expert</v>
      </c>
      <c r="U1828" t="str">
        <f t="shared" si="115"/>
        <v>Low Impact</v>
      </c>
    </row>
    <row r="1829" spans="1:21" x14ac:dyDescent="0.3">
      <c r="A1829" t="s">
        <v>1479</v>
      </c>
      <c r="B1829">
        <v>52</v>
      </c>
      <c r="C1829" t="s">
        <v>54</v>
      </c>
      <c r="D1829" t="s">
        <v>28</v>
      </c>
      <c r="E1829" t="s">
        <v>20</v>
      </c>
      <c r="F1829" t="s">
        <v>88</v>
      </c>
      <c r="G1829">
        <v>30</v>
      </c>
      <c r="H1829" t="s">
        <v>37</v>
      </c>
      <c r="I1829" t="s">
        <v>37</v>
      </c>
      <c r="J1829" t="s">
        <v>25</v>
      </c>
      <c r="K1829" s="2">
        <v>94808</v>
      </c>
      <c r="L1829" s="2">
        <v>111998</v>
      </c>
      <c r="M1829" t="s">
        <v>38</v>
      </c>
      <c r="N1829">
        <v>53</v>
      </c>
      <c r="O1829" t="s">
        <v>25</v>
      </c>
      <c r="P1829">
        <v>8</v>
      </c>
      <c r="Q1829" s="1">
        <v>-14.52</v>
      </c>
      <c r="R1829" s="2">
        <f t="shared" si="112"/>
        <v>17190</v>
      </c>
      <c r="S1829" s="1">
        <f t="shared" si="113"/>
        <v>18.131381318032233</v>
      </c>
      <c r="T1829" t="str">
        <f t="shared" si="114"/>
        <v>Expert</v>
      </c>
      <c r="U1829" t="str">
        <f t="shared" si="115"/>
        <v>Medium Impact</v>
      </c>
    </row>
    <row r="1830" spans="1:21" x14ac:dyDescent="0.3">
      <c r="A1830" t="s">
        <v>1561</v>
      </c>
      <c r="B1830">
        <v>25</v>
      </c>
      <c r="C1830" t="s">
        <v>18</v>
      </c>
      <c r="D1830" t="s">
        <v>19</v>
      </c>
      <c r="E1830" t="s">
        <v>41</v>
      </c>
      <c r="F1830" t="s">
        <v>42</v>
      </c>
      <c r="G1830">
        <v>0</v>
      </c>
      <c r="H1830" t="s">
        <v>37</v>
      </c>
      <c r="I1830" t="s">
        <v>31</v>
      </c>
      <c r="J1830" t="s">
        <v>25</v>
      </c>
      <c r="K1830" s="2">
        <v>35239</v>
      </c>
      <c r="L1830" s="2">
        <v>36367</v>
      </c>
      <c r="M1830" t="s">
        <v>32</v>
      </c>
      <c r="N1830">
        <v>46</v>
      </c>
      <c r="O1830" t="s">
        <v>25</v>
      </c>
      <c r="P1830">
        <v>7</v>
      </c>
      <c r="Q1830" s="1">
        <v>-14.53</v>
      </c>
      <c r="R1830" s="2">
        <f t="shared" si="112"/>
        <v>1128</v>
      </c>
      <c r="S1830" s="1">
        <f t="shared" si="113"/>
        <v>3.2009988932716595</v>
      </c>
      <c r="T1830" t="str">
        <f t="shared" si="114"/>
        <v>Beginner</v>
      </c>
      <c r="U1830" t="str">
        <f t="shared" si="115"/>
        <v>Low Impact</v>
      </c>
    </row>
    <row r="1831" spans="1:21" x14ac:dyDescent="0.3">
      <c r="A1831" t="s">
        <v>501</v>
      </c>
      <c r="B1831">
        <v>40</v>
      </c>
      <c r="C1831" t="s">
        <v>54</v>
      </c>
      <c r="D1831" t="s">
        <v>34</v>
      </c>
      <c r="E1831" t="s">
        <v>51</v>
      </c>
      <c r="F1831" t="s">
        <v>75</v>
      </c>
      <c r="G1831">
        <v>17</v>
      </c>
      <c r="H1831" t="s">
        <v>22</v>
      </c>
      <c r="I1831" t="s">
        <v>22</v>
      </c>
      <c r="J1831" t="s">
        <v>25</v>
      </c>
      <c r="K1831" s="2">
        <v>40503</v>
      </c>
      <c r="L1831" s="2">
        <v>56574</v>
      </c>
      <c r="M1831" t="s">
        <v>24</v>
      </c>
      <c r="N1831">
        <v>41</v>
      </c>
      <c r="O1831" t="s">
        <v>25</v>
      </c>
      <c r="P1831">
        <v>5</v>
      </c>
      <c r="Q1831" s="1">
        <v>-14.61</v>
      </c>
      <c r="R1831" s="2">
        <f t="shared" si="112"/>
        <v>16071</v>
      </c>
      <c r="S1831" s="1">
        <f t="shared" si="113"/>
        <v>39.678542330197764</v>
      </c>
      <c r="T1831" t="str">
        <f t="shared" si="114"/>
        <v>Expert</v>
      </c>
      <c r="U1831" t="str">
        <f t="shared" si="115"/>
        <v>High Impact</v>
      </c>
    </row>
    <row r="1832" spans="1:21" x14ac:dyDescent="0.3">
      <c r="A1832" t="s">
        <v>1108</v>
      </c>
      <c r="B1832">
        <v>54</v>
      </c>
      <c r="C1832" t="s">
        <v>18</v>
      </c>
      <c r="D1832" t="s">
        <v>28</v>
      </c>
      <c r="E1832" t="s">
        <v>41</v>
      </c>
      <c r="F1832" t="s">
        <v>42</v>
      </c>
      <c r="G1832">
        <v>31</v>
      </c>
      <c r="H1832" t="s">
        <v>31</v>
      </c>
      <c r="I1832" t="s">
        <v>31</v>
      </c>
      <c r="J1832" t="s">
        <v>23</v>
      </c>
      <c r="K1832" s="2">
        <v>95747</v>
      </c>
      <c r="L1832" s="2">
        <v>98804</v>
      </c>
      <c r="M1832" t="s">
        <v>32</v>
      </c>
      <c r="N1832">
        <v>46</v>
      </c>
      <c r="O1832" t="s">
        <v>25</v>
      </c>
      <c r="P1832">
        <v>7</v>
      </c>
      <c r="Q1832" s="1">
        <v>-14.63</v>
      </c>
      <c r="R1832" s="2">
        <f t="shared" si="112"/>
        <v>3057</v>
      </c>
      <c r="S1832" s="1">
        <f t="shared" si="113"/>
        <v>3.1927893302140014</v>
      </c>
      <c r="T1832" t="str">
        <f t="shared" si="114"/>
        <v>Expert</v>
      </c>
      <c r="U1832" t="str">
        <f t="shared" si="115"/>
        <v>Low Impact</v>
      </c>
    </row>
    <row r="1833" spans="1:21" x14ac:dyDescent="0.3">
      <c r="A1833" t="s">
        <v>1856</v>
      </c>
      <c r="B1833">
        <v>36</v>
      </c>
      <c r="C1833" t="s">
        <v>54</v>
      </c>
      <c r="D1833" t="s">
        <v>19</v>
      </c>
      <c r="E1833" t="s">
        <v>35</v>
      </c>
      <c r="F1833" t="s">
        <v>98</v>
      </c>
      <c r="G1833">
        <v>11</v>
      </c>
      <c r="H1833" t="s">
        <v>31</v>
      </c>
      <c r="I1833" t="s">
        <v>31</v>
      </c>
      <c r="J1833" t="s">
        <v>23</v>
      </c>
      <c r="K1833" s="2">
        <v>79979</v>
      </c>
      <c r="L1833" s="2">
        <v>82937</v>
      </c>
      <c r="M1833" t="s">
        <v>32</v>
      </c>
      <c r="N1833">
        <v>36</v>
      </c>
      <c r="O1833" t="s">
        <v>23</v>
      </c>
      <c r="P1833">
        <v>5</v>
      </c>
      <c r="Q1833" s="1">
        <v>-14.66</v>
      </c>
      <c r="R1833" s="2">
        <f t="shared" si="112"/>
        <v>2958</v>
      </c>
      <c r="S1833" s="1">
        <f t="shared" si="113"/>
        <v>3.6984708485977569</v>
      </c>
      <c r="T1833" t="str">
        <f t="shared" si="114"/>
        <v>Intermediate</v>
      </c>
      <c r="U1833" t="str">
        <f t="shared" si="115"/>
        <v>Low Impact</v>
      </c>
    </row>
    <row r="1834" spans="1:21" x14ac:dyDescent="0.3">
      <c r="A1834" t="s">
        <v>1070</v>
      </c>
      <c r="B1834">
        <v>50</v>
      </c>
      <c r="C1834" t="s">
        <v>54</v>
      </c>
      <c r="D1834" t="s">
        <v>34</v>
      </c>
      <c r="E1834" t="s">
        <v>44</v>
      </c>
      <c r="F1834" t="s">
        <v>47</v>
      </c>
      <c r="G1834">
        <v>26</v>
      </c>
      <c r="H1834" t="s">
        <v>22</v>
      </c>
      <c r="I1834" t="s">
        <v>31</v>
      </c>
      <c r="J1834" t="s">
        <v>25</v>
      </c>
      <c r="K1834" s="2">
        <v>116489</v>
      </c>
      <c r="L1834" s="2">
        <v>119632</v>
      </c>
      <c r="M1834" t="s">
        <v>32</v>
      </c>
      <c r="N1834">
        <v>36</v>
      </c>
      <c r="O1834" t="s">
        <v>25</v>
      </c>
      <c r="P1834">
        <v>8</v>
      </c>
      <c r="Q1834" s="1">
        <v>-14.7</v>
      </c>
      <c r="R1834" s="2">
        <f t="shared" si="112"/>
        <v>3143</v>
      </c>
      <c r="S1834" s="1">
        <f t="shared" si="113"/>
        <v>2.6981088343105357</v>
      </c>
      <c r="T1834" t="str">
        <f t="shared" si="114"/>
        <v>Expert</v>
      </c>
      <c r="U1834" t="str">
        <f t="shared" si="115"/>
        <v>Low Impact</v>
      </c>
    </row>
    <row r="1835" spans="1:21" x14ac:dyDescent="0.3">
      <c r="A1835" t="s">
        <v>1405</v>
      </c>
      <c r="B1835">
        <v>25</v>
      </c>
      <c r="C1835" t="s">
        <v>54</v>
      </c>
      <c r="D1835" t="s">
        <v>19</v>
      </c>
      <c r="E1835" t="s">
        <v>51</v>
      </c>
      <c r="F1835" t="s">
        <v>52</v>
      </c>
      <c r="G1835">
        <v>1</v>
      </c>
      <c r="H1835" t="s">
        <v>22</v>
      </c>
      <c r="I1835" t="s">
        <v>31</v>
      </c>
      <c r="J1835" t="s">
        <v>23</v>
      </c>
      <c r="K1835" s="2">
        <v>31160</v>
      </c>
      <c r="L1835" s="2">
        <v>40074</v>
      </c>
      <c r="M1835" t="s">
        <v>32</v>
      </c>
      <c r="N1835">
        <v>40</v>
      </c>
      <c r="O1835" t="s">
        <v>25</v>
      </c>
      <c r="P1835">
        <v>7</v>
      </c>
      <c r="Q1835" s="1">
        <v>-14.75</v>
      </c>
      <c r="R1835" s="2">
        <f t="shared" si="112"/>
        <v>8914</v>
      </c>
      <c r="S1835" s="1">
        <f t="shared" si="113"/>
        <v>28.60718870346598</v>
      </c>
      <c r="T1835" t="str">
        <f t="shared" si="114"/>
        <v>Beginner</v>
      </c>
      <c r="U1835" t="str">
        <f t="shared" si="115"/>
        <v>Low Impact</v>
      </c>
    </row>
    <row r="1836" spans="1:21" x14ac:dyDescent="0.3">
      <c r="A1836" t="s">
        <v>910</v>
      </c>
      <c r="B1836">
        <v>31</v>
      </c>
      <c r="C1836" t="s">
        <v>27</v>
      </c>
      <c r="D1836" t="s">
        <v>40</v>
      </c>
      <c r="E1836" t="s">
        <v>35</v>
      </c>
      <c r="F1836" t="s">
        <v>98</v>
      </c>
      <c r="G1836">
        <v>9</v>
      </c>
      <c r="H1836" t="s">
        <v>37</v>
      </c>
      <c r="I1836" t="s">
        <v>22</v>
      </c>
      <c r="J1836" t="s">
        <v>25</v>
      </c>
      <c r="K1836" s="2">
        <v>75156</v>
      </c>
      <c r="L1836" s="2">
        <v>75766</v>
      </c>
      <c r="M1836" t="s">
        <v>32</v>
      </c>
      <c r="N1836">
        <v>43</v>
      </c>
      <c r="O1836" t="s">
        <v>25</v>
      </c>
      <c r="P1836">
        <v>7</v>
      </c>
      <c r="Q1836" s="1">
        <v>-14.78</v>
      </c>
      <c r="R1836" s="2">
        <f t="shared" si="112"/>
        <v>610</v>
      </c>
      <c r="S1836" s="1">
        <f t="shared" si="113"/>
        <v>0.81164511150141039</v>
      </c>
      <c r="T1836" t="str">
        <f t="shared" si="114"/>
        <v>Intermediate</v>
      </c>
      <c r="U1836" t="str">
        <f t="shared" si="115"/>
        <v>Low Impact</v>
      </c>
    </row>
    <row r="1837" spans="1:21" x14ac:dyDescent="0.3">
      <c r="A1837" t="s">
        <v>2001</v>
      </c>
      <c r="B1837">
        <v>38</v>
      </c>
      <c r="C1837" t="s">
        <v>18</v>
      </c>
      <c r="D1837" t="s">
        <v>34</v>
      </c>
      <c r="E1837" t="s">
        <v>41</v>
      </c>
      <c r="F1837" t="s">
        <v>49</v>
      </c>
      <c r="G1837">
        <v>12</v>
      </c>
      <c r="H1837" t="s">
        <v>37</v>
      </c>
      <c r="I1837" t="s">
        <v>22</v>
      </c>
      <c r="J1837" t="s">
        <v>25</v>
      </c>
      <c r="K1837" s="2">
        <v>110946</v>
      </c>
      <c r="L1837" s="2">
        <v>116021</v>
      </c>
      <c r="M1837" t="s">
        <v>32</v>
      </c>
      <c r="N1837">
        <v>49</v>
      </c>
      <c r="O1837" t="s">
        <v>23</v>
      </c>
      <c r="P1837">
        <v>3</v>
      </c>
      <c r="Q1837" s="1">
        <v>-14.84</v>
      </c>
      <c r="R1837" s="2">
        <f t="shared" si="112"/>
        <v>5075</v>
      </c>
      <c r="S1837" s="1">
        <f t="shared" si="113"/>
        <v>4.5742974059452344</v>
      </c>
      <c r="T1837" t="str">
        <f t="shared" si="114"/>
        <v>Intermediate</v>
      </c>
      <c r="U1837" t="str">
        <f t="shared" si="115"/>
        <v>Low Impact</v>
      </c>
    </row>
    <row r="1838" spans="1:21" x14ac:dyDescent="0.3">
      <c r="A1838" t="s">
        <v>1770</v>
      </c>
      <c r="B1838">
        <v>33</v>
      </c>
      <c r="C1838" t="s">
        <v>27</v>
      </c>
      <c r="D1838" t="s">
        <v>34</v>
      </c>
      <c r="E1838" t="s">
        <v>35</v>
      </c>
      <c r="F1838" t="s">
        <v>132</v>
      </c>
      <c r="G1838">
        <v>8</v>
      </c>
      <c r="H1838" t="s">
        <v>37</v>
      </c>
      <c r="I1838" t="s">
        <v>31</v>
      </c>
      <c r="J1838" t="s">
        <v>23</v>
      </c>
      <c r="K1838" s="2">
        <v>72816</v>
      </c>
      <c r="L1838" s="2">
        <v>83342</v>
      </c>
      <c r="M1838" t="s">
        <v>32</v>
      </c>
      <c r="N1838">
        <v>53</v>
      </c>
      <c r="O1838" t="s">
        <v>25</v>
      </c>
      <c r="P1838">
        <v>3</v>
      </c>
      <c r="Q1838" s="1">
        <v>-14.92</v>
      </c>
      <c r="R1838" s="2">
        <f t="shared" si="112"/>
        <v>10526</v>
      </c>
      <c r="S1838" s="1">
        <f t="shared" si="113"/>
        <v>14.455614150736102</v>
      </c>
      <c r="T1838" t="str">
        <f t="shared" si="114"/>
        <v>Intermediate</v>
      </c>
      <c r="U1838" t="str">
        <f t="shared" si="115"/>
        <v>Low Impact</v>
      </c>
    </row>
    <row r="1839" spans="1:21" x14ac:dyDescent="0.3">
      <c r="A1839" t="s">
        <v>1159</v>
      </c>
      <c r="B1839">
        <v>50</v>
      </c>
      <c r="C1839" t="s">
        <v>54</v>
      </c>
      <c r="D1839" t="s">
        <v>40</v>
      </c>
      <c r="E1839" t="s">
        <v>51</v>
      </c>
      <c r="F1839" t="s">
        <v>130</v>
      </c>
      <c r="G1839">
        <v>24</v>
      </c>
      <c r="H1839" t="s">
        <v>37</v>
      </c>
      <c r="I1839" t="s">
        <v>31</v>
      </c>
      <c r="J1839" t="s">
        <v>23</v>
      </c>
      <c r="K1839" s="2">
        <v>63172</v>
      </c>
      <c r="L1839" s="2">
        <v>62816</v>
      </c>
      <c r="M1839" t="s">
        <v>32</v>
      </c>
      <c r="N1839">
        <v>40</v>
      </c>
      <c r="O1839" t="s">
        <v>23</v>
      </c>
      <c r="P1839">
        <v>5</v>
      </c>
      <c r="Q1839" s="1">
        <v>-14.94</v>
      </c>
      <c r="R1839" s="2">
        <f t="shared" si="112"/>
        <v>-356</v>
      </c>
      <c r="S1839" s="1">
        <f t="shared" si="113"/>
        <v>-0.56354080921927441</v>
      </c>
      <c r="T1839" t="str">
        <f t="shared" si="114"/>
        <v>Expert</v>
      </c>
      <c r="U1839" t="str">
        <f t="shared" si="115"/>
        <v>Low Impact</v>
      </c>
    </row>
    <row r="1840" spans="1:21" x14ac:dyDescent="0.3">
      <c r="A1840" t="s">
        <v>266</v>
      </c>
      <c r="B1840">
        <v>35</v>
      </c>
      <c r="C1840" t="s">
        <v>27</v>
      </c>
      <c r="D1840" t="s">
        <v>34</v>
      </c>
      <c r="E1840" t="s">
        <v>59</v>
      </c>
      <c r="F1840" t="s">
        <v>60</v>
      </c>
      <c r="G1840">
        <v>9</v>
      </c>
      <c r="H1840" t="s">
        <v>22</v>
      </c>
      <c r="I1840" t="s">
        <v>37</v>
      </c>
      <c r="J1840" t="s">
        <v>25</v>
      </c>
      <c r="K1840" s="2">
        <v>63062</v>
      </c>
      <c r="L1840" s="2">
        <v>57757</v>
      </c>
      <c r="M1840" t="s">
        <v>38</v>
      </c>
      <c r="N1840">
        <v>51</v>
      </c>
      <c r="O1840" t="s">
        <v>23</v>
      </c>
      <c r="P1840">
        <v>3</v>
      </c>
      <c r="Q1840" s="1">
        <v>-14.95</v>
      </c>
      <c r="R1840" s="2">
        <f t="shared" si="112"/>
        <v>-5305</v>
      </c>
      <c r="S1840" s="1">
        <f t="shared" si="113"/>
        <v>-8.4123560940027282</v>
      </c>
      <c r="T1840" t="str">
        <f t="shared" si="114"/>
        <v>Intermediate</v>
      </c>
      <c r="U1840" t="str">
        <f t="shared" si="115"/>
        <v>Medium Impact</v>
      </c>
    </row>
    <row r="1841" spans="1:21" x14ac:dyDescent="0.3">
      <c r="A1841" t="s">
        <v>1105</v>
      </c>
      <c r="B1841">
        <v>26</v>
      </c>
      <c r="C1841" t="s">
        <v>27</v>
      </c>
      <c r="D1841" t="s">
        <v>40</v>
      </c>
      <c r="E1841" t="s">
        <v>29</v>
      </c>
      <c r="F1841" t="s">
        <v>102</v>
      </c>
      <c r="G1841">
        <v>0</v>
      </c>
      <c r="H1841" t="s">
        <v>37</v>
      </c>
      <c r="I1841" t="s">
        <v>31</v>
      </c>
      <c r="J1841" t="s">
        <v>25</v>
      </c>
      <c r="K1841" s="2">
        <v>107707</v>
      </c>
      <c r="L1841" s="2">
        <v>116574</v>
      </c>
      <c r="M1841" t="s">
        <v>32</v>
      </c>
      <c r="N1841">
        <v>37</v>
      </c>
      <c r="O1841" t="s">
        <v>25</v>
      </c>
      <c r="P1841">
        <v>6</v>
      </c>
      <c r="Q1841" s="1">
        <v>-14.97</v>
      </c>
      <c r="R1841" s="2">
        <f t="shared" si="112"/>
        <v>8867</v>
      </c>
      <c r="S1841" s="1">
        <f t="shared" si="113"/>
        <v>8.2325197062400761</v>
      </c>
      <c r="T1841" t="str">
        <f t="shared" si="114"/>
        <v>Beginner</v>
      </c>
      <c r="U1841" t="str">
        <f t="shared" si="115"/>
        <v>Low Impact</v>
      </c>
    </row>
    <row r="1842" spans="1:21" x14ac:dyDescent="0.3">
      <c r="A1842" t="s">
        <v>1873</v>
      </c>
      <c r="B1842">
        <v>25</v>
      </c>
      <c r="C1842" t="s">
        <v>18</v>
      </c>
      <c r="D1842" t="s">
        <v>40</v>
      </c>
      <c r="E1842" t="s">
        <v>35</v>
      </c>
      <c r="F1842" t="s">
        <v>36</v>
      </c>
      <c r="G1842">
        <v>0</v>
      </c>
      <c r="H1842" t="s">
        <v>37</v>
      </c>
      <c r="I1842" t="s">
        <v>37</v>
      </c>
      <c r="J1842" t="s">
        <v>23</v>
      </c>
      <c r="K1842" s="2">
        <v>118131</v>
      </c>
      <c r="L1842" s="2">
        <v>111731</v>
      </c>
      <c r="M1842" t="s">
        <v>38</v>
      </c>
      <c r="N1842">
        <v>48</v>
      </c>
      <c r="O1842" t="s">
        <v>23</v>
      </c>
      <c r="P1842">
        <v>5</v>
      </c>
      <c r="Q1842" s="1">
        <v>-15.02</v>
      </c>
      <c r="R1842" s="2">
        <f t="shared" si="112"/>
        <v>-6400</v>
      </c>
      <c r="S1842" s="1">
        <f t="shared" si="113"/>
        <v>-5.4177142325045926</v>
      </c>
      <c r="T1842" t="str">
        <f t="shared" si="114"/>
        <v>Beginner</v>
      </c>
      <c r="U1842" t="str">
        <f t="shared" si="115"/>
        <v>Medium Impact</v>
      </c>
    </row>
    <row r="1843" spans="1:21" x14ac:dyDescent="0.3">
      <c r="A1843" t="s">
        <v>275</v>
      </c>
      <c r="B1843">
        <v>50</v>
      </c>
      <c r="C1843" t="s">
        <v>54</v>
      </c>
      <c r="D1843" t="s">
        <v>34</v>
      </c>
      <c r="E1843" t="s">
        <v>41</v>
      </c>
      <c r="F1843" t="s">
        <v>42</v>
      </c>
      <c r="G1843">
        <v>24</v>
      </c>
      <c r="H1843" t="s">
        <v>31</v>
      </c>
      <c r="I1843" t="s">
        <v>22</v>
      </c>
      <c r="J1843" t="s">
        <v>25</v>
      </c>
      <c r="K1843" s="2">
        <v>47482</v>
      </c>
      <c r="L1843" s="2">
        <v>46680</v>
      </c>
      <c r="M1843" t="s">
        <v>32</v>
      </c>
      <c r="N1843">
        <v>48</v>
      </c>
      <c r="O1843" t="s">
        <v>23</v>
      </c>
      <c r="P1843">
        <v>6</v>
      </c>
      <c r="Q1843" s="1">
        <v>-15.06</v>
      </c>
      <c r="R1843" s="2">
        <f t="shared" si="112"/>
        <v>-802</v>
      </c>
      <c r="S1843" s="1">
        <f t="shared" si="113"/>
        <v>-1.6890611178973085</v>
      </c>
      <c r="T1843" t="str">
        <f t="shared" si="114"/>
        <v>Expert</v>
      </c>
      <c r="U1843" t="str">
        <f t="shared" si="115"/>
        <v>Low Impact</v>
      </c>
    </row>
    <row r="1844" spans="1:21" x14ac:dyDescent="0.3">
      <c r="A1844" t="s">
        <v>1118</v>
      </c>
      <c r="B1844">
        <v>37</v>
      </c>
      <c r="C1844" t="s">
        <v>18</v>
      </c>
      <c r="D1844" t="s">
        <v>34</v>
      </c>
      <c r="E1844" t="s">
        <v>29</v>
      </c>
      <c r="F1844" t="s">
        <v>30</v>
      </c>
      <c r="G1844">
        <v>13</v>
      </c>
      <c r="H1844" t="s">
        <v>31</v>
      </c>
      <c r="I1844" t="s">
        <v>22</v>
      </c>
      <c r="J1844" t="s">
        <v>25</v>
      </c>
      <c r="K1844" s="2">
        <v>76073</v>
      </c>
      <c r="L1844" s="2">
        <v>75582</v>
      </c>
      <c r="M1844" t="s">
        <v>32</v>
      </c>
      <c r="N1844">
        <v>37</v>
      </c>
      <c r="O1844" t="s">
        <v>25</v>
      </c>
      <c r="P1844">
        <v>3</v>
      </c>
      <c r="Q1844" s="1">
        <v>-15.08</v>
      </c>
      <c r="R1844" s="2">
        <f t="shared" si="112"/>
        <v>-491</v>
      </c>
      <c r="S1844" s="1">
        <f t="shared" si="113"/>
        <v>-0.64543267650809089</v>
      </c>
      <c r="T1844" t="str">
        <f t="shared" si="114"/>
        <v>Intermediate</v>
      </c>
      <c r="U1844" t="str">
        <f t="shared" si="115"/>
        <v>Low Impact</v>
      </c>
    </row>
    <row r="1845" spans="1:21" x14ac:dyDescent="0.3">
      <c r="A1845" t="s">
        <v>1160</v>
      </c>
      <c r="B1845">
        <v>34</v>
      </c>
      <c r="C1845" t="s">
        <v>27</v>
      </c>
      <c r="D1845" t="s">
        <v>40</v>
      </c>
      <c r="E1845" t="s">
        <v>35</v>
      </c>
      <c r="F1845" t="s">
        <v>36</v>
      </c>
      <c r="G1845">
        <v>12</v>
      </c>
      <c r="H1845" t="s">
        <v>22</v>
      </c>
      <c r="I1845" t="s">
        <v>31</v>
      </c>
      <c r="J1845" t="s">
        <v>23</v>
      </c>
      <c r="K1845" s="2">
        <v>39491</v>
      </c>
      <c r="L1845" s="2">
        <v>40109</v>
      </c>
      <c r="M1845" t="s">
        <v>32</v>
      </c>
      <c r="N1845">
        <v>44</v>
      </c>
      <c r="O1845" t="s">
        <v>23</v>
      </c>
      <c r="P1845">
        <v>3</v>
      </c>
      <c r="Q1845" s="1">
        <v>-15.11</v>
      </c>
      <c r="R1845" s="2">
        <f t="shared" si="112"/>
        <v>618</v>
      </c>
      <c r="S1845" s="1">
        <f t="shared" si="113"/>
        <v>1.5649135246005419</v>
      </c>
      <c r="T1845" t="str">
        <f t="shared" si="114"/>
        <v>Intermediate</v>
      </c>
      <c r="U1845" t="str">
        <f t="shared" si="115"/>
        <v>Low Impact</v>
      </c>
    </row>
    <row r="1846" spans="1:21" x14ac:dyDescent="0.3">
      <c r="A1846" t="s">
        <v>913</v>
      </c>
      <c r="B1846">
        <v>42</v>
      </c>
      <c r="C1846" t="s">
        <v>54</v>
      </c>
      <c r="D1846" t="s">
        <v>40</v>
      </c>
      <c r="E1846" t="s">
        <v>29</v>
      </c>
      <c r="F1846" t="s">
        <v>102</v>
      </c>
      <c r="G1846">
        <v>19</v>
      </c>
      <c r="H1846" t="s">
        <v>37</v>
      </c>
      <c r="I1846" t="s">
        <v>22</v>
      </c>
      <c r="J1846" t="s">
        <v>23</v>
      </c>
      <c r="K1846" s="2">
        <v>108518</v>
      </c>
      <c r="L1846" s="2">
        <v>106858</v>
      </c>
      <c r="M1846" t="s">
        <v>32</v>
      </c>
      <c r="N1846">
        <v>51</v>
      </c>
      <c r="O1846" t="s">
        <v>23</v>
      </c>
      <c r="P1846">
        <v>4</v>
      </c>
      <c r="Q1846" s="1">
        <v>-15.14</v>
      </c>
      <c r="R1846" s="2">
        <f t="shared" si="112"/>
        <v>-1660</v>
      </c>
      <c r="S1846" s="1">
        <f t="shared" si="113"/>
        <v>-1.5297001419119409</v>
      </c>
      <c r="T1846" t="str">
        <f t="shared" si="114"/>
        <v>Expert</v>
      </c>
      <c r="U1846" t="str">
        <f t="shared" si="115"/>
        <v>Low Impact</v>
      </c>
    </row>
    <row r="1847" spans="1:21" x14ac:dyDescent="0.3">
      <c r="A1847" t="s">
        <v>355</v>
      </c>
      <c r="B1847">
        <v>35</v>
      </c>
      <c r="C1847" t="s">
        <v>18</v>
      </c>
      <c r="D1847" t="s">
        <v>28</v>
      </c>
      <c r="E1847" t="s">
        <v>20</v>
      </c>
      <c r="F1847" t="s">
        <v>88</v>
      </c>
      <c r="G1847">
        <v>11</v>
      </c>
      <c r="H1847" t="s">
        <v>31</v>
      </c>
      <c r="I1847" t="s">
        <v>31</v>
      </c>
      <c r="J1847" t="s">
        <v>23</v>
      </c>
      <c r="K1847" s="2">
        <v>61750</v>
      </c>
      <c r="L1847" s="2">
        <v>61484</v>
      </c>
      <c r="M1847" t="s">
        <v>32</v>
      </c>
      <c r="N1847">
        <v>37</v>
      </c>
      <c r="O1847" t="s">
        <v>25</v>
      </c>
      <c r="P1847">
        <v>4</v>
      </c>
      <c r="Q1847" s="1">
        <v>-15.14</v>
      </c>
      <c r="R1847" s="2">
        <f t="shared" si="112"/>
        <v>-266</v>
      </c>
      <c r="S1847" s="1">
        <f t="shared" si="113"/>
        <v>-0.43076923076923074</v>
      </c>
      <c r="T1847" t="str">
        <f t="shared" si="114"/>
        <v>Intermediate</v>
      </c>
      <c r="U1847" t="str">
        <f t="shared" si="115"/>
        <v>Low Impact</v>
      </c>
    </row>
    <row r="1848" spans="1:21" x14ac:dyDescent="0.3">
      <c r="A1848" t="s">
        <v>1950</v>
      </c>
      <c r="B1848">
        <v>56</v>
      </c>
      <c r="C1848" t="s">
        <v>54</v>
      </c>
      <c r="D1848" t="s">
        <v>28</v>
      </c>
      <c r="E1848" t="s">
        <v>20</v>
      </c>
      <c r="F1848" t="s">
        <v>21</v>
      </c>
      <c r="G1848">
        <v>31</v>
      </c>
      <c r="H1848" t="s">
        <v>22</v>
      </c>
      <c r="I1848" t="s">
        <v>37</v>
      </c>
      <c r="J1848" t="s">
        <v>23</v>
      </c>
      <c r="K1848" s="2">
        <v>59164</v>
      </c>
      <c r="L1848" s="2">
        <v>60626</v>
      </c>
      <c r="M1848" t="s">
        <v>38</v>
      </c>
      <c r="N1848">
        <v>54</v>
      </c>
      <c r="O1848" t="s">
        <v>23</v>
      </c>
      <c r="P1848">
        <v>8</v>
      </c>
      <c r="Q1848" s="1">
        <v>-15.15</v>
      </c>
      <c r="R1848" s="2">
        <f t="shared" si="112"/>
        <v>1462</v>
      </c>
      <c r="S1848" s="1">
        <f t="shared" si="113"/>
        <v>2.4710972888918938</v>
      </c>
      <c r="T1848" t="str">
        <f t="shared" si="114"/>
        <v>Expert</v>
      </c>
      <c r="U1848" t="str">
        <f t="shared" si="115"/>
        <v>Medium Impact</v>
      </c>
    </row>
    <row r="1849" spans="1:21" x14ac:dyDescent="0.3">
      <c r="A1849" t="s">
        <v>1335</v>
      </c>
      <c r="B1849">
        <v>53</v>
      </c>
      <c r="C1849" t="s">
        <v>27</v>
      </c>
      <c r="D1849" t="s">
        <v>34</v>
      </c>
      <c r="E1849" t="s">
        <v>59</v>
      </c>
      <c r="F1849" t="s">
        <v>93</v>
      </c>
      <c r="G1849">
        <v>31</v>
      </c>
      <c r="H1849" t="s">
        <v>37</v>
      </c>
      <c r="I1849" t="s">
        <v>37</v>
      </c>
      <c r="J1849" t="s">
        <v>25</v>
      </c>
      <c r="K1849" s="2">
        <v>99868</v>
      </c>
      <c r="L1849" s="2">
        <v>91566</v>
      </c>
      <c r="M1849" t="s">
        <v>38</v>
      </c>
      <c r="N1849">
        <v>44</v>
      </c>
      <c r="O1849" t="s">
        <v>25</v>
      </c>
      <c r="P1849">
        <v>9</v>
      </c>
      <c r="Q1849" s="1">
        <v>-15.16</v>
      </c>
      <c r="R1849" s="2">
        <f t="shared" si="112"/>
        <v>-8302</v>
      </c>
      <c r="S1849" s="1">
        <f t="shared" si="113"/>
        <v>-8.3129731245243725</v>
      </c>
      <c r="T1849" t="str">
        <f t="shared" si="114"/>
        <v>Expert</v>
      </c>
      <c r="U1849" t="str">
        <f t="shared" si="115"/>
        <v>Medium Impact</v>
      </c>
    </row>
    <row r="1850" spans="1:21" x14ac:dyDescent="0.3">
      <c r="A1850" t="s">
        <v>571</v>
      </c>
      <c r="B1850">
        <v>42</v>
      </c>
      <c r="C1850" t="s">
        <v>27</v>
      </c>
      <c r="D1850" t="s">
        <v>40</v>
      </c>
      <c r="E1850" t="s">
        <v>59</v>
      </c>
      <c r="F1850" t="s">
        <v>60</v>
      </c>
      <c r="G1850">
        <v>16</v>
      </c>
      <c r="H1850" t="s">
        <v>22</v>
      </c>
      <c r="I1850" t="s">
        <v>31</v>
      </c>
      <c r="J1850" t="s">
        <v>23</v>
      </c>
      <c r="K1850" s="2">
        <v>48375</v>
      </c>
      <c r="L1850" s="2">
        <v>57885</v>
      </c>
      <c r="M1850" t="s">
        <v>32</v>
      </c>
      <c r="N1850">
        <v>44</v>
      </c>
      <c r="O1850" t="s">
        <v>25</v>
      </c>
      <c r="P1850">
        <v>4</v>
      </c>
      <c r="Q1850" s="1">
        <v>-15.29</v>
      </c>
      <c r="R1850" s="2">
        <f t="shared" si="112"/>
        <v>9510</v>
      </c>
      <c r="S1850" s="1">
        <f t="shared" si="113"/>
        <v>19.65891472868217</v>
      </c>
      <c r="T1850" t="str">
        <f t="shared" si="114"/>
        <v>Expert</v>
      </c>
      <c r="U1850" t="str">
        <f t="shared" si="115"/>
        <v>Low Impact</v>
      </c>
    </row>
    <row r="1851" spans="1:21" x14ac:dyDescent="0.3">
      <c r="A1851" t="s">
        <v>1707</v>
      </c>
      <c r="B1851">
        <v>37</v>
      </c>
      <c r="C1851" t="s">
        <v>18</v>
      </c>
      <c r="D1851" t="s">
        <v>34</v>
      </c>
      <c r="E1851" t="s">
        <v>20</v>
      </c>
      <c r="F1851" t="s">
        <v>88</v>
      </c>
      <c r="G1851">
        <v>11</v>
      </c>
      <c r="H1851" t="s">
        <v>37</v>
      </c>
      <c r="I1851" t="s">
        <v>22</v>
      </c>
      <c r="J1851" t="s">
        <v>25</v>
      </c>
      <c r="K1851" s="2">
        <v>50175</v>
      </c>
      <c r="L1851" s="2">
        <v>51123</v>
      </c>
      <c r="M1851" t="s">
        <v>32</v>
      </c>
      <c r="N1851">
        <v>52</v>
      </c>
      <c r="O1851" t="s">
        <v>23</v>
      </c>
      <c r="P1851">
        <v>7</v>
      </c>
      <c r="Q1851" s="1">
        <v>-15.33</v>
      </c>
      <c r="R1851" s="2">
        <f t="shared" si="112"/>
        <v>948</v>
      </c>
      <c r="S1851" s="1">
        <f t="shared" si="113"/>
        <v>1.8893871449925264</v>
      </c>
      <c r="T1851" t="str">
        <f t="shared" si="114"/>
        <v>Intermediate</v>
      </c>
      <c r="U1851" t="str">
        <f t="shared" si="115"/>
        <v>Low Impact</v>
      </c>
    </row>
    <row r="1852" spans="1:21" x14ac:dyDescent="0.3">
      <c r="A1852" t="s">
        <v>1044</v>
      </c>
      <c r="B1852">
        <v>46</v>
      </c>
      <c r="C1852" t="s">
        <v>18</v>
      </c>
      <c r="D1852" t="s">
        <v>40</v>
      </c>
      <c r="E1852" t="s">
        <v>44</v>
      </c>
      <c r="F1852" t="s">
        <v>47</v>
      </c>
      <c r="G1852">
        <v>24</v>
      </c>
      <c r="H1852" t="s">
        <v>31</v>
      </c>
      <c r="I1852" t="s">
        <v>37</v>
      </c>
      <c r="J1852" t="s">
        <v>23</v>
      </c>
      <c r="K1852" s="2">
        <v>109732</v>
      </c>
      <c r="L1852" s="2">
        <v>114446</v>
      </c>
      <c r="M1852" t="s">
        <v>38</v>
      </c>
      <c r="N1852">
        <v>44</v>
      </c>
      <c r="O1852" t="s">
        <v>23</v>
      </c>
      <c r="P1852">
        <v>6</v>
      </c>
      <c r="Q1852" s="1">
        <v>-15.36</v>
      </c>
      <c r="R1852" s="2">
        <f t="shared" si="112"/>
        <v>4714</v>
      </c>
      <c r="S1852" s="1">
        <f t="shared" si="113"/>
        <v>4.2959209710932091</v>
      </c>
      <c r="T1852" t="str">
        <f t="shared" si="114"/>
        <v>Expert</v>
      </c>
      <c r="U1852" t="str">
        <f t="shared" si="115"/>
        <v>Medium Impact</v>
      </c>
    </row>
    <row r="1853" spans="1:21" x14ac:dyDescent="0.3">
      <c r="A1853" t="s">
        <v>242</v>
      </c>
      <c r="B1853">
        <v>38</v>
      </c>
      <c r="C1853" t="s">
        <v>54</v>
      </c>
      <c r="D1853" t="s">
        <v>34</v>
      </c>
      <c r="E1853" t="s">
        <v>59</v>
      </c>
      <c r="F1853" t="s">
        <v>93</v>
      </c>
      <c r="G1853">
        <v>14</v>
      </c>
      <c r="H1853" t="s">
        <v>22</v>
      </c>
      <c r="I1853" t="s">
        <v>31</v>
      </c>
      <c r="J1853" t="s">
        <v>25</v>
      </c>
      <c r="K1853" s="2">
        <v>65435</v>
      </c>
      <c r="L1853" s="2">
        <v>57081</v>
      </c>
      <c r="M1853" t="s">
        <v>32</v>
      </c>
      <c r="N1853">
        <v>39</v>
      </c>
      <c r="O1853" t="s">
        <v>25</v>
      </c>
      <c r="P1853">
        <v>5</v>
      </c>
      <c r="Q1853" s="1">
        <v>-15.38</v>
      </c>
      <c r="R1853" s="2">
        <f t="shared" si="112"/>
        <v>-8354</v>
      </c>
      <c r="S1853" s="1">
        <f t="shared" si="113"/>
        <v>-12.766867884159852</v>
      </c>
      <c r="T1853" t="str">
        <f t="shared" si="114"/>
        <v>Intermediate</v>
      </c>
      <c r="U1853" t="str">
        <f t="shared" si="115"/>
        <v>Low Impact</v>
      </c>
    </row>
    <row r="1854" spans="1:21" x14ac:dyDescent="0.3">
      <c r="A1854" t="s">
        <v>747</v>
      </c>
      <c r="B1854">
        <v>35</v>
      </c>
      <c r="C1854" t="s">
        <v>18</v>
      </c>
      <c r="D1854" t="s">
        <v>34</v>
      </c>
      <c r="E1854" t="s">
        <v>51</v>
      </c>
      <c r="F1854" t="s">
        <v>130</v>
      </c>
      <c r="G1854">
        <v>11</v>
      </c>
      <c r="H1854" t="s">
        <v>37</v>
      </c>
      <c r="I1854" t="s">
        <v>31</v>
      </c>
      <c r="J1854" t="s">
        <v>23</v>
      </c>
      <c r="K1854" s="2">
        <v>38307</v>
      </c>
      <c r="L1854" s="2">
        <v>38333</v>
      </c>
      <c r="M1854" t="s">
        <v>32</v>
      </c>
      <c r="N1854">
        <v>45</v>
      </c>
      <c r="O1854" t="s">
        <v>23</v>
      </c>
      <c r="P1854">
        <v>5</v>
      </c>
      <c r="Q1854" s="1">
        <v>-15.39</v>
      </c>
      <c r="R1854" s="2">
        <f t="shared" si="112"/>
        <v>26</v>
      </c>
      <c r="S1854" s="1">
        <f t="shared" si="113"/>
        <v>6.7872712559062312E-2</v>
      </c>
      <c r="T1854" t="str">
        <f t="shared" si="114"/>
        <v>Intermediate</v>
      </c>
      <c r="U1854" t="str">
        <f t="shared" si="115"/>
        <v>Low Impact</v>
      </c>
    </row>
    <row r="1855" spans="1:21" x14ac:dyDescent="0.3">
      <c r="A1855" t="s">
        <v>1379</v>
      </c>
      <c r="B1855">
        <v>29</v>
      </c>
      <c r="C1855" t="s">
        <v>27</v>
      </c>
      <c r="D1855" t="s">
        <v>28</v>
      </c>
      <c r="E1855" t="s">
        <v>35</v>
      </c>
      <c r="F1855" t="s">
        <v>98</v>
      </c>
      <c r="G1855">
        <v>6</v>
      </c>
      <c r="H1855" t="s">
        <v>31</v>
      </c>
      <c r="I1855" t="s">
        <v>22</v>
      </c>
      <c r="J1855" t="s">
        <v>25</v>
      </c>
      <c r="K1855" s="2">
        <v>76716</v>
      </c>
      <c r="L1855" s="2">
        <v>78885</v>
      </c>
      <c r="M1855" t="s">
        <v>32</v>
      </c>
      <c r="N1855">
        <v>40</v>
      </c>
      <c r="O1855" t="s">
        <v>25</v>
      </c>
      <c r="P1855">
        <v>3</v>
      </c>
      <c r="Q1855" s="1">
        <v>-15.55</v>
      </c>
      <c r="R1855" s="2">
        <f t="shared" si="112"/>
        <v>2169</v>
      </c>
      <c r="S1855" s="1">
        <f t="shared" si="113"/>
        <v>2.8273111215391835</v>
      </c>
      <c r="T1855" t="str">
        <f t="shared" si="114"/>
        <v>Intermediate</v>
      </c>
      <c r="U1855" t="str">
        <f t="shared" si="115"/>
        <v>Low Impact</v>
      </c>
    </row>
    <row r="1856" spans="1:21" x14ac:dyDescent="0.3">
      <c r="A1856" t="s">
        <v>547</v>
      </c>
      <c r="B1856">
        <v>58</v>
      </c>
      <c r="C1856" t="s">
        <v>54</v>
      </c>
      <c r="D1856" t="s">
        <v>19</v>
      </c>
      <c r="E1856" t="s">
        <v>20</v>
      </c>
      <c r="F1856" t="s">
        <v>88</v>
      </c>
      <c r="G1856">
        <v>36</v>
      </c>
      <c r="H1856" t="s">
        <v>22</v>
      </c>
      <c r="I1856" t="s">
        <v>22</v>
      </c>
      <c r="J1856" t="s">
        <v>23</v>
      </c>
      <c r="K1856" s="2">
        <v>93761</v>
      </c>
      <c r="L1856" s="2">
        <v>108400</v>
      </c>
      <c r="M1856" t="s">
        <v>24</v>
      </c>
      <c r="N1856">
        <v>52</v>
      </c>
      <c r="O1856" t="s">
        <v>23</v>
      </c>
      <c r="P1856">
        <v>4</v>
      </c>
      <c r="Q1856" s="1">
        <v>-15.62</v>
      </c>
      <c r="R1856" s="2">
        <f t="shared" si="112"/>
        <v>14639</v>
      </c>
      <c r="S1856" s="1">
        <f t="shared" si="113"/>
        <v>15.613101396102858</v>
      </c>
      <c r="T1856" t="str">
        <f t="shared" si="114"/>
        <v>Expert</v>
      </c>
      <c r="U1856" t="str">
        <f t="shared" si="115"/>
        <v>High Impact</v>
      </c>
    </row>
    <row r="1857" spans="1:21" x14ac:dyDescent="0.3">
      <c r="A1857" t="s">
        <v>505</v>
      </c>
      <c r="B1857">
        <v>35</v>
      </c>
      <c r="C1857" t="s">
        <v>18</v>
      </c>
      <c r="D1857" t="s">
        <v>19</v>
      </c>
      <c r="E1857" t="s">
        <v>51</v>
      </c>
      <c r="F1857" t="s">
        <v>130</v>
      </c>
      <c r="G1857">
        <v>10</v>
      </c>
      <c r="H1857" t="s">
        <v>22</v>
      </c>
      <c r="I1857" t="s">
        <v>22</v>
      </c>
      <c r="J1857" t="s">
        <v>25</v>
      </c>
      <c r="K1857" s="2">
        <v>91388</v>
      </c>
      <c r="L1857" s="2">
        <v>125074</v>
      </c>
      <c r="M1857" t="s">
        <v>24</v>
      </c>
      <c r="N1857">
        <v>53</v>
      </c>
      <c r="O1857" t="s">
        <v>23</v>
      </c>
      <c r="P1857">
        <v>5</v>
      </c>
      <c r="Q1857" s="1">
        <v>-15.66</v>
      </c>
      <c r="R1857" s="2">
        <f t="shared" si="112"/>
        <v>33686</v>
      </c>
      <c r="S1857" s="1">
        <f t="shared" si="113"/>
        <v>36.860419311069286</v>
      </c>
      <c r="T1857" t="str">
        <f t="shared" si="114"/>
        <v>Intermediate</v>
      </c>
      <c r="U1857" t="str">
        <f t="shared" si="115"/>
        <v>High Impact</v>
      </c>
    </row>
    <row r="1858" spans="1:21" x14ac:dyDescent="0.3">
      <c r="A1858" t="s">
        <v>587</v>
      </c>
      <c r="B1858">
        <v>54</v>
      </c>
      <c r="C1858" t="s">
        <v>54</v>
      </c>
      <c r="D1858" t="s">
        <v>19</v>
      </c>
      <c r="E1858" t="s">
        <v>35</v>
      </c>
      <c r="F1858" t="s">
        <v>98</v>
      </c>
      <c r="G1858">
        <v>31</v>
      </c>
      <c r="H1858" t="s">
        <v>31</v>
      </c>
      <c r="I1858" t="s">
        <v>37</v>
      </c>
      <c r="J1858" t="s">
        <v>23</v>
      </c>
      <c r="K1858" s="2">
        <v>111938</v>
      </c>
      <c r="L1858" s="2">
        <v>117717</v>
      </c>
      <c r="M1858" t="s">
        <v>38</v>
      </c>
      <c r="N1858">
        <v>49</v>
      </c>
      <c r="O1858" t="s">
        <v>25</v>
      </c>
      <c r="P1858">
        <v>9</v>
      </c>
      <c r="Q1858" s="1">
        <v>-15.67</v>
      </c>
      <c r="R1858" s="2">
        <f t="shared" ref="R1858:R1921" si="116">L1858-K1858</f>
        <v>5779</v>
      </c>
      <c r="S1858" s="1">
        <f t="shared" ref="S1858:S1921" si="117">(L1858-K1858)/K1858*100</f>
        <v>5.162679340349122</v>
      </c>
      <c r="T1858" t="str">
        <f t="shared" ref="T1858:T1921" si="118">IF(G1858&lt;5,"Beginner",IF(G1858&lt;15,"Intermediate","Expert"))</f>
        <v>Expert</v>
      </c>
      <c r="U1858" t="str">
        <f t="shared" ref="U1858:U1921" si="119">IF(M1858="Replaced","High Impact",IF(M1858="Modified","Medium Impact","Low Impact"))</f>
        <v>Medium Impact</v>
      </c>
    </row>
    <row r="1859" spans="1:21" x14ac:dyDescent="0.3">
      <c r="A1859" t="s">
        <v>822</v>
      </c>
      <c r="B1859">
        <v>41</v>
      </c>
      <c r="C1859" t="s">
        <v>18</v>
      </c>
      <c r="D1859" t="s">
        <v>28</v>
      </c>
      <c r="E1859" t="s">
        <v>59</v>
      </c>
      <c r="F1859" t="s">
        <v>93</v>
      </c>
      <c r="G1859">
        <v>16</v>
      </c>
      <c r="H1859" t="s">
        <v>31</v>
      </c>
      <c r="I1859" t="s">
        <v>31</v>
      </c>
      <c r="J1859" t="s">
        <v>25</v>
      </c>
      <c r="K1859" s="2">
        <v>72674</v>
      </c>
      <c r="L1859" s="2">
        <v>69716</v>
      </c>
      <c r="M1859" t="s">
        <v>32</v>
      </c>
      <c r="N1859">
        <v>50</v>
      </c>
      <c r="O1859" t="s">
        <v>25</v>
      </c>
      <c r="P1859">
        <v>7</v>
      </c>
      <c r="Q1859" s="1">
        <v>-15.73</v>
      </c>
      <c r="R1859" s="2">
        <f t="shared" si="116"/>
        <v>-2958</v>
      </c>
      <c r="S1859" s="1">
        <f t="shared" si="117"/>
        <v>-4.0702314445331202</v>
      </c>
      <c r="T1859" t="str">
        <f t="shared" si="118"/>
        <v>Expert</v>
      </c>
      <c r="U1859" t="str">
        <f t="shared" si="119"/>
        <v>Low Impact</v>
      </c>
    </row>
    <row r="1860" spans="1:21" x14ac:dyDescent="0.3">
      <c r="A1860" t="s">
        <v>103</v>
      </c>
      <c r="B1860">
        <v>28</v>
      </c>
      <c r="C1860" t="s">
        <v>18</v>
      </c>
      <c r="D1860" t="s">
        <v>34</v>
      </c>
      <c r="E1860" t="s">
        <v>29</v>
      </c>
      <c r="F1860" t="s">
        <v>104</v>
      </c>
      <c r="G1860">
        <v>6</v>
      </c>
      <c r="H1860" t="s">
        <v>31</v>
      </c>
      <c r="I1860" t="s">
        <v>37</v>
      </c>
      <c r="J1860" t="s">
        <v>23</v>
      </c>
      <c r="K1860" s="2">
        <v>100316</v>
      </c>
      <c r="L1860" s="2">
        <v>98223</v>
      </c>
      <c r="M1860" t="s">
        <v>38</v>
      </c>
      <c r="N1860">
        <v>48</v>
      </c>
      <c r="O1860" t="s">
        <v>25</v>
      </c>
      <c r="P1860">
        <v>8</v>
      </c>
      <c r="Q1860" s="1">
        <v>-15.74</v>
      </c>
      <c r="R1860" s="2">
        <f t="shared" si="116"/>
        <v>-2093</v>
      </c>
      <c r="S1860" s="1">
        <f t="shared" si="117"/>
        <v>-2.0864069540252799</v>
      </c>
      <c r="T1860" t="str">
        <f t="shared" si="118"/>
        <v>Intermediate</v>
      </c>
      <c r="U1860" t="str">
        <f t="shared" si="119"/>
        <v>Medium Impact</v>
      </c>
    </row>
    <row r="1861" spans="1:21" x14ac:dyDescent="0.3">
      <c r="A1861" t="s">
        <v>1889</v>
      </c>
      <c r="B1861">
        <v>42</v>
      </c>
      <c r="C1861" t="s">
        <v>27</v>
      </c>
      <c r="D1861" t="s">
        <v>40</v>
      </c>
      <c r="E1861" t="s">
        <v>35</v>
      </c>
      <c r="F1861" t="s">
        <v>36</v>
      </c>
      <c r="G1861">
        <v>19</v>
      </c>
      <c r="H1861" t="s">
        <v>22</v>
      </c>
      <c r="I1861" t="s">
        <v>31</v>
      </c>
      <c r="J1861" t="s">
        <v>25</v>
      </c>
      <c r="K1861" s="2">
        <v>72082</v>
      </c>
      <c r="L1861" s="2">
        <v>82860</v>
      </c>
      <c r="M1861" t="s">
        <v>32</v>
      </c>
      <c r="N1861">
        <v>40</v>
      </c>
      <c r="O1861" t="s">
        <v>23</v>
      </c>
      <c r="P1861">
        <v>7</v>
      </c>
      <c r="Q1861" s="1">
        <v>-15.74</v>
      </c>
      <c r="R1861" s="2">
        <f t="shared" si="116"/>
        <v>10778</v>
      </c>
      <c r="S1861" s="1">
        <f t="shared" si="117"/>
        <v>14.952415304791767</v>
      </c>
      <c r="T1861" t="str">
        <f t="shared" si="118"/>
        <v>Expert</v>
      </c>
      <c r="U1861" t="str">
        <f t="shared" si="119"/>
        <v>Low Impact</v>
      </c>
    </row>
    <row r="1862" spans="1:21" x14ac:dyDescent="0.3">
      <c r="A1862" t="s">
        <v>1143</v>
      </c>
      <c r="B1862">
        <v>49</v>
      </c>
      <c r="C1862" t="s">
        <v>27</v>
      </c>
      <c r="D1862" t="s">
        <v>28</v>
      </c>
      <c r="E1862" t="s">
        <v>44</v>
      </c>
      <c r="F1862" t="s">
        <v>45</v>
      </c>
      <c r="G1862">
        <v>23</v>
      </c>
      <c r="H1862" t="s">
        <v>31</v>
      </c>
      <c r="I1862" t="s">
        <v>31</v>
      </c>
      <c r="J1862" t="s">
        <v>23</v>
      </c>
      <c r="K1862" s="2">
        <v>45089</v>
      </c>
      <c r="L1862" s="2">
        <v>49299</v>
      </c>
      <c r="M1862" t="s">
        <v>32</v>
      </c>
      <c r="N1862">
        <v>46</v>
      </c>
      <c r="O1862" t="s">
        <v>23</v>
      </c>
      <c r="P1862">
        <v>3</v>
      </c>
      <c r="Q1862" s="1">
        <v>-15.78</v>
      </c>
      <c r="R1862" s="2">
        <f t="shared" si="116"/>
        <v>4210</v>
      </c>
      <c r="S1862" s="1">
        <f t="shared" si="117"/>
        <v>9.3370888686819402</v>
      </c>
      <c r="T1862" t="str">
        <f t="shared" si="118"/>
        <v>Expert</v>
      </c>
      <c r="U1862" t="str">
        <f t="shared" si="119"/>
        <v>Low Impact</v>
      </c>
    </row>
    <row r="1863" spans="1:21" x14ac:dyDescent="0.3">
      <c r="A1863" t="s">
        <v>1214</v>
      </c>
      <c r="B1863">
        <v>54</v>
      </c>
      <c r="C1863" t="s">
        <v>54</v>
      </c>
      <c r="D1863" t="s">
        <v>40</v>
      </c>
      <c r="E1863" t="s">
        <v>59</v>
      </c>
      <c r="F1863" t="s">
        <v>77</v>
      </c>
      <c r="G1863">
        <v>28</v>
      </c>
      <c r="H1863" t="s">
        <v>31</v>
      </c>
      <c r="I1863" t="s">
        <v>37</v>
      </c>
      <c r="J1863" t="s">
        <v>25</v>
      </c>
      <c r="K1863" s="2">
        <v>90561</v>
      </c>
      <c r="L1863" s="2">
        <v>98908</v>
      </c>
      <c r="M1863" t="s">
        <v>38</v>
      </c>
      <c r="N1863">
        <v>43</v>
      </c>
      <c r="O1863" t="s">
        <v>23</v>
      </c>
      <c r="P1863">
        <v>9</v>
      </c>
      <c r="Q1863" s="1">
        <v>-15.84</v>
      </c>
      <c r="R1863" s="2">
        <f t="shared" si="116"/>
        <v>8347</v>
      </c>
      <c r="S1863" s="1">
        <f t="shared" si="117"/>
        <v>9.2169918618389808</v>
      </c>
      <c r="T1863" t="str">
        <f t="shared" si="118"/>
        <v>Expert</v>
      </c>
      <c r="U1863" t="str">
        <f t="shared" si="119"/>
        <v>Medium Impact</v>
      </c>
    </row>
    <row r="1864" spans="1:21" x14ac:dyDescent="0.3">
      <c r="A1864" t="s">
        <v>2020</v>
      </c>
      <c r="B1864">
        <v>56</v>
      </c>
      <c r="C1864" t="s">
        <v>54</v>
      </c>
      <c r="D1864" t="s">
        <v>19</v>
      </c>
      <c r="E1864" t="s">
        <v>41</v>
      </c>
      <c r="F1864" t="s">
        <v>55</v>
      </c>
      <c r="G1864">
        <v>31</v>
      </c>
      <c r="H1864" t="s">
        <v>37</v>
      </c>
      <c r="I1864" t="s">
        <v>31</v>
      </c>
      <c r="J1864" t="s">
        <v>25</v>
      </c>
      <c r="K1864" s="2">
        <v>44306</v>
      </c>
      <c r="L1864" s="2">
        <v>50050</v>
      </c>
      <c r="M1864" t="s">
        <v>32</v>
      </c>
      <c r="N1864">
        <v>52</v>
      </c>
      <c r="O1864" t="s">
        <v>23</v>
      </c>
      <c r="P1864">
        <v>5</v>
      </c>
      <c r="Q1864" s="1">
        <v>-15.85</v>
      </c>
      <c r="R1864" s="2">
        <f t="shared" si="116"/>
        <v>5744</v>
      </c>
      <c r="S1864" s="1">
        <f t="shared" si="117"/>
        <v>12.964384056335485</v>
      </c>
      <c r="T1864" t="str">
        <f t="shared" si="118"/>
        <v>Expert</v>
      </c>
      <c r="U1864" t="str">
        <f t="shared" si="119"/>
        <v>Low Impact</v>
      </c>
    </row>
    <row r="1865" spans="1:21" x14ac:dyDescent="0.3">
      <c r="A1865" t="s">
        <v>502</v>
      </c>
      <c r="B1865">
        <v>22</v>
      </c>
      <c r="C1865" t="s">
        <v>27</v>
      </c>
      <c r="D1865" t="s">
        <v>28</v>
      </c>
      <c r="E1865" t="s">
        <v>44</v>
      </c>
      <c r="F1865" t="s">
        <v>47</v>
      </c>
      <c r="G1865">
        <v>0</v>
      </c>
      <c r="H1865" t="s">
        <v>22</v>
      </c>
      <c r="I1865" t="s">
        <v>37</v>
      </c>
      <c r="J1865" t="s">
        <v>25</v>
      </c>
      <c r="K1865" s="2">
        <v>62792</v>
      </c>
      <c r="L1865" s="2">
        <v>74078</v>
      </c>
      <c r="M1865" t="s">
        <v>38</v>
      </c>
      <c r="N1865">
        <v>47</v>
      </c>
      <c r="O1865" t="s">
        <v>23</v>
      </c>
      <c r="P1865">
        <v>7</v>
      </c>
      <c r="Q1865" s="1">
        <v>-15.86</v>
      </c>
      <c r="R1865" s="2">
        <f t="shared" si="116"/>
        <v>11286</v>
      </c>
      <c r="S1865" s="1">
        <f t="shared" si="117"/>
        <v>17.973627213657792</v>
      </c>
      <c r="T1865" t="str">
        <f t="shared" si="118"/>
        <v>Beginner</v>
      </c>
      <c r="U1865" t="str">
        <f t="shared" si="119"/>
        <v>Medium Impact</v>
      </c>
    </row>
    <row r="1866" spans="1:21" x14ac:dyDescent="0.3">
      <c r="A1866" t="s">
        <v>636</v>
      </c>
      <c r="B1866">
        <v>24</v>
      </c>
      <c r="C1866" t="s">
        <v>18</v>
      </c>
      <c r="D1866" t="s">
        <v>40</v>
      </c>
      <c r="E1866" t="s">
        <v>29</v>
      </c>
      <c r="F1866" t="s">
        <v>30</v>
      </c>
      <c r="G1866">
        <v>0</v>
      </c>
      <c r="H1866" t="s">
        <v>31</v>
      </c>
      <c r="I1866" t="s">
        <v>22</v>
      </c>
      <c r="J1866" t="s">
        <v>25</v>
      </c>
      <c r="K1866" s="2">
        <v>103933</v>
      </c>
      <c r="L1866" s="2">
        <v>104544</v>
      </c>
      <c r="M1866" t="s">
        <v>32</v>
      </c>
      <c r="N1866">
        <v>38</v>
      </c>
      <c r="O1866" t="s">
        <v>25</v>
      </c>
      <c r="P1866">
        <v>5</v>
      </c>
      <c r="Q1866" s="1">
        <v>-15.88</v>
      </c>
      <c r="R1866" s="2">
        <f t="shared" si="116"/>
        <v>611</v>
      </c>
      <c r="S1866" s="1">
        <f t="shared" si="117"/>
        <v>0.58787872956616283</v>
      </c>
      <c r="T1866" t="str">
        <f t="shared" si="118"/>
        <v>Beginner</v>
      </c>
      <c r="U1866" t="str">
        <f t="shared" si="119"/>
        <v>Low Impact</v>
      </c>
    </row>
    <row r="1867" spans="1:21" x14ac:dyDescent="0.3">
      <c r="A1867" t="s">
        <v>928</v>
      </c>
      <c r="B1867">
        <v>37</v>
      </c>
      <c r="C1867" t="s">
        <v>27</v>
      </c>
      <c r="D1867" t="s">
        <v>28</v>
      </c>
      <c r="E1867" t="s">
        <v>35</v>
      </c>
      <c r="F1867" t="s">
        <v>98</v>
      </c>
      <c r="G1867">
        <v>13</v>
      </c>
      <c r="H1867" t="s">
        <v>31</v>
      </c>
      <c r="I1867" t="s">
        <v>31</v>
      </c>
      <c r="J1867" t="s">
        <v>23</v>
      </c>
      <c r="K1867" s="2">
        <v>107355</v>
      </c>
      <c r="L1867" s="2">
        <v>112429</v>
      </c>
      <c r="M1867" t="s">
        <v>32</v>
      </c>
      <c r="N1867">
        <v>38</v>
      </c>
      <c r="O1867" t="s">
        <v>23</v>
      </c>
      <c r="P1867">
        <v>8</v>
      </c>
      <c r="Q1867" s="1">
        <v>-15.89</v>
      </c>
      <c r="R1867" s="2">
        <f t="shared" si="116"/>
        <v>5074</v>
      </c>
      <c r="S1867" s="1">
        <f t="shared" si="117"/>
        <v>4.7263751106143168</v>
      </c>
      <c r="T1867" t="str">
        <f t="shared" si="118"/>
        <v>Intermediate</v>
      </c>
      <c r="U1867" t="str">
        <f t="shared" si="119"/>
        <v>Low Impact</v>
      </c>
    </row>
    <row r="1868" spans="1:21" x14ac:dyDescent="0.3">
      <c r="A1868" t="s">
        <v>1725</v>
      </c>
      <c r="B1868">
        <v>42</v>
      </c>
      <c r="C1868" t="s">
        <v>54</v>
      </c>
      <c r="D1868" t="s">
        <v>40</v>
      </c>
      <c r="E1868" t="s">
        <v>29</v>
      </c>
      <c r="F1868" t="s">
        <v>104</v>
      </c>
      <c r="G1868">
        <v>16</v>
      </c>
      <c r="H1868" t="s">
        <v>37</v>
      </c>
      <c r="I1868" t="s">
        <v>37</v>
      </c>
      <c r="J1868" t="s">
        <v>25</v>
      </c>
      <c r="K1868" s="2">
        <v>39745</v>
      </c>
      <c r="L1868" s="2">
        <v>40791</v>
      </c>
      <c r="M1868" t="s">
        <v>38</v>
      </c>
      <c r="N1868">
        <v>38</v>
      </c>
      <c r="O1868" t="s">
        <v>23</v>
      </c>
      <c r="P1868">
        <v>8</v>
      </c>
      <c r="Q1868" s="1">
        <v>-15.89</v>
      </c>
      <c r="R1868" s="2">
        <f t="shared" si="116"/>
        <v>1046</v>
      </c>
      <c r="S1868" s="1">
        <f t="shared" si="117"/>
        <v>2.6317775820857969</v>
      </c>
      <c r="T1868" t="str">
        <f t="shared" si="118"/>
        <v>Expert</v>
      </c>
      <c r="U1868" t="str">
        <f t="shared" si="119"/>
        <v>Medium Impact</v>
      </c>
    </row>
    <row r="1869" spans="1:21" x14ac:dyDescent="0.3">
      <c r="A1869" t="s">
        <v>729</v>
      </c>
      <c r="B1869">
        <v>25</v>
      </c>
      <c r="C1869" t="s">
        <v>18</v>
      </c>
      <c r="D1869" t="s">
        <v>34</v>
      </c>
      <c r="E1869" t="s">
        <v>51</v>
      </c>
      <c r="F1869" t="s">
        <v>75</v>
      </c>
      <c r="G1869">
        <v>3</v>
      </c>
      <c r="H1869" t="s">
        <v>37</v>
      </c>
      <c r="I1869" t="s">
        <v>31</v>
      </c>
      <c r="J1869" t="s">
        <v>23</v>
      </c>
      <c r="K1869" s="2">
        <v>35368</v>
      </c>
      <c r="L1869" s="2">
        <v>39415</v>
      </c>
      <c r="M1869" t="s">
        <v>32</v>
      </c>
      <c r="N1869">
        <v>46</v>
      </c>
      <c r="O1869" t="s">
        <v>23</v>
      </c>
      <c r="P1869">
        <v>9</v>
      </c>
      <c r="Q1869" s="1">
        <v>-15.89</v>
      </c>
      <c r="R1869" s="2">
        <f t="shared" si="116"/>
        <v>4047</v>
      </c>
      <c r="S1869" s="1">
        <f t="shared" si="117"/>
        <v>11.442546935082561</v>
      </c>
      <c r="T1869" t="str">
        <f t="shared" si="118"/>
        <v>Beginner</v>
      </c>
      <c r="U1869" t="str">
        <f t="shared" si="119"/>
        <v>Low Impact</v>
      </c>
    </row>
    <row r="1870" spans="1:21" x14ac:dyDescent="0.3">
      <c r="A1870" t="s">
        <v>883</v>
      </c>
      <c r="B1870">
        <v>43</v>
      </c>
      <c r="C1870" t="s">
        <v>18</v>
      </c>
      <c r="D1870" t="s">
        <v>40</v>
      </c>
      <c r="E1870" t="s">
        <v>59</v>
      </c>
      <c r="F1870" t="s">
        <v>60</v>
      </c>
      <c r="G1870">
        <v>20</v>
      </c>
      <c r="H1870" t="s">
        <v>31</v>
      </c>
      <c r="I1870" t="s">
        <v>22</v>
      </c>
      <c r="J1870" t="s">
        <v>23</v>
      </c>
      <c r="K1870" s="2">
        <v>75212</v>
      </c>
      <c r="L1870" s="2">
        <v>72809</v>
      </c>
      <c r="M1870" t="s">
        <v>32</v>
      </c>
      <c r="N1870">
        <v>52</v>
      </c>
      <c r="O1870" t="s">
        <v>25</v>
      </c>
      <c r="P1870">
        <v>9</v>
      </c>
      <c r="Q1870" s="1">
        <v>-15.94</v>
      </c>
      <c r="R1870" s="2">
        <f t="shared" si="116"/>
        <v>-2403</v>
      </c>
      <c r="S1870" s="1">
        <f t="shared" si="117"/>
        <v>-3.1949688879434133</v>
      </c>
      <c r="T1870" t="str">
        <f t="shared" si="118"/>
        <v>Expert</v>
      </c>
      <c r="U1870" t="str">
        <f t="shared" si="119"/>
        <v>Low Impact</v>
      </c>
    </row>
    <row r="1871" spans="1:21" x14ac:dyDescent="0.3">
      <c r="A1871" t="s">
        <v>473</v>
      </c>
      <c r="B1871">
        <v>52</v>
      </c>
      <c r="C1871" t="s">
        <v>18</v>
      </c>
      <c r="D1871" t="s">
        <v>28</v>
      </c>
      <c r="E1871" t="s">
        <v>35</v>
      </c>
      <c r="F1871" t="s">
        <v>36</v>
      </c>
      <c r="G1871">
        <v>30</v>
      </c>
      <c r="H1871" t="s">
        <v>31</v>
      </c>
      <c r="I1871" t="s">
        <v>31</v>
      </c>
      <c r="J1871" t="s">
        <v>23</v>
      </c>
      <c r="K1871" s="2">
        <v>102982</v>
      </c>
      <c r="L1871" s="2">
        <v>110449</v>
      </c>
      <c r="M1871" t="s">
        <v>32</v>
      </c>
      <c r="N1871">
        <v>45</v>
      </c>
      <c r="O1871" t="s">
        <v>23</v>
      </c>
      <c r="P1871">
        <v>4</v>
      </c>
      <c r="Q1871" s="1">
        <v>-15.96</v>
      </c>
      <c r="R1871" s="2">
        <f t="shared" si="116"/>
        <v>7467</v>
      </c>
      <c r="S1871" s="1">
        <f t="shared" si="117"/>
        <v>7.2507816900040778</v>
      </c>
      <c r="T1871" t="str">
        <f t="shared" si="118"/>
        <v>Expert</v>
      </c>
      <c r="U1871" t="str">
        <f t="shared" si="119"/>
        <v>Low Impact</v>
      </c>
    </row>
    <row r="1872" spans="1:21" x14ac:dyDescent="0.3">
      <c r="A1872" t="s">
        <v>849</v>
      </c>
      <c r="B1872">
        <v>46</v>
      </c>
      <c r="C1872" t="s">
        <v>54</v>
      </c>
      <c r="D1872" t="s">
        <v>19</v>
      </c>
      <c r="E1872" t="s">
        <v>35</v>
      </c>
      <c r="F1872" t="s">
        <v>132</v>
      </c>
      <c r="G1872">
        <v>20</v>
      </c>
      <c r="H1872" t="s">
        <v>31</v>
      </c>
      <c r="I1872" t="s">
        <v>22</v>
      </c>
      <c r="J1872" t="s">
        <v>25</v>
      </c>
      <c r="K1872" s="2">
        <v>70581</v>
      </c>
      <c r="L1872" s="2">
        <v>73294</v>
      </c>
      <c r="M1872" t="s">
        <v>32</v>
      </c>
      <c r="N1872">
        <v>43</v>
      </c>
      <c r="O1872" t="s">
        <v>23</v>
      </c>
      <c r="P1872">
        <v>5</v>
      </c>
      <c r="Q1872" s="1">
        <v>-15.96</v>
      </c>
      <c r="R1872" s="2">
        <f t="shared" si="116"/>
        <v>2713</v>
      </c>
      <c r="S1872" s="1">
        <f t="shared" si="117"/>
        <v>3.8438106572590356</v>
      </c>
      <c r="T1872" t="str">
        <f t="shared" si="118"/>
        <v>Expert</v>
      </c>
      <c r="U1872" t="str">
        <f t="shared" si="119"/>
        <v>Low Impact</v>
      </c>
    </row>
    <row r="1873" spans="1:21" x14ac:dyDescent="0.3">
      <c r="A1873" t="s">
        <v>225</v>
      </c>
      <c r="B1873">
        <v>42</v>
      </c>
      <c r="C1873" t="s">
        <v>54</v>
      </c>
      <c r="D1873" t="s">
        <v>40</v>
      </c>
      <c r="E1873" t="s">
        <v>35</v>
      </c>
      <c r="F1873" t="s">
        <v>98</v>
      </c>
      <c r="G1873">
        <v>19</v>
      </c>
      <c r="H1873" t="s">
        <v>22</v>
      </c>
      <c r="I1873" t="s">
        <v>37</v>
      </c>
      <c r="J1873" t="s">
        <v>23</v>
      </c>
      <c r="K1873" s="2">
        <v>68243</v>
      </c>
      <c r="L1873" s="2">
        <v>74989</v>
      </c>
      <c r="M1873" t="s">
        <v>38</v>
      </c>
      <c r="N1873">
        <v>39</v>
      </c>
      <c r="O1873" t="s">
        <v>25</v>
      </c>
      <c r="P1873">
        <v>3</v>
      </c>
      <c r="Q1873" s="1">
        <v>-15.97</v>
      </c>
      <c r="R1873" s="2">
        <f t="shared" si="116"/>
        <v>6746</v>
      </c>
      <c r="S1873" s="1">
        <f t="shared" si="117"/>
        <v>9.8852629573729178</v>
      </c>
      <c r="T1873" t="str">
        <f t="shared" si="118"/>
        <v>Expert</v>
      </c>
      <c r="U1873" t="str">
        <f t="shared" si="119"/>
        <v>Medium Impact</v>
      </c>
    </row>
    <row r="1874" spans="1:21" x14ac:dyDescent="0.3">
      <c r="A1874" t="s">
        <v>1886</v>
      </c>
      <c r="B1874">
        <v>30</v>
      </c>
      <c r="C1874" t="s">
        <v>27</v>
      </c>
      <c r="D1874" t="s">
        <v>34</v>
      </c>
      <c r="E1874" t="s">
        <v>51</v>
      </c>
      <c r="F1874" t="s">
        <v>75</v>
      </c>
      <c r="G1874">
        <v>4</v>
      </c>
      <c r="H1874" t="s">
        <v>37</v>
      </c>
      <c r="I1874" t="s">
        <v>37</v>
      </c>
      <c r="J1874" t="s">
        <v>23</v>
      </c>
      <c r="K1874" s="2">
        <v>47974</v>
      </c>
      <c r="L1874" s="2">
        <v>52381</v>
      </c>
      <c r="M1874" t="s">
        <v>38</v>
      </c>
      <c r="N1874">
        <v>51</v>
      </c>
      <c r="O1874" t="s">
        <v>25</v>
      </c>
      <c r="P1874">
        <v>9</v>
      </c>
      <c r="Q1874" s="1">
        <v>-15.97</v>
      </c>
      <c r="R1874" s="2">
        <f t="shared" si="116"/>
        <v>4407</v>
      </c>
      <c r="S1874" s="1">
        <f t="shared" si="117"/>
        <v>9.1862258723475207</v>
      </c>
      <c r="T1874" t="str">
        <f t="shared" si="118"/>
        <v>Beginner</v>
      </c>
      <c r="U1874" t="str">
        <f t="shared" si="119"/>
        <v>Medium Impact</v>
      </c>
    </row>
    <row r="1875" spans="1:21" x14ac:dyDescent="0.3">
      <c r="A1875" t="s">
        <v>787</v>
      </c>
      <c r="B1875">
        <v>45</v>
      </c>
      <c r="C1875" t="s">
        <v>54</v>
      </c>
      <c r="D1875" t="s">
        <v>34</v>
      </c>
      <c r="E1875" t="s">
        <v>59</v>
      </c>
      <c r="F1875" t="s">
        <v>60</v>
      </c>
      <c r="G1875">
        <v>21</v>
      </c>
      <c r="H1875" t="s">
        <v>22</v>
      </c>
      <c r="I1875" t="s">
        <v>31</v>
      </c>
      <c r="J1875" t="s">
        <v>23</v>
      </c>
      <c r="K1875" s="2">
        <v>79052</v>
      </c>
      <c r="L1875" s="2">
        <v>67398</v>
      </c>
      <c r="M1875" t="s">
        <v>32</v>
      </c>
      <c r="N1875">
        <v>54</v>
      </c>
      <c r="O1875" t="s">
        <v>23</v>
      </c>
      <c r="P1875">
        <v>8</v>
      </c>
      <c r="Q1875" s="1">
        <v>-16.05</v>
      </c>
      <c r="R1875" s="2">
        <f t="shared" si="116"/>
        <v>-11654</v>
      </c>
      <c r="S1875" s="1">
        <f t="shared" si="117"/>
        <v>-14.742195010878914</v>
      </c>
      <c r="T1875" t="str">
        <f t="shared" si="118"/>
        <v>Expert</v>
      </c>
      <c r="U1875" t="str">
        <f t="shared" si="119"/>
        <v>Low Impact</v>
      </c>
    </row>
    <row r="1876" spans="1:21" x14ac:dyDescent="0.3">
      <c r="A1876" t="s">
        <v>1218</v>
      </c>
      <c r="B1876">
        <v>55</v>
      </c>
      <c r="C1876" t="s">
        <v>54</v>
      </c>
      <c r="D1876" t="s">
        <v>19</v>
      </c>
      <c r="E1876" t="s">
        <v>20</v>
      </c>
      <c r="F1876" t="s">
        <v>88</v>
      </c>
      <c r="G1876">
        <v>31</v>
      </c>
      <c r="H1876" t="s">
        <v>31</v>
      </c>
      <c r="I1876" t="s">
        <v>37</v>
      </c>
      <c r="J1876" t="s">
        <v>25</v>
      </c>
      <c r="K1876" s="2">
        <v>37833</v>
      </c>
      <c r="L1876" s="2">
        <v>36791</v>
      </c>
      <c r="M1876" t="s">
        <v>38</v>
      </c>
      <c r="N1876">
        <v>39</v>
      </c>
      <c r="O1876" t="s">
        <v>25</v>
      </c>
      <c r="P1876">
        <v>5</v>
      </c>
      <c r="Q1876" s="1">
        <v>-16.07</v>
      </c>
      <c r="R1876" s="2">
        <f t="shared" si="116"/>
        <v>-1042</v>
      </c>
      <c r="S1876" s="1">
        <f t="shared" si="117"/>
        <v>-2.7542092881875613</v>
      </c>
      <c r="T1876" t="str">
        <f t="shared" si="118"/>
        <v>Expert</v>
      </c>
      <c r="U1876" t="str">
        <f t="shared" si="119"/>
        <v>Medium Impact</v>
      </c>
    </row>
    <row r="1877" spans="1:21" x14ac:dyDescent="0.3">
      <c r="A1877" t="s">
        <v>411</v>
      </c>
      <c r="B1877">
        <v>52</v>
      </c>
      <c r="C1877" t="s">
        <v>54</v>
      </c>
      <c r="D1877" t="s">
        <v>28</v>
      </c>
      <c r="E1877" t="s">
        <v>20</v>
      </c>
      <c r="F1877" t="s">
        <v>88</v>
      </c>
      <c r="G1877">
        <v>29</v>
      </c>
      <c r="H1877" t="s">
        <v>37</v>
      </c>
      <c r="I1877" t="s">
        <v>37</v>
      </c>
      <c r="J1877" t="s">
        <v>23</v>
      </c>
      <c r="K1877" s="2">
        <v>37896</v>
      </c>
      <c r="L1877" s="2">
        <v>42936</v>
      </c>
      <c r="M1877" t="s">
        <v>38</v>
      </c>
      <c r="N1877">
        <v>47</v>
      </c>
      <c r="O1877" t="s">
        <v>25</v>
      </c>
      <c r="P1877">
        <v>6</v>
      </c>
      <c r="Q1877" s="1">
        <v>-16.079999999999998</v>
      </c>
      <c r="R1877" s="2">
        <f t="shared" si="116"/>
        <v>5040</v>
      </c>
      <c r="S1877" s="1">
        <f t="shared" si="117"/>
        <v>13.299556681443953</v>
      </c>
      <c r="T1877" t="str">
        <f t="shared" si="118"/>
        <v>Expert</v>
      </c>
      <c r="U1877" t="str">
        <f t="shared" si="119"/>
        <v>Medium Impact</v>
      </c>
    </row>
    <row r="1878" spans="1:21" x14ac:dyDescent="0.3">
      <c r="A1878" t="s">
        <v>251</v>
      </c>
      <c r="B1878">
        <v>34</v>
      </c>
      <c r="C1878" t="s">
        <v>18</v>
      </c>
      <c r="D1878" t="s">
        <v>40</v>
      </c>
      <c r="E1878" t="s">
        <v>59</v>
      </c>
      <c r="F1878" t="s">
        <v>60</v>
      </c>
      <c r="G1878">
        <v>11</v>
      </c>
      <c r="H1878" t="s">
        <v>37</v>
      </c>
      <c r="I1878" t="s">
        <v>22</v>
      </c>
      <c r="J1878" t="s">
        <v>25</v>
      </c>
      <c r="K1878" s="2">
        <v>78280</v>
      </c>
      <c r="L1878" s="2">
        <v>87908</v>
      </c>
      <c r="M1878" t="s">
        <v>32</v>
      </c>
      <c r="N1878">
        <v>42</v>
      </c>
      <c r="O1878" t="s">
        <v>23</v>
      </c>
      <c r="P1878">
        <v>6</v>
      </c>
      <c r="Q1878" s="1">
        <v>-16.100000000000001</v>
      </c>
      <c r="R1878" s="2">
        <f t="shared" si="116"/>
        <v>9628</v>
      </c>
      <c r="S1878" s="1">
        <f t="shared" si="117"/>
        <v>12.299437915176291</v>
      </c>
      <c r="T1878" t="str">
        <f t="shared" si="118"/>
        <v>Intermediate</v>
      </c>
      <c r="U1878" t="str">
        <f t="shared" si="119"/>
        <v>Low Impact</v>
      </c>
    </row>
    <row r="1879" spans="1:21" x14ac:dyDescent="0.3">
      <c r="A1879" t="s">
        <v>1166</v>
      </c>
      <c r="B1879">
        <v>55</v>
      </c>
      <c r="C1879" t="s">
        <v>18</v>
      </c>
      <c r="D1879" t="s">
        <v>40</v>
      </c>
      <c r="E1879" t="s">
        <v>29</v>
      </c>
      <c r="F1879" t="s">
        <v>30</v>
      </c>
      <c r="G1879">
        <v>29</v>
      </c>
      <c r="H1879" t="s">
        <v>22</v>
      </c>
      <c r="I1879" t="s">
        <v>37</v>
      </c>
      <c r="J1879" t="s">
        <v>23</v>
      </c>
      <c r="K1879" s="2">
        <v>60028</v>
      </c>
      <c r="L1879" s="2">
        <v>72283</v>
      </c>
      <c r="M1879" t="s">
        <v>38</v>
      </c>
      <c r="N1879">
        <v>46</v>
      </c>
      <c r="O1879" t="s">
        <v>25</v>
      </c>
      <c r="P1879">
        <v>3</v>
      </c>
      <c r="Q1879" s="1">
        <v>-16.11</v>
      </c>
      <c r="R1879" s="2">
        <f t="shared" si="116"/>
        <v>12255</v>
      </c>
      <c r="S1879" s="1">
        <f t="shared" si="117"/>
        <v>20.41547277936963</v>
      </c>
      <c r="T1879" t="str">
        <f t="shared" si="118"/>
        <v>Expert</v>
      </c>
      <c r="U1879" t="str">
        <f t="shared" si="119"/>
        <v>Medium Impact</v>
      </c>
    </row>
    <row r="1880" spans="1:21" x14ac:dyDescent="0.3">
      <c r="A1880" t="s">
        <v>398</v>
      </c>
      <c r="B1880">
        <v>38</v>
      </c>
      <c r="C1880" t="s">
        <v>54</v>
      </c>
      <c r="D1880" t="s">
        <v>34</v>
      </c>
      <c r="E1880" t="s">
        <v>51</v>
      </c>
      <c r="F1880" t="s">
        <v>75</v>
      </c>
      <c r="G1880">
        <v>13</v>
      </c>
      <c r="H1880" t="s">
        <v>37</v>
      </c>
      <c r="I1880" t="s">
        <v>22</v>
      </c>
      <c r="J1880" t="s">
        <v>25</v>
      </c>
      <c r="K1880" s="2">
        <v>66060</v>
      </c>
      <c r="L1880" s="2">
        <v>72183</v>
      </c>
      <c r="M1880" t="s">
        <v>32</v>
      </c>
      <c r="N1880">
        <v>50</v>
      </c>
      <c r="O1880" t="s">
        <v>25</v>
      </c>
      <c r="P1880">
        <v>4</v>
      </c>
      <c r="Q1880" s="1">
        <v>-16.11</v>
      </c>
      <c r="R1880" s="2">
        <f t="shared" si="116"/>
        <v>6123</v>
      </c>
      <c r="S1880" s="1">
        <f t="shared" si="117"/>
        <v>9.2688465031789278</v>
      </c>
      <c r="T1880" t="str">
        <f t="shared" si="118"/>
        <v>Intermediate</v>
      </c>
      <c r="U1880" t="str">
        <f t="shared" si="119"/>
        <v>Low Impact</v>
      </c>
    </row>
    <row r="1881" spans="1:21" x14ac:dyDescent="0.3">
      <c r="A1881" t="s">
        <v>453</v>
      </c>
      <c r="B1881">
        <v>30</v>
      </c>
      <c r="C1881" t="s">
        <v>18</v>
      </c>
      <c r="D1881" t="s">
        <v>19</v>
      </c>
      <c r="E1881" t="s">
        <v>51</v>
      </c>
      <c r="F1881" t="s">
        <v>75</v>
      </c>
      <c r="G1881">
        <v>4</v>
      </c>
      <c r="H1881" t="s">
        <v>37</v>
      </c>
      <c r="I1881" t="s">
        <v>31</v>
      </c>
      <c r="J1881" t="s">
        <v>23</v>
      </c>
      <c r="K1881" s="2">
        <v>76403</v>
      </c>
      <c r="L1881" s="2">
        <v>88670</v>
      </c>
      <c r="M1881" t="s">
        <v>32</v>
      </c>
      <c r="N1881">
        <v>35</v>
      </c>
      <c r="O1881" t="s">
        <v>25</v>
      </c>
      <c r="P1881">
        <v>7</v>
      </c>
      <c r="Q1881" s="1">
        <v>-16.12</v>
      </c>
      <c r="R1881" s="2">
        <f t="shared" si="116"/>
        <v>12267</v>
      </c>
      <c r="S1881" s="1">
        <f t="shared" si="117"/>
        <v>16.05565226496342</v>
      </c>
      <c r="T1881" t="str">
        <f t="shared" si="118"/>
        <v>Beginner</v>
      </c>
      <c r="U1881" t="str">
        <f t="shared" si="119"/>
        <v>Low Impact</v>
      </c>
    </row>
    <row r="1882" spans="1:21" x14ac:dyDescent="0.3">
      <c r="A1882" t="s">
        <v>182</v>
      </c>
      <c r="B1882">
        <v>54</v>
      </c>
      <c r="C1882" t="s">
        <v>54</v>
      </c>
      <c r="D1882" t="s">
        <v>40</v>
      </c>
      <c r="E1882" t="s">
        <v>29</v>
      </c>
      <c r="F1882" t="s">
        <v>30</v>
      </c>
      <c r="G1882">
        <v>31</v>
      </c>
      <c r="H1882" t="s">
        <v>22</v>
      </c>
      <c r="I1882" t="s">
        <v>31</v>
      </c>
      <c r="J1882" t="s">
        <v>25</v>
      </c>
      <c r="K1882" s="2">
        <v>89383</v>
      </c>
      <c r="L1882" s="2">
        <v>78715</v>
      </c>
      <c r="M1882" t="s">
        <v>32</v>
      </c>
      <c r="N1882">
        <v>46</v>
      </c>
      <c r="O1882" t="s">
        <v>25</v>
      </c>
      <c r="P1882">
        <v>4</v>
      </c>
      <c r="Q1882" s="1">
        <v>-16.2</v>
      </c>
      <c r="R1882" s="2">
        <f t="shared" si="116"/>
        <v>-10668</v>
      </c>
      <c r="S1882" s="1">
        <f t="shared" si="117"/>
        <v>-11.93515545461665</v>
      </c>
      <c r="T1882" t="str">
        <f t="shared" si="118"/>
        <v>Expert</v>
      </c>
      <c r="U1882" t="str">
        <f t="shared" si="119"/>
        <v>Low Impact</v>
      </c>
    </row>
    <row r="1883" spans="1:21" x14ac:dyDescent="0.3">
      <c r="A1883" t="s">
        <v>944</v>
      </c>
      <c r="B1883">
        <v>48</v>
      </c>
      <c r="C1883" t="s">
        <v>18</v>
      </c>
      <c r="D1883" t="s">
        <v>40</v>
      </c>
      <c r="E1883" t="s">
        <v>41</v>
      </c>
      <c r="F1883" t="s">
        <v>55</v>
      </c>
      <c r="G1883">
        <v>25</v>
      </c>
      <c r="H1883" t="s">
        <v>37</v>
      </c>
      <c r="I1883" t="s">
        <v>31</v>
      </c>
      <c r="J1883" t="s">
        <v>23</v>
      </c>
      <c r="K1883" s="2">
        <v>47400</v>
      </c>
      <c r="L1883" s="2">
        <v>53591</v>
      </c>
      <c r="M1883" t="s">
        <v>32</v>
      </c>
      <c r="N1883">
        <v>45</v>
      </c>
      <c r="O1883" t="s">
        <v>23</v>
      </c>
      <c r="P1883">
        <v>9</v>
      </c>
      <c r="Q1883" s="1">
        <v>-16.28</v>
      </c>
      <c r="R1883" s="2">
        <f t="shared" si="116"/>
        <v>6191</v>
      </c>
      <c r="S1883" s="1">
        <f t="shared" si="117"/>
        <v>13.061181434599156</v>
      </c>
      <c r="T1883" t="str">
        <f t="shared" si="118"/>
        <v>Expert</v>
      </c>
      <c r="U1883" t="str">
        <f t="shared" si="119"/>
        <v>Low Impact</v>
      </c>
    </row>
    <row r="1884" spans="1:21" x14ac:dyDescent="0.3">
      <c r="A1884" t="s">
        <v>260</v>
      </c>
      <c r="B1884">
        <v>34</v>
      </c>
      <c r="C1884" t="s">
        <v>27</v>
      </c>
      <c r="D1884" t="s">
        <v>28</v>
      </c>
      <c r="E1884" t="s">
        <v>41</v>
      </c>
      <c r="F1884" t="s">
        <v>49</v>
      </c>
      <c r="G1884">
        <v>9</v>
      </c>
      <c r="H1884" t="s">
        <v>22</v>
      </c>
      <c r="I1884" t="s">
        <v>22</v>
      </c>
      <c r="J1884" t="s">
        <v>25</v>
      </c>
      <c r="K1884" s="2">
        <v>115956</v>
      </c>
      <c r="L1884" s="2">
        <v>161745</v>
      </c>
      <c r="M1884" t="s">
        <v>38</v>
      </c>
      <c r="N1884">
        <v>47</v>
      </c>
      <c r="O1884" t="s">
        <v>23</v>
      </c>
      <c r="P1884">
        <v>8</v>
      </c>
      <c r="Q1884" s="1">
        <v>-16.309999999999999</v>
      </c>
      <c r="R1884" s="2">
        <f t="shared" si="116"/>
        <v>45789</v>
      </c>
      <c r="S1884" s="1">
        <f t="shared" si="117"/>
        <v>39.488254165373071</v>
      </c>
      <c r="T1884" t="str">
        <f t="shared" si="118"/>
        <v>Intermediate</v>
      </c>
      <c r="U1884" t="str">
        <f t="shared" si="119"/>
        <v>Medium Impact</v>
      </c>
    </row>
    <row r="1885" spans="1:21" x14ac:dyDescent="0.3">
      <c r="A1885" t="s">
        <v>1603</v>
      </c>
      <c r="B1885">
        <v>36</v>
      </c>
      <c r="C1885" t="s">
        <v>18</v>
      </c>
      <c r="D1885" t="s">
        <v>34</v>
      </c>
      <c r="E1885" t="s">
        <v>41</v>
      </c>
      <c r="F1885" t="s">
        <v>55</v>
      </c>
      <c r="G1885">
        <v>11</v>
      </c>
      <c r="H1885" t="s">
        <v>22</v>
      </c>
      <c r="I1885" t="s">
        <v>22</v>
      </c>
      <c r="J1885" t="s">
        <v>25</v>
      </c>
      <c r="K1885" s="2">
        <v>48361</v>
      </c>
      <c r="L1885" s="2">
        <v>38899</v>
      </c>
      <c r="M1885" t="s">
        <v>24</v>
      </c>
      <c r="N1885">
        <v>49</v>
      </c>
      <c r="O1885" t="s">
        <v>25</v>
      </c>
      <c r="P1885">
        <v>6</v>
      </c>
      <c r="Q1885" s="1">
        <v>-16.350000000000001</v>
      </c>
      <c r="R1885" s="2">
        <f t="shared" si="116"/>
        <v>-9462</v>
      </c>
      <c r="S1885" s="1">
        <f t="shared" si="117"/>
        <v>-19.565352246645023</v>
      </c>
      <c r="T1885" t="str">
        <f t="shared" si="118"/>
        <v>Intermediate</v>
      </c>
      <c r="U1885" t="str">
        <f t="shared" si="119"/>
        <v>High Impact</v>
      </c>
    </row>
    <row r="1886" spans="1:21" x14ac:dyDescent="0.3">
      <c r="A1886" t="s">
        <v>770</v>
      </c>
      <c r="B1886">
        <v>34</v>
      </c>
      <c r="C1886" t="s">
        <v>27</v>
      </c>
      <c r="D1886" t="s">
        <v>19</v>
      </c>
      <c r="E1886" t="s">
        <v>35</v>
      </c>
      <c r="F1886" t="s">
        <v>132</v>
      </c>
      <c r="G1886">
        <v>12</v>
      </c>
      <c r="H1886" t="s">
        <v>31</v>
      </c>
      <c r="I1886" t="s">
        <v>31</v>
      </c>
      <c r="J1886" t="s">
        <v>23</v>
      </c>
      <c r="K1886" s="2">
        <v>88741</v>
      </c>
      <c r="L1886" s="2">
        <v>87215</v>
      </c>
      <c r="M1886" t="s">
        <v>32</v>
      </c>
      <c r="N1886">
        <v>50</v>
      </c>
      <c r="O1886" t="s">
        <v>25</v>
      </c>
      <c r="P1886">
        <v>7</v>
      </c>
      <c r="Q1886" s="1">
        <v>-16.399999999999999</v>
      </c>
      <c r="R1886" s="2">
        <f t="shared" si="116"/>
        <v>-1526</v>
      </c>
      <c r="S1886" s="1">
        <f t="shared" si="117"/>
        <v>-1.7196110028059184</v>
      </c>
      <c r="T1886" t="str">
        <f t="shared" si="118"/>
        <v>Intermediate</v>
      </c>
      <c r="U1886" t="str">
        <f t="shared" si="119"/>
        <v>Low Impact</v>
      </c>
    </row>
    <row r="1887" spans="1:21" x14ac:dyDescent="0.3">
      <c r="A1887" t="s">
        <v>362</v>
      </c>
      <c r="B1887">
        <v>46</v>
      </c>
      <c r="C1887" t="s">
        <v>27</v>
      </c>
      <c r="D1887" t="s">
        <v>28</v>
      </c>
      <c r="E1887" t="s">
        <v>59</v>
      </c>
      <c r="F1887" t="s">
        <v>60</v>
      </c>
      <c r="G1887">
        <v>23</v>
      </c>
      <c r="H1887" t="s">
        <v>22</v>
      </c>
      <c r="I1887" t="s">
        <v>22</v>
      </c>
      <c r="J1887" t="s">
        <v>23</v>
      </c>
      <c r="K1887" s="2">
        <v>85677</v>
      </c>
      <c r="L1887" s="2">
        <v>119683</v>
      </c>
      <c r="M1887" t="s">
        <v>38</v>
      </c>
      <c r="N1887">
        <v>49</v>
      </c>
      <c r="O1887" t="s">
        <v>23</v>
      </c>
      <c r="P1887">
        <v>3</v>
      </c>
      <c r="Q1887" s="1">
        <v>-16.53</v>
      </c>
      <c r="R1887" s="2">
        <f t="shared" si="116"/>
        <v>34006</v>
      </c>
      <c r="S1887" s="1">
        <f t="shared" si="117"/>
        <v>39.690932222183321</v>
      </c>
      <c r="T1887" t="str">
        <f t="shared" si="118"/>
        <v>Expert</v>
      </c>
      <c r="U1887" t="str">
        <f t="shared" si="119"/>
        <v>Medium Impact</v>
      </c>
    </row>
    <row r="1888" spans="1:21" x14ac:dyDescent="0.3">
      <c r="A1888" t="s">
        <v>1242</v>
      </c>
      <c r="B1888">
        <v>49</v>
      </c>
      <c r="C1888" t="s">
        <v>18</v>
      </c>
      <c r="D1888" t="s">
        <v>28</v>
      </c>
      <c r="E1888" t="s">
        <v>20</v>
      </c>
      <c r="F1888" t="s">
        <v>88</v>
      </c>
      <c r="G1888">
        <v>23</v>
      </c>
      <c r="H1888" t="s">
        <v>37</v>
      </c>
      <c r="I1888" t="s">
        <v>22</v>
      </c>
      <c r="J1888" t="s">
        <v>23</v>
      </c>
      <c r="K1888" s="2">
        <v>111552</v>
      </c>
      <c r="L1888" s="2">
        <v>118027</v>
      </c>
      <c r="M1888" t="s">
        <v>32</v>
      </c>
      <c r="N1888">
        <v>45</v>
      </c>
      <c r="O1888" t="s">
        <v>23</v>
      </c>
      <c r="P1888">
        <v>6</v>
      </c>
      <c r="Q1888" s="1">
        <v>-16.57</v>
      </c>
      <c r="R1888" s="2">
        <f t="shared" si="116"/>
        <v>6475</v>
      </c>
      <c r="S1888" s="1">
        <f t="shared" si="117"/>
        <v>5.8044678714859437</v>
      </c>
      <c r="T1888" t="str">
        <f t="shared" si="118"/>
        <v>Expert</v>
      </c>
      <c r="U1888" t="str">
        <f t="shared" si="119"/>
        <v>Low Impact</v>
      </c>
    </row>
    <row r="1889" spans="1:21" x14ac:dyDescent="0.3">
      <c r="A1889" t="s">
        <v>1040</v>
      </c>
      <c r="B1889">
        <v>37</v>
      </c>
      <c r="C1889" t="s">
        <v>54</v>
      </c>
      <c r="D1889" t="s">
        <v>19</v>
      </c>
      <c r="E1889" t="s">
        <v>59</v>
      </c>
      <c r="F1889" t="s">
        <v>77</v>
      </c>
      <c r="G1889">
        <v>12</v>
      </c>
      <c r="H1889" t="s">
        <v>22</v>
      </c>
      <c r="I1889" t="s">
        <v>37</v>
      </c>
      <c r="J1889" t="s">
        <v>25</v>
      </c>
      <c r="K1889" s="2">
        <v>119452</v>
      </c>
      <c r="L1889" s="2">
        <v>108766</v>
      </c>
      <c r="M1889" t="s">
        <v>38</v>
      </c>
      <c r="N1889">
        <v>43</v>
      </c>
      <c r="O1889" t="s">
        <v>23</v>
      </c>
      <c r="P1889">
        <v>7</v>
      </c>
      <c r="Q1889" s="1">
        <v>-16.579999999999998</v>
      </c>
      <c r="R1889" s="2">
        <f t="shared" si="116"/>
        <v>-10686</v>
      </c>
      <c r="S1889" s="1">
        <f t="shared" si="117"/>
        <v>-8.9458527274553798</v>
      </c>
      <c r="T1889" t="str">
        <f t="shared" si="118"/>
        <v>Intermediate</v>
      </c>
      <c r="U1889" t="str">
        <f t="shared" si="119"/>
        <v>Medium Impact</v>
      </c>
    </row>
    <row r="1890" spans="1:21" x14ac:dyDescent="0.3">
      <c r="A1890" t="s">
        <v>1387</v>
      </c>
      <c r="B1890">
        <v>24</v>
      </c>
      <c r="C1890" t="s">
        <v>18</v>
      </c>
      <c r="D1890" t="s">
        <v>19</v>
      </c>
      <c r="E1890" t="s">
        <v>29</v>
      </c>
      <c r="F1890" t="s">
        <v>104</v>
      </c>
      <c r="G1890">
        <v>0</v>
      </c>
      <c r="H1890" t="s">
        <v>22</v>
      </c>
      <c r="I1890" t="s">
        <v>37</v>
      </c>
      <c r="J1890" t="s">
        <v>23</v>
      </c>
      <c r="K1890" s="2">
        <v>52257</v>
      </c>
      <c r="L1890" s="2">
        <v>61349</v>
      </c>
      <c r="M1890" t="s">
        <v>38</v>
      </c>
      <c r="N1890">
        <v>44</v>
      </c>
      <c r="O1890" t="s">
        <v>23</v>
      </c>
      <c r="P1890">
        <v>3</v>
      </c>
      <c r="Q1890" s="1">
        <v>-16.62</v>
      </c>
      <c r="R1890" s="2">
        <f t="shared" si="116"/>
        <v>9092</v>
      </c>
      <c r="S1890" s="1">
        <f t="shared" si="117"/>
        <v>17.398626021394261</v>
      </c>
      <c r="T1890" t="str">
        <f t="shared" si="118"/>
        <v>Beginner</v>
      </c>
      <c r="U1890" t="str">
        <f t="shared" si="119"/>
        <v>Medium Impact</v>
      </c>
    </row>
    <row r="1891" spans="1:21" x14ac:dyDescent="0.3">
      <c r="A1891" t="s">
        <v>405</v>
      </c>
      <c r="B1891">
        <v>38</v>
      </c>
      <c r="C1891" t="s">
        <v>18</v>
      </c>
      <c r="D1891" t="s">
        <v>19</v>
      </c>
      <c r="E1891" t="s">
        <v>44</v>
      </c>
      <c r="F1891" t="s">
        <v>57</v>
      </c>
      <c r="G1891">
        <v>14</v>
      </c>
      <c r="H1891" t="s">
        <v>22</v>
      </c>
      <c r="I1891" t="s">
        <v>31</v>
      </c>
      <c r="J1891" t="s">
        <v>23</v>
      </c>
      <c r="K1891" s="2">
        <v>113820</v>
      </c>
      <c r="L1891" s="2">
        <v>144500</v>
      </c>
      <c r="M1891" t="s">
        <v>32</v>
      </c>
      <c r="N1891">
        <v>37</v>
      </c>
      <c r="O1891" t="s">
        <v>25</v>
      </c>
      <c r="P1891">
        <v>8</v>
      </c>
      <c r="Q1891" s="1">
        <v>-16.63</v>
      </c>
      <c r="R1891" s="2">
        <f t="shared" si="116"/>
        <v>30680</v>
      </c>
      <c r="S1891" s="1">
        <f t="shared" si="117"/>
        <v>26.954840976981199</v>
      </c>
      <c r="T1891" t="str">
        <f t="shared" si="118"/>
        <v>Intermediate</v>
      </c>
      <c r="U1891" t="str">
        <f t="shared" si="119"/>
        <v>Low Impact</v>
      </c>
    </row>
    <row r="1892" spans="1:21" x14ac:dyDescent="0.3">
      <c r="A1892" t="s">
        <v>876</v>
      </c>
      <c r="B1892">
        <v>53</v>
      </c>
      <c r="C1892" t="s">
        <v>27</v>
      </c>
      <c r="D1892" t="s">
        <v>19</v>
      </c>
      <c r="E1892" t="s">
        <v>41</v>
      </c>
      <c r="F1892" t="s">
        <v>49</v>
      </c>
      <c r="G1892">
        <v>28</v>
      </c>
      <c r="H1892" t="s">
        <v>22</v>
      </c>
      <c r="I1892" t="s">
        <v>22</v>
      </c>
      <c r="J1892" t="s">
        <v>25</v>
      </c>
      <c r="K1892" s="2">
        <v>59424</v>
      </c>
      <c r="L1892" s="2">
        <v>55437</v>
      </c>
      <c r="M1892" t="s">
        <v>38</v>
      </c>
      <c r="N1892">
        <v>49</v>
      </c>
      <c r="O1892" t="s">
        <v>25</v>
      </c>
      <c r="P1892">
        <v>6</v>
      </c>
      <c r="Q1892" s="1">
        <v>-16.63</v>
      </c>
      <c r="R1892" s="2">
        <f t="shared" si="116"/>
        <v>-3987</v>
      </c>
      <c r="S1892" s="1">
        <f t="shared" si="117"/>
        <v>-6.7094103392568663</v>
      </c>
      <c r="T1892" t="str">
        <f t="shared" si="118"/>
        <v>Expert</v>
      </c>
      <c r="U1892" t="str">
        <f t="shared" si="119"/>
        <v>Medium Impact</v>
      </c>
    </row>
    <row r="1893" spans="1:21" x14ac:dyDescent="0.3">
      <c r="A1893" t="s">
        <v>1133</v>
      </c>
      <c r="B1893">
        <v>25</v>
      </c>
      <c r="C1893" t="s">
        <v>27</v>
      </c>
      <c r="D1893" t="s">
        <v>28</v>
      </c>
      <c r="E1893" t="s">
        <v>41</v>
      </c>
      <c r="F1893" t="s">
        <v>55</v>
      </c>
      <c r="G1893">
        <v>0</v>
      </c>
      <c r="H1893" t="s">
        <v>31</v>
      </c>
      <c r="I1893" t="s">
        <v>31</v>
      </c>
      <c r="J1893" t="s">
        <v>25</v>
      </c>
      <c r="K1893" s="2">
        <v>62376</v>
      </c>
      <c r="L1893" s="2">
        <v>68487</v>
      </c>
      <c r="M1893" t="s">
        <v>32</v>
      </c>
      <c r="N1893">
        <v>52</v>
      </c>
      <c r="O1893" t="s">
        <v>23</v>
      </c>
      <c r="P1893">
        <v>3</v>
      </c>
      <c r="Q1893" s="1">
        <v>-16.64</v>
      </c>
      <c r="R1893" s="2">
        <f t="shared" si="116"/>
        <v>6111</v>
      </c>
      <c r="S1893" s="1">
        <f t="shared" si="117"/>
        <v>9.7970373220469398</v>
      </c>
      <c r="T1893" t="str">
        <f t="shared" si="118"/>
        <v>Beginner</v>
      </c>
      <c r="U1893" t="str">
        <f t="shared" si="119"/>
        <v>Low Impact</v>
      </c>
    </row>
    <row r="1894" spans="1:21" x14ac:dyDescent="0.3">
      <c r="A1894" t="s">
        <v>1664</v>
      </c>
      <c r="B1894">
        <v>24</v>
      </c>
      <c r="C1894" t="s">
        <v>18</v>
      </c>
      <c r="D1894" t="s">
        <v>40</v>
      </c>
      <c r="E1894" t="s">
        <v>59</v>
      </c>
      <c r="F1894" t="s">
        <v>93</v>
      </c>
      <c r="G1894">
        <v>0</v>
      </c>
      <c r="H1894" t="s">
        <v>31</v>
      </c>
      <c r="I1894" t="s">
        <v>37</v>
      </c>
      <c r="J1894" t="s">
        <v>23</v>
      </c>
      <c r="K1894" s="2">
        <v>101835</v>
      </c>
      <c r="L1894" s="2">
        <v>100157</v>
      </c>
      <c r="M1894" t="s">
        <v>38</v>
      </c>
      <c r="N1894">
        <v>45</v>
      </c>
      <c r="O1894" t="s">
        <v>25</v>
      </c>
      <c r="P1894">
        <v>8</v>
      </c>
      <c r="Q1894" s="1">
        <v>-16.66</v>
      </c>
      <c r="R1894" s="2">
        <f t="shared" si="116"/>
        <v>-1678</v>
      </c>
      <c r="S1894" s="1">
        <f t="shared" si="117"/>
        <v>-1.6477635390582805</v>
      </c>
      <c r="T1894" t="str">
        <f t="shared" si="118"/>
        <v>Beginner</v>
      </c>
      <c r="U1894" t="str">
        <f t="shared" si="119"/>
        <v>Medium Impact</v>
      </c>
    </row>
    <row r="1895" spans="1:21" x14ac:dyDescent="0.3">
      <c r="A1895" t="s">
        <v>1031</v>
      </c>
      <c r="B1895">
        <v>39</v>
      </c>
      <c r="C1895" t="s">
        <v>54</v>
      </c>
      <c r="D1895" t="s">
        <v>28</v>
      </c>
      <c r="E1895" t="s">
        <v>44</v>
      </c>
      <c r="F1895" t="s">
        <v>57</v>
      </c>
      <c r="G1895">
        <v>14</v>
      </c>
      <c r="H1895" t="s">
        <v>31</v>
      </c>
      <c r="I1895" t="s">
        <v>22</v>
      </c>
      <c r="J1895" t="s">
        <v>25</v>
      </c>
      <c r="K1895" s="2">
        <v>90924</v>
      </c>
      <c r="L1895" s="2">
        <v>92642</v>
      </c>
      <c r="M1895" t="s">
        <v>32</v>
      </c>
      <c r="N1895">
        <v>36</v>
      </c>
      <c r="O1895" t="s">
        <v>25</v>
      </c>
      <c r="P1895">
        <v>4</v>
      </c>
      <c r="Q1895" s="1">
        <v>-16.690000000000001</v>
      </c>
      <c r="R1895" s="2">
        <f t="shared" si="116"/>
        <v>1718</v>
      </c>
      <c r="S1895" s="1">
        <f t="shared" si="117"/>
        <v>1.8894901236197266</v>
      </c>
      <c r="T1895" t="str">
        <f t="shared" si="118"/>
        <v>Intermediate</v>
      </c>
      <c r="U1895" t="str">
        <f t="shared" si="119"/>
        <v>Low Impact</v>
      </c>
    </row>
    <row r="1896" spans="1:21" x14ac:dyDescent="0.3">
      <c r="A1896" t="s">
        <v>241</v>
      </c>
      <c r="B1896">
        <v>44</v>
      </c>
      <c r="C1896" t="s">
        <v>18</v>
      </c>
      <c r="D1896" t="s">
        <v>28</v>
      </c>
      <c r="E1896" t="s">
        <v>51</v>
      </c>
      <c r="F1896" t="s">
        <v>52</v>
      </c>
      <c r="G1896">
        <v>18</v>
      </c>
      <c r="H1896" t="s">
        <v>31</v>
      </c>
      <c r="I1896" t="s">
        <v>22</v>
      </c>
      <c r="J1896" t="s">
        <v>23</v>
      </c>
      <c r="K1896" s="2">
        <v>36737</v>
      </c>
      <c r="L1896" s="2">
        <v>39005</v>
      </c>
      <c r="M1896" t="s">
        <v>32</v>
      </c>
      <c r="N1896">
        <v>37</v>
      </c>
      <c r="O1896" t="s">
        <v>25</v>
      </c>
      <c r="P1896">
        <v>4</v>
      </c>
      <c r="Q1896" s="1">
        <v>-16.71</v>
      </c>
      <c r="R1896" s="2">
        <f t="shared" si="116"/>
        <v>2268</v>
      </c>
      <c r="S1896" s="1">
        <f t="shared" si="117"/>
        <v>6.1736124343305114</v>
      </c>
      <c r="T1896" t="str">
        <f t="shared" si="118"/>
        <v>Expert</v>
      </c>
      <c r="U1896" t="str">
        <f t="shared" si="119"/>
        <v>Low Impact</v>
      </c>
    </row>
    <row r="1897" spans="1:21" x14ac:dyDescent="0.3">
      <c r="A1897" t="s">
        <v>2021</v>
      </c>
      <c r="B1897">
        <v>41</v>
      </c>
      <c r="C1897" t="s">
        <v>54</v>
      </c>
      <c r="D1897" t="s">
        <v>34</v>
      </c>
      <c r="E1897" t="s">
        <v>35</v>
      </c>
      <c r="F1897" t="s">
        <v>132</v>
      </c>
      <c r="G1897">
        <v>15</v>
      </c>
      <c r="H1897" t="s">
        <v>31</v>
      </c>
      <c r="I1897" t="s">
        <v>37</v>
      </c>
      <c r="J1897" t="s">
        <v>23</v>
      </c>
      <c r="K1897" s="2">
        <v>119447</v>
      </c>
      <c r="L1897" s="2">
        <v>117457</v>
      </c>
      <c r="M1897" t="s">
        <v>38</v>
      </c>
      <c r="N1897">
        <v>54</v>
      </c>
      <c r="O1897" t="s">
        <v>23</v>
      </c>
      <c r="P1897">
        <v>4</v>
      </c>
      <c r="Q1897" s="1">
        <v>-16.8</v>
      </c>
      <c r="R1897" s="2">
        <f t="shared" si="116"/>
        <v>-1990</v>
      </c>
      <c r="S1897" s="1">
        <f t="shared" si="117"/>
        <v>-1.6660108667442466</v>
      </c>
      <c r="T1897" t="str">
        <f t="shared" si="118"/>
        <v>Expert</v>
      </c>
      <c r="U1897" t="str">
        <f t="shared" si="119"/>
        <v>Medium Impact</v>
      </c>
    </row>
    <row r="1898" spans="1:21" x14ac:dyDescent="0.3">
      <c r="A1898" t="s">
        <v>1864</v>
      </c>
      <c r="B1898">
        <v>24</v>
      </c>
      <c r="C1898" t="s">
        <v>54</v>
      </c>
      <c r="D1898" t="s">
        <v>34</v>
      </c>
      <c r="E1898" t="s">
        <v>20</v>
      </c>
      <c r="F1898" t="s">
        <v>88</v>
      </c>
      <c r="G1898">
        <v>0</v>
      </c>
      <c r="H1898" t="s">
        <v>31</v>
      </c>
      <c r="I1898" t="s">
        <v>31</v>
      </c>
      <c r="J1898" t="s">
        <v>25</v>
      </c>
      <c r="K1898" s="2">
        <v>32606</v>
      </c>
      <c r="L1898" s="2">
        <v>34071</v>
      </c>
      <c r="M1898" t="s">
        <v>32</v>
      </c>
      <c r="N1898">
        <v>38</v>
      </c>
      <c r="O1898" t="s">
        <v>25</v>
      </c>
      <c r="P1898">
        <v>4</v>
      </c>
      <c r="Q1898" s="1">
        <v>-16.82</v>
      </c>
      <c r="R1898" s="2">
        <f t="shared" si="116"/>
        <v>1465</v>
      </c>
      <c r="S1898" s="1">
        <f t="shared" si="117"/>
        <v>4.4930380911488683</v>
      </c>
      <c r="T1898" t="str">
        <f t="shared" si="118"/>
        <v>Beginner</v>
      </c>
      <c r="U1898" t="str">
        <f t="shared" si="119"/>
        <v>Low Impact</v>
      </c>
    </row>
    <row r="1899" spans="1:21" x14ac:dyDescent="0.3">
      <c r="A1899" t="s">
        <v>934</v>
      </c>
      <c r="B1899">
        <v>33</v>
      </c>
      <c r="C1899" t="s">
        <v>27</v>
      </c>
      <c r="D1899" t="s">
        <v>19</v>
      </c>
      <c r="E1899" t="s">
        <v>20</v>
      </c>
      <c r="F1899" t="s">
        <v>21</v>
      </c>
      <c r="G1899">
        <v>8</v>
      </c>
      <c r="H1899" t="s">
        <v>37</v>
      </c>
      <c r="I1899" t="s">
        <v>22</v>
      </c>
      <c r="J1899" t="s">
        <v>23</v>
      </c>
      <c r="K1899" s="2">
        <v>40358</v>
      </c>
      <c r="L1899" s="2">
        <v>39456</v>
      </c>
      <c r="M1899" t="s">
        <v>32</v>
      </c>
      <c r="N1899">
        <v>51</v>
      </c>
      <c r="O1899" t="s">
        <v>25</v>
      </c>
      <c r="P1899">
        <v>3</v>
      </c>
      <c r="Q1899" s="1">
        <v>-16.829999999999998</v>
      </c>
      <c r="R1899" s="2">
        <f t="shared" si="116"/>
        <v>-902</v>
      </c>
      <c r="S1899" s="1">
        <f t="shared" si="117"/>
        <v>-2.2349967788294762</v>
      </c>
      <c r="T1899" t="str">
        <f t="shared" si="118"/>
        <v>Intermediate</v>
      </c>
      <c r="U1899" t="str">
        <f t="shared" si="119"/>
        <v>Low Impact</v>
      </c>
    </row>
    <row r="1900" spans="1:21" x14ac:dyDescent="0.3">
      <c r="A1900" t="s">
        <v>1972</v>
      </c>
      <c r="B1900">
        <v>49</v>
      </c>
      <c r="C1900" t="s">
        <v>18</v>
      </c>
      <c r="D1900" t="s">
        <v>40</v>
      </c>
      <c r="E1900" t="s">
        <v>59</v>
      </c>
      <c r="F1900" t="s">
        <v>77</v>
      </c>
      <c r="G1900">
        <v>27</v>
      </c>
      <c r="H1900" t="s">
        <v>37</v>
      </c>
      <c r="I1900" t="s">
        <v>31</v>
      </c>
      <c r="J1900" t="s">
        <v>23</v>
      </c>
      <c r="K1900" s="2">
        <v>92866</v>
      </c>
      <c r="L1900" s="2">
        <v>92349</v>
      </c>
      <c r="M1900" t="s">
        <v>32</v>
      </c>
      <c r="N1900">
        <v>49</v>
      </c>
      <c r="O1900" t="s">
        <v>23</v>
      </c>
      <c r="P1900">
        <v>4</v>
      </c>
      <c r="Q1900" s="1">
        <v>-16.86</v>
      </c>
      <c r="R1900" s="2">
        <f t="shared" si="116"/>
        <v>-517</v>
      </c>
      <c r="S1900" s="1">
        <f t="shared" si="117"/>
        <v>-0.55671612861542441</v>
      </c>
      <c r="T1900" t="str">
        <f t="shared" si="118"/>
        <v>Expert</v>
      </c>
      <c r="U1900" t="str">
        <f t="shared" si="119"/>
        <v>Low Impact</v>
      </c>
    </row>
    <row r="1901" spans="1:21" x14ac:dyDescent="0.3">
      <c r="A1901" t="s">
        <v>421</v>
      </c>
      <c r="B1901">
        <v>33</v>
      </c>
      <c r="C1901" t="s">
        <v>18</v>
      </c>
      <c r="D1901" t="s">
        <v>19</v>
      </c>
      <c r="E1901" t="s">
        <v>59</v>
      </c>
      <c r="F1901" t="s">
        <v>77</v>
      </c>
      <c r="G1901">
        <v>8</v>
      </c>
      <c r="H1901" t="s">
        <v>37</v>
      </c>
      <c r="I1901" t="s">
        <v>22</v>
      </c>
      <c r="J1901" t="s">
        <v>23</v>
      </c>
      <c r="K1901" s="2">
        <v>100202</v>
      </c>
      <c r="L1901" s="2">
        <v>103986</v>
      </c>
      <c r="M1901" t="s">
        <v>32</v>
      </c>
      <c r="N1901">
        <v>51</v>
      </c>
      <c r="O1901" t="s">
        <v>25</v>
      </c>
      <c r="P1901">
        <v>9</v>
      </c>
      <c r="Q1901" s="1">
        <v>-16.88</v>
      </c>
      <c r="R1901" s="2">
        <f t="shared" si="116"/>
        <v>3784</v>
      </c>
      <c r="S1901" s="1">
        <f t="shared" si="117"/>
        <v>3.7763717291072036</v>
      </c>
      <c r="T1901" t="str">
        <f t="shared" si="118"/>
        <v>Intermediate</v>
      </c>
      <c r="U1901" t="str">
        <f t="shared" si="119"/>
        <v>Low Impact</v>
      </c>
    </row>
    <row r="1902" spans="1:21" x14ac:dyDescent="0.3">
      <c r="A1902" t="s">
        <v>238</v>
      </c>
      <c r="B1902">
        <v>39</v>
      </c>
      <c r="C1902" t="s">
        <v>27</v>
      </c>
      <c r="D1902" t="s">
        <v>40</v>
      </c>
      <c r="E1902" t="s">
        <v>29</v>
      </c>
      <c r="F1902" t="s">
        <v>102</v>
      </c>
      <c r="G1902">
        <v>17</v>
      </c>
      <c r="H1902" t="s">
        <v>37</v>
      </c>
      <c r="I1902" t="s">
        <v>37</v>
      </c>
      <c r="J1902" t="s">
        <v>25</v>
      </c>
      <c r="K1902" s="2">
        <v>107454</v>
      </c>
      <c r="L1902" s="2">
        <v>119053</v>
      </c>
      <c r="M1902" t="s">
        <v>38</v>
      </c>
      <c r="N1902">
        <v>49</v>
      </c>
      <c r="O1902" t="s">
        <v>25</v>
      </c>
      <c r="P1902">
        <v>4</v>
      </c>
      <c r="Q1902" s="1">
        <v>-16.899999999999999</v>
      </c>
      <c r="R1902" s="2">
        <f t="shared" si="116"/>
        <v>11599</v>
      </c>
      <c r="S1902" s="1">
        <f t="shared" si="117"/>
        <v>10.794386435125729</v>
      </c>
      <c r="T1902" t="str">
        <f t="shared" si="118"/>
        <v>Expert</v>
      </c>
      <c r="U1902" t="str">
        <f t="shared" si="119"/>
        <v>Medium Impact</v>
      </c>
    </row>
    <row r="1903" spans="1:21" x14ac:dyDescent="0.3">
      <c r="A1903" t="s">
        <v>1975</v>
      </c>
      <c r="B1903">
        <v>53</v>
      </c>
      <c r="C1903" t="s">
        <v>18</v>
      </c>
      <c r="D1903" t="s">
        <v>40</v>
      </c>
      <c r="E1903" t="s">
        <v>20</v>
      </c>
      <c r="F1903" t="s">
        <v>88</v>
      </c>
      <c r="G1903">
        <v>30</v>
      </c>
      <c r="H1903" t="s">
        <v>22</v>
      </c>
      <c r="I1903" t="s">
        <v>31</v>
      </c>
      <c r="J1903" t="s">
        <v>23</v>
      </c>
      <c r="K1903" s="2">
        <v>86878</v>
      </c>
      <c r="L1903" s="2">
        <v>116176</v>
      </c>
      <c r="M1903" t="s">
        <v>32</v>
      </c>
      <c r="N1903">
        <v>38</v>
      </c>
      <c r="O1903" t="s">
        <v>23</v>
      </c>
      <c r="P1903">
        <v>6</v>
      </c>
      <c r="Q1903" s="1">
        <v>-16.97</v>
      </c>
      <c r="R1903" s="2">
        <f t="shared" si="116"/>
        <v>29298</v>
      </c>
      <c r="S1903" s="1">
        <f t="shared" si="117"/>
        <v>33.72315200626165</v>
      </c>
      <c r="T1903" t="str">
        <f t="shared" si="118"/>
        <v>Expert</v>
      </c>
      <c r="U1903" t="str">
        <f t="shared" si="119"/>
        <v>Low Impact</v>
      </c>
    </row>
    <row r="1904" spans="1:21" x14ac:dyDescent="0.3">
      <c r="A1904" t="s">
        <v>544</v>
      </c>
      <c r="B1904">
        <v>27</v>
      </c>
      <c r="C1904" t="s">
        <v>54</v>
      </c>
      <c r="D1904" t="s">
        <v>19</v>
      </c>
      <c r="E1904" t="s">
        <v>41</v>
      </c>
      <c r="F1904" t="s">
        <v>49</v>
      </c>
      <c r="G1904">
        <v>1</v>
      </c>
      <c r="H1904" t="s">
        <v>31</v>
      </c>
      <c r="I1904" t="s">
        <v>31</v>
      </c>
      <c r="J1904" t="s">
        <v>23</v>
      </c>
      <c r="K1904" s="2">
        <v>73527</v>
      </c>
      <c r="L1904" s="2">
        <v>72157</v>
      </c>
      <c r="M1904" t="s">
        <v>32</v>
      </c>
      <c r="N1904">
        <v>35</v>
      </c>
      <c r="O1904" t="s">
        <v>25</v>
      </c>
      <c r="P1904">
        <v>3</v>
      </c>
      <c r="Q1904" s="1">
        <v>-17</v>
      </c>
      <c r="R1904" s="2">
        <f t="shared" si="116"/>
        <v>-1370</v>
      </c>
      <c r="S1904" s="1">
        <f t="shared" si="117"/>
        <v>-1.863261114964571</v>
      </c>
      <c r="T1904" t="str">
        <f t="shared" si="118"/>
        <v>Beginner</v>
      </c>
      <c r="U1904" t="str">
        <f t="shared" si="119"/>
        <v>Low Impact</v>
      </c>
    </row>
    <row r="1905" spans="1:21" x14ac:dyDescent="0.3">
      <c r="A1905" t="s">
        <v>1768</v>
      </c>
      <c r="B1905">
        <v>23</v>
      </c>
      <c r="C1905" t="s">
        <v>54</v>
      </c>
      <c r="D1905" t="s">
        <v>19</v>
      </c>
      <c r="E1905" t="s">
        <v>35</v>
      </c>
      <c r="F1905" t="s">
        <v>98</v>
      </c>
      <c r="G1905">
        <v>0</v>
      </c>
      <c r="H1905" t="s">
        <v>37</v>
      </c>
      <c r="I1905" t="s">
        <v>37</v>
      </c>
      <c r="J1905" t="s">
        <v>25</v>
      </c>
      <c r="K1905" s="2">
        <v>40857</v>
      </c>
      <c r="L1905" s="2">
        <v>48003</v>
      </c>
      <c r="M1905" t="s">
        <v>38</v>
      </c>
      <c r="N1905">
        <v>47</v>
      </c>
      <c r="O1905" t="s">
        <v>23</v>
      </c>
      <c r="P1905">
        <v>3</v>
      </c>
      <c r="Q1905" s="1">
        <v>-17</v>
      </c>
      <c r="R1905" s="2">
        <f t="shared" si="116"/>
        <v>7146</v>
      </c>
      <c r="S1905" s="1">
        <f t="shared" si="117"/>
        <v>17.490270945003306</v>
      </c>
      <c r="T1905" t="str">
        <f t="shared" si="118"/>
        <v>Beginner</v>
      </c>
      <c r="U1905" t="str">
        <f t="shared" si="119"/>
        <v>Medium Impact</v>
      </c>
    </row>
    <row r="1906" spans="1:21" x14ac:dyDescent="0.3">
      <c r="A1906" t="s">
        <v>1100</v>
      </c>
      <c r="B1906">
        <v>23</v>
      </c>
      <c r="C1906" t="s">
        <v>54</v>
      </c>
      <c r="D1906" t="s">
        <v>28</v>
      </c>
      <c r="E1906" t="s">
        <v>29</v>
      </c>
      <c r="F1906" t="s">
        <v>102</v>
      </c>
      <c r="G1906">
        <v>0</v>
      </c>
      <c r="H1906" t="s">
        <v>31</v>
      </c>
      <c r="I1906" t="s">
        <v>22</v>
      </c>
      <c r="J1906" t="s">
        <v>25</v>
      </c>
      <c r="K1906" s="2">
        <v>113028</v>
      </c>
      <c r="L1906" s="2">
        <v>123521</v>
      </c>
      <c r="M1906" t="s">
        <v>32</v>
      </c>
      <c r="N1906">
        <v>51</v>
      </c>
      <c r="O1906" t="s">
        <v>23</v>
      </c>
      <c r="P1906">
        <v>4</v>
      </c>
      <c r="Q1906" s="1">
        <v>-17.010000000000002</v>
      </c>
      <c r="R1906" s="2">
        <f t="shared" si="116"/>
        <v>10493</v>
      </c>
      <c r="S1906" s="1">
        <f t="shared" si="117"/>
        <v>9.2835403616802914</v>
      </c>
      <c r="T1906" t="str">
        <f t="shared" si="118"/>
        <v>Beginner</v>
      </c>
      <c r="U1906" t="str">
        <f t="shared" si="119"/>
        <v>Low Impact</v>
      </c>
    </row>
    <row r="1907" spans="1:21" x14ac:dyDescent="0.3">
      <c r="A1907" t="s">
        <v>699</v>
      </c>
      <c r="B1907">
        <v>32</v>
      </c>
      <c r="C1907" t="s">
        <v>18</v>
      </c>
      <c r="D1907" t="s">
        <v>28</v>
      </c>
      <c r="E1907" t="s">
        <v>35</v>
      </c>
      <c r="F1907" t="s">
        <v>36</v>
      </c>
      <c r="G1907">
        <v>9</v>
      </c>
      <c r="H1907" t="s">
        <v>31</v>
      </c>
      <c r="I1907" t="s">
        <v>31</v>
      </c>
      <c r="J1907" t="s">
        <v>25</v>
      </c>
      <c r="K1907" s="2">
        <v>99327</v>
      </c>
      <c r="L1907" s="2">
        <v>97898</v>
      </c>
      <c r="M1907" t="s">
        <v>32</v>
      </c>
      <c r="N1907">
        <v>35</v>
      </c>
      <c r="O1907" t="s">
        <v>23</v>
      </c>
      <c r="P1907">
        <v>7</v>
      </c>
      <c r="Q1907" s="1">
        <v>-17.02</v>
      </c>
      <c r="R1907" s="2">
        <f t="shared" si="116"/>
        <v>-1429</v>
      </c>
      <c r="S1907" s="1">
        <f t="shared" si="117"/>
        <v>-1.4386823320949993</v>
      </c>
      <c r="T1907" t="str">
        <f t="shared" si="118"/>
        <v>Intermediate</v>
      </c>
      <c r="U1907" t="str">
        <f t="shared" si="119"/>
        <v>Low Impact</v>
      </c>
    </row>
    <row r="1908" spans="1:21" x14ac:dyDescent="0.3">
      <c r="A1908" t="s">
        <v>1846</v>
      </c>
      <c r="B1908">
        <v>48</v>
      </c>
      <c r="C1908" t="s">
        <v>18</v>
      </c>
      <c r="D1908" t="s">
        <v>19</v>
      </c>
      <c r="E1908" t="s">
        <v>59</v>
      </c>
      <c r="F1908" t="s">
        <v>77</v>
      </c>
      <c r="G1908">
        <v>23</v>
      </c>
      <c r="H1908" t="s">
        <v>31</v>
      </c>
      <c r="I1908" t="s">
        <v>37</v>
      </c>
      <c r="J1908" t="s">
        <v>23</v>
      </c>
      <c r="K1908" s="2">
        <v>81993</v>
      </c>
      <c r="L1908" s="2">
        <v>85079</v>
      </c>
      <c r="M1908" t="s">
        <v>38</v>
      </c>
      <c r="N1908">
        <v>35</v>
      </c>
      <c r="O1908" t="s">
        <v>23</v>
      </c>
      <c r="P1908">
        <v>8</v>
      </c>
      <c r="Q1908" s="1">
        <v>-17.09</v>
      </c>
      <c r="R1908" s="2">
        <f t="shared" si="116"/>
        <v>3086</v>
      </c>
      <c r="S1908" s="1">
        <f t="shared" si="117"/>
        <v>3.7637359286768381</v>
      </c>
      <c r="T1908" t="str">
        <f t="shared" si="118"/>
        <v>Expert</v>
      </c>
      <c r="U1908" t="str">
        <f t="shared" si="119"/>
        <v>Medium Impact</v>
      </c>
    </row>
    <row r="1909" spans="1:21" x14ac:dyDescent="0.3">
      <c r="A1909" t="s">
        <v>827</v>
      </c>
      <c r="B1909">
        <v>44</v>
      </c>
      <c r="C1909" t="s">
        <v>18</v>
      </c>
      <c r="D1909" t="s">
        <v>34</v>
      </c>
      <c r="E1909" t="s">
        <v>59</v>
      </c>
      <c r="F1909" t="s">
        <v>93</v>
      </c>
      <c r="G1909">
        <v>20</v>
      </c>
      <c r="H1909" t="s">
        <v>22</v>
      </c>
      <c r="I1909" t="s">
        <v>31</v>
      </c>
      <c r="J1909" t="s">
        <v>23</v>
      </c>
      <c r="K1909" s="2">
        <v>109854</v>
      </c>
      <c r="L1909" s="2">
        <v>135919</v>
      </c>
      <c r="M1909" t="s">
        <v>32</v>
      </c>
      <c r="N1909">
        <v>47</v>
      </c>
      <c r="O1909" t="s">
        <v>25</v>
      </c>
      <c r="P1909">
        <v>5</v>
      </c>
      <c r="Q1909" s="1">
        <v>-17.18</v>
      </c>
      <c r="R1909" s="2">
        <f t="shared" si="116"/>
        <v>26065</v>
      </c>
      <c r="S1909" s="1">
        <f t="shared" si="117"/>
        <v>23.726946674677301</v>
      </c>
      <c r="T1909" t="str">
        <f t="shared" si="118"/>
        <v>Expert</v>
      </c>
      <c r="U1909" t="str">
        <f t="shared" si="119"/>
        <v>Low Impact</v>
      </c>
    </row>
    <row r="1910" spans="1:21" x14ac:dyDescent="0.3">
      <c r="A1910" t="s">
        <v>1319</v>
      </c>
      <c r="B1910">
        <v>57</v>
      </c>
      <c r="C1910" t="s">
        <v>18</v>
      </c>
      <c r="D1910" t="s">
        <v>28</v>
      </c>
      <c r="E1910" t="s">
        <v>59</v>
      </c>
      <c r="F1910" t="s">
        <v>60</v>
      </c>
      <c r="G1910">
        <v>34</v>
      </c>
      <c r="H1910" t="s">
        <v>31</v>
      </c>
      <c r="I1910" t="s">
        <v>37</v>
      </c>
      <c r="J1910" t="s">
        <v>25</v>
      </c>
      <c r="K1910" s="2">
        <v>58439</v>
      </c>
      <c r="L1910" s="2">
        <v>58011</v>
      </c>
      <c r="M1910" t="s">
        <v>38</v>
      </c>
      <c r="N1910">
        <v>41</v>
      </c>
      <c r="O1910" t="s">
        <v>25</v>
      </c>
      <c r="P1910">
        <v>9</v>
      </c>
      <c r="Q1910" s="1">
        <v>-17.18</v>
      </c>
      <c r="R1910" s="2">
        <f t="shared" si="116"/>
        <v>-428</v>
      </c>
      <c r="S1910" s="1">
        <f t="shared" si="117"/>
        <v>-0.73238761785793738</v>
      </c>
      <c r="T1910" t="str">
        <f t="shared" si="118"/>
        <v>Expert</v>
      </c>
      <c r="U1910" t="str">
        <f t="shared" si="119"/>
        <v>Medium Impact</v>
      </c>
    </row>
    <row r="1911" spans="1:21" x14ac:dyDescent="0.3">
      <c r="A1911" t="s">
        <v>696</v>
      </c>
      <c r="B1911">
        <v>51</v>
      </c>
      <c r="C1911" t="s">
        <v>18</v>
      </c>
      <c r="D1911" t="s">
        <v>19</v>
      </c>
      <c r="E1911" t="s">
        <v>59</v>
      </c>
      <c r="F1911" t="s">
        <v>60</v>
      </c>
      <c r="G1911">
        <v>28</v>
      </c>
      <c r="H1911" t="s">
        <v>22</v>
      </c>
      <c r="I1911" t="s">
        <v>22</v>
      </c>
      <c r="J1911" t="s">
        <v>25</v>
      </c>
      <c r="K1911" s="2">
        <v>60676</v>
      </c>
      <c r="L1911" s="2">
        <v>76314</v>
      </c>
      <c r="M1911" t="s">
        <v>24</v>
      </c>
      <c r="N1911">
        <v>51</v>
      </c>
      <c r="O1911" t="s">
        <v>25</v>
      </c>
      <c r="P1911">
        <v>5</v>
      </c>
      <c r="Q1911" s="1">
        <v>-17.27</v>
      </c>
      <c r="R1911" s="2">
        <f t="shared" si="116"/>
        <v>15638</v>
      </c>
      <c r="S1911" s="1">
        <f t="shared" si="117"/>
        <v>25.772958006460545</v>
      </c>
      <c r="T1911" t="str">
        <f t="shared" si="118"/>
        <v>Expert</v>
      </c>
      <c r="U1911" t="str">
        <f t="shared" si="119"/>
        <v>High Impact</v>
      </c>
    </row>
    <row r="1912" spans="1:21" x14ac:dyDescent="0.3">
      <c r="A1912" t="s">
        <v>1756</v>
      </c>
      <c r="B1912">
        <v>36</v>
      </c>
      <c r="C1912" t="s">
        <v>54</v>
      </c>
      <c r="D1912" t="s">
        <v>34</v>
      </c>
      <c r="E1912" t="s">
        <v>20</v>
      </c>
      <c r="F1912" t="s">
        <v>118</v>
      </c>
      <c r="G1912">
        <v>13</v>
      </c>
      <c r="H1912" t="s">
        <v>37</v>
      </c>
      <c r="I1912" t="s">
        <v>22</v>
      </c>
      <c r="J1912" t="s">
        <v>23</v>
      </c>
      <c r="K1912" s="2">
        <v>107066</v>
      </c>
      <c r="L1912" s="2">
        <v>122713</v>
      </c>
      <c r="M1912" t="s">
        <v>32</v>
      </c>
      <c r="N1912">
        <v>54</v>
      </c>
      <c r="O1912" t="s">
        <v>23</v>
      </c>
      <c r="P1912">
        <v>9</v>
      </c>
      <c r="Q1912" s="1">
        <v>-17.32</v>
      </c>
      <c r="R1912" s="2">
        <f t="shared" si="116"/>
        <v>15647</v>
      </c>
      <c r="S1912" s="1">
        <f t="shared" si="117"/>
        <v>14.614350027086095</v>
      </c>
      <c r="T1912" t="str">
        <f t="shared" si="118"/>
        <v>Intermediate</v>
      </c>
      <c r="U1912" t="str">
        <f t="shared" si="119"/>
        <v>Low Impact</v>
      </c>
    </row>
    <row r="1913" spans="1:21" x14ac:dyDescent="0.3">
      <c r="A1913" t="s">
        <v>2008</v>
      </c>
      <c r="B1913">
        <v>33</v>
      </c>
      <c r="C1913" t="s">
        <v>27</v>
      </c>
      <c r="D1913" t="s">
        <v>34</v>
      </c>
      <c r="E1913" t="s">
        <v>44</v>
      </c>
      <c r="F1913" t="s">
        <v>57</v>
      </c>
      <c r="G1913">
        <v>8</v>
      </c>
      <c r="H1913" t="s">
        <v>37</v>
      </c>
      <c r="I1913" t="s">
        <v>37</v>
      </c>
      <c r="J1913" t="s">
        <v>23</v>
      </c>
      <c r="K1913" s="2">
        <v>80513</v>
      </c>
      <c r="L1913" s="2">
        <v>88430</v>
      </c>
      <c r="M1913" t="s">
        <v>38</v>
      </c>
      <c r="N1913">
        <v>47</v>
      </c>
      <c r="O1913" t="s">
        <v>23</v>
      </c>
      <c r="P1913">
        <v>5</v>
      </c>
      <c r="Q1913" s="1">
        <v>-17.36</v>
      </c>
      <c r="R1913" s="2">
        <f t="shared" si="116"/>
        <v>7917</v>
      </c>
      <c r="S1913" s="1">
        <f t="shared" si="117"/>
        <v>9.8331946393750069</v>
      </c>
      <c r="T1913" t="str">
        <f t="shared" si="118"/>
        <v>Intermediate</v>
      </c>
      <c r="U1913" t="str">
        <f t="shared" si="119"/>
        <v>Medium Impact</v>
      </c>
    </row>
    <row r="1914" spans="1:21" x14ac:dyDescent="0.3">
      <c r="A1914" t="s">
        <v>526</v>
      </c>
      <c r="B1914">
        <v>49</v>
      </c>
      <c r="C1914" t="s">
        <v>27</v>
      </c>
      <c r="D1914" t="s">
        <v>28</v>
      </c>
      <c r="E1914" t="s">
        <v>29</v>
      </c>
      <c r="F1914" t="s">
        <v>104</v>
      </c>
      <c r="G1914">
        <v>27</v>
      </c>
      <c r="H1914" t="s">
        <v>22</v>
      </c>
      <c r="I1914" t="s">
        <v>31</v>
      </c>
      <c r="J1914" t="s">
        <v>25</v>
      </c>
      <c r="K1914" s="2">
        <v>104083</v>
      </c>
      <c r="L1914" s="2">
        <v>88595</v>
      </c>
      <c r="M1914" t="s">
        <v>32</v>
      </c>
      <c r="N1914">
        <v>47</v>
      </c>
      <c r="O1914" t="s">
        <v>23</v>
      </c>
      <c r="P1914">
        <v>3</v>
      </c>
      <c r="Q1914" s="1">
        <v>-17.420000000000002</v>
      </c>
      <c r="R1914" s="2">
        <f t="shared" si="116"/>
        <v>-15488</v>
      </c>
      <c r="S1914" s="1">
        <f t="shared" si="117"/>
        <v>-14.880431962952645</v>
      </c>
      <c r="T1914" t="str">
        <f t="shared" si="118"/>
        <v>Expert</v>
      </c>
      <c r="U1914" t="str">
        <f t="shared" si="119"/>
        <v>Low Impact</v>
      </c>
    </row>
    <row r="1915" spans="1:21" x14ac:dyDescent="0.3">
      <c r="A1915" t="s">
        <v>288</v>
      </c>
      <c r="B1915">
        <v>47</v>
      </c>
      <c r="C1915" t="s">
        <v>18</v>
      </c>
      <c r="D1915" t="s">
        <v>34</v>
      </c>
      <c r="E1915" t="s">
        <v>51</v>
      </c>
      <c r="F1915" t="s">
        <v>130</v>
      </c>
      <c r="G1915">
        <v>24</v>
      </c>
      <c r="H1915" t="s">
        <v>22</v>
      </c>
      <c r="I1915" t="s">
        <v>37</v>
      </c>
      <c r="J1915" t="s">
        <v>25</v>
      </c>
      <c r="K1915" s="2">
        <v>111905</v>
      </c>
      <c r="L1915" s="2">
        <v>144677</v>
      </c>
      <c r="M1915" t="s">
        <v>38</v>
      </c>
      <c r="N1915">
        <v>46</v>
      </c>
      <c r="O1915" t="s">
        <v>23</v>
      </c>
      <c r="P1915">
        <v>3</v>
      </c>
      <c r="Q1915" s="1">
        <v>-17.53</v>
      </c>
      <c r="R1915" s="2">
        <f t="shared" si="116"/>
        <v>32772</v>
      </c>
      <c r="S1915" s="1">
        <f t="shared" si="117"/>
        <v>29.285554711585721</v>
      </c>
      <c r="T1915" t="str">
        <f t="shared" si="118"/>
        <v>Expert</v>
      </c>
      <c r="U1915" t="str">
        <f t="shared" si="119"/>
        <v>Medium Impact</v>
      </c>
    </row>
    <row r="1916" spans="1:21" x14ac:dyDescent="0.3">
      <c r="A1916" t="s">
        <v>109</v>
      </c>
      <c r="B1916">
        <v>37</v>
      </c>
      <c r="C1916" t="s">
        <v>18</v>
      </c>
      <c r="D1916" t="s">
        <v>19</v>
      </c>
      <c r="E1916" t="s">
        <v>44</v>
      </c>
      <c r="F1916" t="s">
        <v>47</v>
      </c>
      <c r="G1916">
        <v>11</v>
      </c>
      <c r="H1916" t="s">
        <v>31</v>
      </c>
      <c r="I1916" t="s">
        <v>37</v>
      </c>
      <c r="J1916" t="s">
        <v>23</v>
      </c>
      <c r="K1916" s="2">
        <v>47019</v>
      </c>
      <c r="L1916" s="2">
        <v>49707</v>
      </c>
      <c r="M1916" t="s">
        <v>38</v>
      </c>
      <c r="N1916">
        <v>53</v>
      </c>
      <c r="O1916" t="s">
        <v>23</v>
      </c>
      <c r="P1916">
        <v>6</v>
      </c>
      <c r="Q1916" s="1">
        <v>-17.54</v>
      </c>
      <c r="R1916" s="2">
        <f t="shared" si="116"/>
        <v>2688</v>
      </c>
      <c r="S1916" s="1">
        <f t="shared" si="117"/>
        <v>5.7168378740509151</v>
      </c>
      <c r="T1916" t="str">
        <f t="shared" si="118"/>
        <v>Intermediate</v>
      </c>
      <c r="U1916" t="str">
        <f t="shared" si="119"/>
        <v>Medium Impact</v>
      </c>
    </row>
    <row r="1917" spans="1:21" x14ac:dyDescent="0.3">
      <c r="A1917" t="s">
        <v>1182</v>
      </c>
      <c r="B1917">
        <v>44</v>
      </c>
      <c r="C1917" t="s">
        <v>54</v>
      </c>
      <c r="D1917" t="s">
        <v>40</v>
      </c>
      <c r="E1917" t="s">
        <v>29</v>
      </c>
      <c r="F1917" t="s">
        <v>102</v>
      </c>
      <c r="G1917">
        <v>22</v>
      </c>
      <c r="H1917" t="s">
        <v>31</v>
      </c>
      <c r="I1917" t="s">
        <v>31</v>
      </c>
      <c r="J1917" t="s">
        <v>25</v>
      </c>
      <c r="K1917" s="2">
        <v>40940</v>
      </c>
      <c r="L1917" s="2">
        <v>41384</v>
      </c>
      <c r="M1917" t="s">
        <v>32</v>
      </c>
      <c r="N1917">
        <v>36</v>
      </c>
      <c r="O1917" t="s">
        <v>25</v>
      </c>
      <c r="P1917">
        <v>3</v>
      </c>
      <c r="Q1917" s="1">
        <v>-17.54</v>
      </c>
      <c r="R1917" s="2">
        <f t="shared" si="116"/>
        <v>444</v>
      </c>
      <c r="S1917" s="1">
        <f t="shared" si="117"/>
        <v>1.0845139228138738</v>
      </c>
      <c r="T1917" t="str">
        <f t="shared" si="118"/>
        <v>Expert</v>
      </c>
      <c r="U1917" t="str">
        <f t="shared" si="119"/>
        <v>Low Impact</v>
      </c>
    </row>
    <row r="1918" spans="1:21" x14ac:dyDescent="0.3">
      <c r="A1918" t="s">
        <v>1632</v>
      </c>
      <c r="B1918">
        <v>55</v>
      </c>
      <c r="C1918" t="s">
        <v>18</v>
      </c>
      <c r="D1918" t="s">
        <v>34</v>
      </c>
      <c r="E1918" t="s">
        <v>44</v>
      </c>
      <c r="F1918" t="s">
        <v>47</v>
      </c>
      <c r="G1918">
        <v>32</v>
      </c>
      <c r="H1918" t="s">
        <v>31</v>
      </c>
      <c r="I1918" t="s">
        <v>31</v>
      </c>
      <c r="J1918" t="s">
        <v>25</v>
      </c>
      <c r="K1918" s="2">
        <v>96351</v>
      </c>
      <c r="L1918" s="2">
        <v>99440</v>
      </c>
      <c r="M1918" t="s">
        <v>32</v>
      </c>
      <c r="N1918">
        <v>48</v>
      </c>
      <c r="O1918" t="s">
        <v>23</v>
      </c>
      <c r="P1918">
        <v>9</v>
      </c>
      <c r="Q1918" s="1">
        <v>-17.55</v>
      </c>
      <c r="R1918" s="2">
        <f t="shared" si="116"/>
        <v>3089</v>
      </c>
      <c r="S1918" s="1">
        <f t="shared" si="117"/>
        <v>3.2059864453923677</v>
      </c>
      <c r="T1918" t="str">
        <f t="shared" si="118"/>
        <v>Expert</v>
      </c>
      <c r="U1918" t="str">
        <f t="shared" si="119"/>
        <v>Low Impact</v>
      </c>
    </row>
    <row r="1919" spans="1:21" x14ac:dyDescent="0.3">
      <c r="A1919" t="s">
        <v>1590</v>
      </c>
      <c r="B1919">
        <v>29</v>
      </c>
      <c r="C1919" t="s">
        <v>18</v>
      </c>
      <c r="D1919" t="s">
        <v>40</v>
      </c>
      <c r="E1919" t="s">
        <v>41</v>
      </c>
      <c r="F1919" t="s">
        <v>42</v>
      </c>
      <c r="G1919">
        <v>4</v>
      </c>
      <c r="H1919" t="s">
        <v>31</v>
      </c>
      <c r="I1919" t="s">
        <v>31</v>
      </c>
      <c r="J1919" t="s">
        <v>23</v>
      </c>
      <c r="K1919" s="2">
        <v>89405</v>
      </c>
      <c r="L1919" s="2">
        <v>95232</v>
      </c>
      <c r="M1919" t="s">
        <v>32</v>
      </c>
      <c r="N1919">
        <v>50</v>
      </c>
      <c r="O1919" t="s">
        <v>23</v>
      </c>
      <c r="P1919">
        <v>7</v>
      </c>
      <c r="Q1919" s="1">
        <v>-17.57</v>
      </c>
      <c r="R1919" s="2">
        <f t="shared" si="116"/>
        <v>5827</v>
      </c>
      <c r="S1919" s="1">
        <f t="shared" si="117"/>
        <v>6.5175325764778265</v>
      </c>
      <c r="T1919" t="str">
        <f t="shared" si="118"/>
        <v>Beginner</v>
      </c>
      <c r="U1919" t="str">
        <f t="shared" si="119"/>
        <v>Low Impact</v>
      </c>
    </row>
    <row r="1920" spans="1:21" x14ac:dyDescent="0.3">
      <c r="A1920" t="s">
        <v>65</v>
      </c>
      <c r="B1920">
        <v>26</v>
      </c>
      <c r="C1920" t="s">
        <v>54</v>
      </c>
      <c r="D1920" t="s">
        <v>19</v>
      </c>
      <c r="E1920" t="s">
        <v>41</v>
      </c>
      <c r="F1920" t="s">
        <v>49</v>
      </c>
      <c r="G1920">
        <v>3</v>
      </c>
      <c r="H1920" t="s">
        <v>31</v>
      </c>
      <c r="I1920" t="s">
        <v>37</v>
      </c>
      <c r="J1920" t="s">
        <v>23</v>
      </c>
      <c r="K1920" s="2">
        <v>36910</v>
      </c>
      <c r="L1920" s="2">
        <v>36482</v>
      </c>
      <c r="M1920" t="s">
        <v>38</v>
      </c>
      <c r="N1920">
        <v>49</v>
      </c>
      <c r="O1920" t="s">
        <v>23</v>
      </c>
      <c r="P1920">
        <v>9</v>
      </c>
      <c r="Q1920" s="1">
        <v>-17.57</v>
      </c>
      <c r="R1920" s="2">
        <f t="shared" si="116"/>
        <v>-428</v>
      </c>
      <c r="S1920" s="1">
        <f t="shared" si="117"/>
        <v>-1.1595773503115687</v>
      </c>
      <c r="T1920" t="str">
        <f t="shared" si="118"/>
        <v>Beginner</v>
      </c>
      <c r="U1920" t="str">
        <f t="shared" si="119"/>
        <v>Medium Impact</v>
      </c>
    </row>
    <row r="1921" spans="1:21" x14ac:dyDescent="0.3">
      <c r="A1921" t="s">
        <v>284</v>
      </c>
      <c r="B1921">
        <v>46</v>
      </c>
      <c r="C1921" t="s">
        <v>27</v>
      </c>
      <c r="D1921" t="s">
        <v>28</v>
      </c>
      <c r="E1921" t="s">
        <v>44</v>
      </c>
      <c r="F1921" t="s">
        <v>45</v>
      </c>
      <c r="G1921">
        <v>24</v>
      </c>
      <c r="H1921" t="s">
        <v>31</v>
      </c>
      <c r="I1921" t="s">
        <v>37</v>
      </c>
      <c r="J1921" t="s">
        <v>25</v>
      </c>
      <c r="K1921" s="2">
        <v>81195</v>
      </c>
      <c r="L1921" s="2">
        <v>86633</v>
      </c>
      <c r="M1921" t="s">
        <v>38</v>
      </c>
      <c r="N1921">
        <v>53</v>
      </c>
      <c r="O1921" t="s">
        <v>23</v>
      </c>
      <c r="P1921">
        <v>3</v>
      </c>
      <c r="Q1921" s="1">
        <v>-17.62</v>
      </c>
      <c r="R1921" s="2">
        <f t="shared" si="116"/>
        <v>5438</v>
      </c>
      <c r="S1921" s="1">
        <f t="shared" si="117"/>
        <v>6.6974567399470413</v>
      </c>
      <c r="T1921" t="str">
        <f t="shared" si="118"/>
        <v>Expert</v>
      </c>
      <c r="U1921" t="str">
        <f t="shared" si="119"/>
        <v>Medium Impact</v>
      </c>
    </row>
    <row r="1922" spans="1:21" x14ac:dyDescent="0.3">
      <c r="A1922" t="s">
        <v>1738</v>
      </c>
      <c r="B1922">
        <v>24</v>
      </c>
      <c r="C1922" t="s">
        <v>18</v>
      </c>
      <c r="D1922" t="s">
        <v>40</v>
      </c>
      <c r="E1922" t="s">
        <v>20</v>
      </c>
      <c r="F1922" t="s">
        <v>21</v>
      </c>
      <c r="G1922">
        <v>1</v>
      </c>
      <c r="H1922" t="s">
        <v>37</v>
      </c>
      <c r="I1922" t="s">
        <v>31</v>
      </c>
      <c r="J1922" t="s">
        <v>23</v>
      </c>
      <c r="K1922" s="2">
        <v>47443</v>
      </c>
      <c r="L1922" s="2">
        <v>46435</v>
      </c>
      <c r="M1922" t="s">
        <v>32</v>
      </c>
      <c r="N1922">
        <v>51</v>
      </c>
      <c r="O1922" t="s">
        <v>25</v>
      </c>
      <c r="P1922">
        <v>8</v>
      </c>
      <c r="Q1922" s="1">
        <v>-17.64</v>
      </c>
      <c r="R1922" s="2">
        <f t="shared" ref="R1922:R1985" si="120">L1922-K1922</f>
        <v>-1008</v>
      </c>
      <c r="S1922" s="1">
        <f t="shared" ref="S1922:S1985" si="121">(L1922-K1922)/K1922*100</f>
        <v>-2.1246548489766668</v>
      </c>
      <c r="T1922" t="str">
        <f t="shared" ref="T1922:T1985" si="122">IF(G1922&lt;5,"Beginner",IF(G1922&lt;15,"Intermediate","Expert"))</f>
        <v>Beginner</v>
      </c>
      <c r="U1922" t="str">
        <f t="shared" ref="U1922:U1985" si="123">IF(M1922="Replaced","High Impact",IF(M1922="Modified","Medium Impact","Low Impact"))</f>
        <v>Low Impact</v>
      </c>
    </row>
    <row r="1923" spans="1:21" x14ac:dyDescent="0.3">
      <c r="A1923" t="s">
        <v>481</v>
      </c>
      <c r="B1923">
        <v>45</v>
      </c>
      <c r="C1923" t="s">
        <v>27</v>
      </c>
      <c r="D1923" t="s">
        <v>34</v>
      </c>
      <c r="E1923" t="s">
        <v>44</v>
      </c>
      <c r="F1923" t="s">
        <v>45</v>
      </c>
      <c r="G1923">
        <v>21</v>
      </c>
      <c r="H1923" t="s">
        <v>37</v>
      </c>
      <c r="I1923" t="s">
        <v>22</v>
      </c>
      <c r="J1923" t="s">
        <v>25</v>
      </c>
      <c r="K1923" s="2">
        <v>100188</v>
      </c>
      <c r="L1923" s="2">
        <v>101717</v>
      </c>
      <c r="M1923" t="s">
        <v>32</v>
      </c>
      <c r="N1923">
        <v>45</v>
      </c>
      <c r="O1923" t="s">
        <v>25</v>
      </c>
      <c r="P1923">
        <v>5</v>
      </c>
      <c r="Q1923" s="1">
        <v>-17.66</v>
      </c>
      <c r="R1923" s="2">
        <f t="shared" si="120"/>
        <v>1529</v>
      </c>
      <c r="S1923" s="1">
        <f t="shared" si="121"/>
        <v>1.526130873956961</v>
      </c>
      <c r="T1923" t="str">
        <f t="shared" si="122"/>
        <v>Expert</v>
      </c>
      <c r="U1923" t="str">
        <f t="shared" si="123"/>
        <v>Low Impact</v>
      </c>
    </row>
    <row r="1924" spans="1:21" x14ac:dyDescent="0.3">
      <c r="A1924" t="s">
        <v>886</v>
      </c>
      <c r="B1924">
        <v>37</v>
      </c>
      <c r="C1924" t="s">
        <v>27</v>
      </c>
      <c r="D1924" t="s">
        <v>19</v>
      </c>
      <c r="E1924" t="s">
        <v>44</v>
      </c>
      <c r="F1924" t="s">
        <v>45</v>
      </c>
      <c r="G1924">
        <v>14</v>
      </c>
      <c r="H1924" t="s">
        <v>31</v>
      </c>
      <c r="I1924" t="s">
        <v>37</v>
      </c>
      <c r="J1924" t="s">
        <v>23</v>
      </c>
      <c r="K1924" s="2">
        <v>101537</v>
      </c>
      <c r="L1924" s="2">
        <v>99352</v>
      </c>
      <c r="M1924" t="s">
        <v>38</v>
      </c>
      <c r="N1924">
        <v>47</v>
      </c>
      <c r="O1924" t="s">
        <v>23</v>
      </c>
      <c r="P1924">
        <v>4</v>
      </c>
      <c r="Q1924" s="1">
        <v>-17.66</v>
      </c>
      <c r="R1924" s="2">
        <f t="shared" si="120"/>
        <v>-2185</v>
      </c>
      <c r="S1924" s="1">
        <f t="shared" si="121"/>
        <v>-2.1519249140707331</v>
      </c>
      <c r="T1924" t="str">
        <f t="shared" si="122"/>
        <v>Intermediate</v>
      </c>
      <c r="U1924" t="str">
        <f t="shared" si="123"/>
        <v>Medium Impact</v>
      </c>
    </row>
    <row r="1925" spans="1:21" x14ac:dyDescent="0.3">
      <c r="A1925" t="s">
        <v>656</v>
      </c>
      <c r="B1925">
        <v>56</v>
      </c>
      <c r="C1925" t="s">
        <v>54</v>
      </c>
      <c r="D1925" t="s">
        <v>40</v>
      </c>
      <c r="E1925" t="s">
        <v>51</v>
      </c>
      <c r="F1925" t="s">
        <v>130</v>
      </c>
      <c r="G1925">
        <v>33</v>
      </c>
      <c r="H1925" t="s">
        <v>31</v>
      </c>
      <c r="I1925" t="s">
        <v>31</v>
      </c>
      <c r="J1925" t="s">
        <v>23</v>
      </c>
      <c r="K1925" s="2">
        <v>82656</v>
      </c>
      <c r="L1925" s="2">
        <v>87974</v>
      </c>
      <c r="M1925" t="s">
        <v>32</v>
      </c>
      <c r="N1925">
        <v>49</v>
      </c>
      <c r="O1925" t="s">
        <v>25</v>
      </c>
      <c r="P1925">
        <v>5</v>
      </c>
      <c r="Q1925" s="1">
        <v>-17.66</v>
      </c>
      <c r="R1925" s="2">
        <f t="shared" si="120"/>
        <v>5318</v>
      </c>
      <c r="S1925" s="1">
        <f t="shared" si="121"/>
        <v>6.4338946960898173</v>
      </c>
      <c r="T1925" t="str">
        <f t="shared" si="122"/>
        <v>Expert</v>
      </c>
      <c r="U1925" t="str">
        <f t="shared" si="123"/>
        <v>Low Impact</v>
      </c>
    </row>
    <row r="1926" spans="1:21" x14ac:dyDescent="0.3">
      <c r="A1926" t="s">
        <v>558</v>
      </c>
      <c r="B1926">
        <v>44</v>
      </c>
      <c r="C1926" t="s">
        <v>54</v>
      </c>
      <c r="D1926" t="s">
        <v>40</v>
      </c>
      <c r="E1926" t="s">
        <v>59</v>
      </c>
      <c r="F1926" t="s">
        <v>93</v>
      </c>
      <c r="G1926">
        <v>21</v>
      </c>
      <c r="H1926" t="s">
        <v>31</v>
      </c>
      <c r="I1926" t="s">
        <v>31</v>
      </c>
      <c r="J1926" t="s">
        <v>25</v>
      </c>
      <c r="K1926" s="2">
        <v>42602</v>
      </c>
      <c r="L1926" s="2">
        <v>41883</v>
      </c>
      <c r="M1926" t="s">
        <v>32</v>
      </c>
      <c r="N1926">
        <v>35</v>
      </c>
      <c r="O1926" t="s">
        <v>23</v>
      </c>
      <c r="P1926">
        <v>3</v>
      </c>
      <c r="Q1926" s="1">
        <v>-17.66</v>
      </c>
      <c r="R1926" s="2">
        <f t="shared" si="120"/>
        <v>-719</v>
      </c>
      <c r="S1926" s="1">
        <f t="shared" si="121"/>
        <v>-1.68771419182198</v>
      </c>
      <c r="T1926" t="str">
        <f t="shared" si="122"/>
        <v>Expert</v>
      </c>
      <c r="U1926" t="str">
        <f t="shared" si="123"/>
        <v>Low Impact</v>
      </c>
    </row>
    <row r="1927" spans="1:21" x14ac:dyDescent="0.3">
      <c r="A1927" t="s">
        <v>106</v>
      </c>
      <c r="B1927">
        <v>43</v>
      </c>
      <c r="C1927" t="s">
        <v>54</v>
      </c>
      <c r="D1927" t="s">
        <v>19</v>
      </c>
      <c r="E1927" t="s">
        <v>44</v>
      </c>
      <c r="F1927" t="s">
        <v>57</v>
      </c>
      <c r="G1927">
        <v>20</v>
      </c>
      <c r="H1927" t="s">
        <v>22</v>
      </c>
      <c r="I1927" t="s">
        <v>31</v>
      </c>
      <c r="J1927" t="s">
        <v>23</v>
      </c>
      <c r="K1927" s="2">
        <v>86661</v>
      </c>
      <c r="L1927" s="2">
        <v>82341</v>
      </c>
      <c r="M1927" t="s">
        <v>32</v>
      </c>
      <c r="N1927">
        <v>49</v>
      </c>
      <c r="O1927" t="s">
        <v>25</v>
      </c>
      <c r="P1927">
        <v>8</v>
      </c>
      <c r="Q1927" s="1">
        <v>-17.670000000000002</v>
      </c>
      <c r="R1927" s="2">
        <f t="shared" si="120"/>
        <v>-4320</v>
      </c>
      <c r="S1927" s="1">
        <f t="shared" si="121"/>
        <v>-4.9849413230865096</v>
      </c>
      <c r="T1927" t="str">
        <f t="shared" si="122"/>
        <v>Expert</v>
      </c>
      <c r="U1927" t="str">
        <f t="shared" si="123"/>
        <v>Low Impact</v>
      </c>
    </row>
    <row r="1928" spans="1:21" x14ac:dyDescent="0.3">
      <c r="A1928" t="s">
        <v>959</v>
      </c>
      <c r="B1928">
        <v>46</v>
      </c>
      <c r="C1928" t="s">
        <v>54</v>
      </c>
      <c r="D1928" t="s">
        <v>19</v>
      </c>
      <c r="E1928" t="s">
        <v>20</v>
      </c>
      <c r="F1928" t="s">
        <v>88</v>
      </c>
      <c r="G1928">
        <v>21</v>
      </c>
      <c r="H1928" t="s">
        <v>31</v>
      </c>
      <c r="I1928" t="s">
        <v>31</v>
      </c>
      <c r="J1928" t="s">
        <v>25</v>
      </c>
      <c r="K1928" s="2">
        <v>50836</v>
      </c>
      <c r="L1928" s="2">
        <v>50595</v>
      </c>
      <c r="M1928" t="s">
        <v>32</v>
      </c>
      <c r="N1928">
        <v>43</v>
      </c>
      <c r="O1928" t="s">
        <v>25</v>
      </c>
      <c r="P1928">
        <v>6</v>
      </c>
      <c r="Q1928" s="1">
        <v>-17.760000000000002</v>
      </c>
      <c r="R1928" s="2">
        <f t="shared" si="120"/>
        <v>-241</v>
      </c>
      <c r="S1928" s="1">
        <f t="shared" si="121"/>
        <v>-0.47407349122668974</v>
      </c>
      <c r="T1928" t="str">
        <f t="shared" si="122"/>
        <v>Expert</v>
      </c>
      <c r="U1928" t="str">
        <f t="shared" si="123"/>
        <v>Low Impact</v>
      </c>
    </row>
    <row r="1929" spans="1:21" x14ac:dyDescent="0.3">
      <c r="A1929" t="s">
        <v>1210</v>
      </c>
      <c r="B1929">
        <v>44</v>
      </c>
      <c r="C1929" t="s">
        <v>27</v>
      </c>
      <c r="D1929" t="s">
        <v>40</v>
      </c>
      <c r="E1929" t="s">
        <v>35</v>
      </c>
      <c r="F1929" t="s">
        <v>36</v>
      </c>
      <c r="G1929">
        <v>20</v>
      </c>
      <c r="H1929" t="s">
        <v>22</v>
      </c>
      <c r="I1929" t="s">
        <v>37</v>
      </c>
      <c r="J1929" t="s">
        <v>25</v>
      </c>
      <c r="K1929" s="2">
        <v>56872</v>
      </c>
      <c r="L1929" s="2">
        <v>53953</v>
      </c>
      <c r="M1929" t="s">
        <v>38</v>
      </c>
      <c r="N1929">
        <v>40</v>
      </c>
      <c r="O1929" t="s">
        <v>25</v>
      </c>
      <c r="P1929">
        <v>4</v>
      </c>
      <c r="Q1929" s="1">
        <v>-17.82</v>
      </c>
      <c r="R1929" s="2">
        <f t="shared" si="120"/>
        <v>-2919</v>
      </c>
      <c r="S1929" s="1">
        <f t="shared" si="121"/>
        <v>-5.1325784217189483</v>
      </c>
      <c r="T1929" t="str">
        <f t="shared" si="122"/>
        <v>Expert</v>
      </c>
      <c r="U1929" t="str">
        <f t="shared" si="123"/>
        <v>Medium Impact</v>
      </c>
    </row>
    <row r="1930" spans="1:21" x14ac:dyDescent="0.3">
      <c r="A1930" t="s">
        <v>885</v>
      </c>
      <c r="B1930">
        <v>53</v>
      </c>
      <c r="C1930" t="s">
        <v>54</v>
      </c>
      <c r="D1930" t="s">
        <v>34</v>
      </c>
      <c r="E1930" t="s">
        <v>41</v>
      </c>
      <c r="F1930" t="s">
        <v>42</v>
      </c>
      <c r="G1930">
        <v>31</v>
      </c>
      <c r="H1930" t="s">
        <v>37</v>
      </c>
      <c r="I1930" t="s">
        <v>37</v>
      </c>
      <c r="J1930" t="s">
        <v>23</v>
      </c>
      <c r="K1930" s="2">
        <v>40345</v>
      </c>
      <c r="L1930" s="2">
        <v>37649</v>
      </c>
      <c r="M1930" t="s">
        <v>38</v>
      </c>
      <c r="N1930">
        <v>40</v>
      </c>
      <c r="O1930" t="s">
        <v>23</v>
      </c>
      <c r="P1930">
        <v>8</v>
      </c>
      <c r="Q1930" s="1">
        <v>-17.86</v>
      </c>
      <c r="R1930" s="2">
        <f t="shared" si="120"/>
        <v>-2696</v>
      </c>
      <c r="S1930" s="1">
        <f t="shared" si="121"/>
        <v>-6.6823646052794645</v>
      </c>
      <c r="T1930" t="str">
        <f t="shared" si="122"/>
        <v>Expert</v>
      </c>
      <c r="U1930" t="str">
        <f t="shared" si="123"/>
        <v>Medium Impact</v>
      </c>
    </row>
    <row r="1931" spans="1:21" x14ac:dyDescent="0.3">
      <c r="A1931" t="s">
        <v>953</v>
      </c>
      <c r="B1931">
        <v>58</v>
      </c>
      <c r="C1931" t="s">
        <v>27</v>
      </c>
      <c r="D1931" t="s">
        <v>34</v>
      </c>
      <c r="E1931" t="s">
        <v>41</v>
      </c>
      <c r="F1931" t="s">
        <v>42</v>
      </c>
      <c r="G1931">
        <v>35</v>
      </c>
      <c r="H1931" t="s">
        <v>31</v>
      </c>
      <c r="I1931" t="s">
        <v>22</v>
      </c>
      <c r="J1931" t="s">
        <v>23</v>
      </c>
      <c r="K1931" s="2">
        <v>82311</v>
      </c>
      <c r="L1931" s="2">
        <v>82465</v>
      </c>
      <c r="M1931" t="s">
        <v>32</v>
      </c>
      <c r="N1931">
        <v>43</v>
      </c>
      <c r="O1931" t="s">
        <v>25</v>
      </c>
      <c r="P1931">
        <v>9</v>
      </c>
      <c r="Q1931" s="1">
        <v>-17.89</v>
      </c>
      <c r="R1931" s="2">
        <f t="shared" si="120"/>
        <v>154</v>
      </c>
      <c r="S1931" s="1">
        <f t="shared" si="121"/>
        <v>0.18709528495583821</v>
      </c>
      <c r="T1931" t="str">
        <f t="shared" si="122"/>
        <v>Expert</v>
      </c>
      <c r="U1931" t="str">
        <f t="shared" si="123"/>
        <v>Low Impact</v>
      </c>
    </row>
    <row r="1932" spans="1:21" x14ac:dyDescent="0.3">
      <c r="A1932" t="s">
        <v>1758</v>
      </c>
      <c r="B1932">
        <v>52</v>
      </c>
      <c r="C1932" t="s">
        <v>54</v>
      </c>
      <c r="D1932" t="s">
        <v>28</v>
      </c>
      <c r="E1932" t="s">
        <v>35</v>
      </c>
      <c r="F1932" t="s">
        <v>132</v>
      </c>
      <c r="G1932">
        <v>29</v>
      </c>
      <c r="H1932" t="s">
        <v>37</v>
      </c>
      <c r="I1932" t="s">
        <v>37</v>
      </c>
      <c r="J1932" t="s">
        <v>23</v>
      </c>
      <c r="K1932" s="2">
        <v>102999</v>
      </c>
      <c r="L1932" s="2">
        <v>100633</v>
      </c>
      <c r="M1932" t="s">
        <v>38</v>
      </c>
      <c r="N1932">
        <v>38</v>
      </c>
      <c r="O1932" t="s">
        <v>25</v>
      </c>
      <c r="P1932">
        <v>3</v>
      </c>
      <c r="Q1932" s="1">
        <v>-17.91</v>
      </c>
      <c r="R1932" s="2">
        <f t="shared" si="120"/>
        <v>-2366</v>
      </c>
      <c r="S1932" s="1">
        <f t="shared" si="121"/>
        <v>-2.2971096806765114</v>
      </c>
      <c r="T1932" t="str">
        <f t="shared" si="122"/>
        <v>Expert</v>
      </c>
      <c r="U1932" t="str">
        <f t="shared" si="123"/>
        <v>Medium Impact</v>
      </c>
    </row>
    <row r="1933" spans="1:21" x14ac:dyDescent="0.3">
      <c r="A1933" t="s">
        <v>1993</v>
      </c>
      <c r="B1933">
        <v>42</v>
      </c>
      <c r="C1933" t="s">
        <v>27</v>
      </c>
      <c r="D1933" t="s">
        <v>40</v>
      </c>
      <c r="E1933" t="s">
        <v>35</v>
      </c>
      <c r="F1933" t="s">
        <v>36</v>
      </c>
      <c r="G1933">
        <v>17</v>
      </c>
      <c r="H1933" t="s">
        <v>37</v>
      </c>
      <c r="I1933" t="s">
        <v>37</v>
      </c>
      <c r="J1933" t="s">
        <v>25</v>
      </c>
      <c r="K1933" s="2">
        <v>36450</v>
      </c>
      <c r="L1933" s="2">
        <v>39871</v>
      </c>
      <c r="M1933" t="s">
        <v>38</v>
      </c>
      <c r="N1933">
        <v>45</v>
      </c>
      <c r="O1933" t="s">
        <v>25</v>
      </c>
      <c r="P1933">
        <v>8</v>
      </c>
      <c r="Q1933" s="1">
        <v>-17.91</v>
      </c>
      <c r="R1933" s="2">
        <f t="shared" si="120"/>
        <v>3421</v>
      </c>
      <c r="S1933" s="1">
        <f t="shared" si="121"/>
        <v>9.3854595336076816</v>
      </c>
      <c r="T1933" t="str">
        <f t="shared" si="122"/>
        <v>Expert</v>
      </c>
      <c r="U1933" t="str">
        <f t="shared" si="123"/>
        <v>Medium Impact</v>
      </c>
    </row>
    <row r="1934" spans="1:21" x14ac:dyDescent="0.3">
      <c r="A1934" t="s">
        <v>451</v>
      </c>
      <c r="B1934">
        <v>37</v>
      </c>
      <c r="C1934" t="s">
        <v>54</v>
      </c>
      <c r="D1934" t="s">
        <v>34</v>
      </c>
      <c r="E1934" t="s">
        <v>59</v>
      </c>
      <c r="F1934" t="s">
        <v>60</v>
      </c>
      <c r="G1934">
        <v>11</v>
      </c>
      <c r="H1934" t="s">
        <v>22</v>
      </c>
      <c r="I1934" t="s">
        <v>22</v>
      </c>
      <c r="J1934" t="s">
        <v>23</v>
      </c>
      <c r="K1934" s="2">
        <v>104813</v>
      </c>
      <c r="L1934" s="2">
        <v>133819</v>
      </c>
      <c r="M1934" t="s">
        <v>38</v>
      </c>
      <c r="N1934">
        <v>37</v>
      </c>
      <c r="O1934" t="s">
        <v>23</v>
      </c>
      <c r="P1934">
        <v>5</v>
      </c>
      <c r="Q1934" s="1">
        <v>-17.920000000000002</v>
      </c>
      <c r="R1934" s="2">
        <f t="shared" si="120"/>
        <v>29006</v>
      </c>
      <c r="S1934" s="1">
        <f t="shared" si="121"/>
        <v>27.67404806655663</v>
      </c>
      <c r="T1934" t="str">
        <f t="shared" si="122"/>
        <v>Intermediate</v>
      </c>
      <c r="U1934" t="str">
        <f t="shared" si="123"/>
        <v>Medium Impact</v>
      </c>
    </row>
    <row r="1935" spans="1:21" x14ac:dyDescent="0.3">
      <c r="A1935" t="s">
        <v>48</v>
      </c>
      <c r="B1935">
        <v>49</v>
      </c>
      <c r="C1935" t="s">
        <v>27</v>
      </c>
      <c r="D1935" t="s">
        <v>40</v>
      </c>
      <c r="E1935" t="s">
        <v>41</v>
      </c>
      <c r="F1935" t="s">
        <v>49</v>
      </c>
      <c r="G1935">
        <v>24</v>
      </c>
      <c r="H1935" t="s">
        <v>22</v>
      </c>
      <c r="I1935" t="s">
        <v>37</v>
      </c>
      <c r="J1935" t="s">
        <v>25</v>
      </c>
      <c r="K1935" s="2">
        <v>78555</v>
      </c>
      <c r="L1935" s="2">
        <v>86183</v>
      </c>
      <c r="M1935" t="s">
        <v>38</v>
      </c>
      <c r="N1935">
        <v>48</v>
      </c>
      <c r="O1935" t="s">
        <v>23</v>
      </c>
      <c r="P1935">
        <v>3</v>
      </c>
      <c r="Q1935" s="1">
        <v>-17.940000000000001</v>
      </c>
      <c r="R1935" s="2">
        <f t="shared" si="120"/>
        <v>7628</v>
      </c>
      <c r="S1935" s="1">
        <f t="shared" si="121"/>
        <v>9.7103939914709425</v>
      </c>
      <c r="T1935" t="str">
        <f t="shared" si="122"/>
        <v>Expert</v>
      </c>
      <c r="U1935" t="str">
        <f t="shared" si="123"/>
        <v>Medium Impact</v>
      </c>
    </row>
    <row r="1936" spans="1:21" x14ac:dyDescent="0.3">
      <c r="A1936" t="s">
        <v>1800</v>
      </c>
      <c r="B1936">
        <v>29</v>
      </c>
      <c r="C1936" t="s">
        <v>54</v>
      </c>
      <c r="D1936" t="s">
        <v>40</v>
      </c>
      <c r="E1936" t="s">
        <v>51</v>
      </c>
      <c r="F1936" t="s">
        <v>130</v>
      </c>
      <c r="G1936">
        <v>4</v>
      </c>
      <c r="H1936" t="s">
        <v>31</v>
      </c>
      <c r="I1936" t="s">
        <v>22</v>
      </c>
      <c r="J1936" t="s">
        <v>25</v>
      </c>
      <c r="K1936" s="2">
        <v>89719</v>
      </c>
      <c r="L1936" s="2">
        <v>85395</v>
      </c>
      <c r="M1936" t="s">
        <v>32</v>
      </c>
      <c r="N1936">
        <v>50</v>
      </c>
      <c r="O1936" t="s">
        <v>23</v>
      </c>
      <c r="P1936">
        <v>3</v>
      </c>
      <c r="Q1936" s="1">
        <v>-17.940000000000001</v>
      </c>
      <c r="R1936" s="2">
        <f t="shared" si="120"/>
        <v>-4324</v>
      </c>
      <c r="S1936" s="1">
        <f t="shared" si="121"/>
        <v>-4.8194919693710361</v>
      </c>
      <c r="T1936" t="str">
        <f t="shared" si="122"/>
        <v>Beginner</v>
      </c>
      <c r="U1936" t="str">
        <f t="shared" si="123"/>
        <v>Low Impact</v>
      </c>
    </row>
    <row r="1937" spans="1:21" x14ac:dyDescent="0.3">
      <c r="A1937" t="s">
        <v>1047</v>
      </c>
      <c r="B1937">
        <v>22</v>
      </c>
      <c r="C1937" t="s">
        <v>54</v>
      </c>
      <c r="D1937" t="s">
        <v>28</v>
      </c>
      <c r="E1937" t="s">
        <v>20</v>
      </c>
      <c r="F1937" t="s">
        <v>88</v>
      </c>
      <c r="G1937">
        <v>0</v>
      </c>
      <c r="H1937" t="s">
        <v>31</v>
      </c>
      <c r="I1937" t="s">
        <v>22</v>
      </c>
      <c r="J1937" t="s">
        <v>25</v>
      </c>
      <c r="K1937" s="2">
        <v>90624</v>
      </c>
      <c r="L1937" s="2">
        <v>91965</v>
      </c>
      <c r="M1937" t="s">
        <v>32</v>
      </c>
      <c r="N1937">
        <v>47</v>
      </c>
      <c r="O1937" t="s">
        <v>23</v>
      </c>
      <c r="P1937">
        <v>8</v>
      </c>
      <c r="Q1937" s="1">
        <v>-18.02</v>
      </c>
      <c r="R1937" s="2">
        <f t="shared" si="120"/>
        <v>1341</v>
      </c>
      <c r="S1937" s="1">
        <f t="shared" si="121"/>
        <v>1.4797404661016951</v>
      </c>
      <c r="T1937" t="str">
        <f t="shared" si="122"/>
        <v>Beginner</v>
      </c>
      <c r="U1937" t="str">
        <f t="shared" si="123"/>
        <v>Low Impact</v>
      </c>
    </row>
    <row r="1938" spans="1:21" x14ac:dyDescent="0.3">
      <c r="A1938" t="s">
        <v>1798</v>
      </c>
      <c r="B1938">
        <v>25</v>
      </c>
      <c r="C1938" t="s">
        <v>18</v>
      </c>
      <c r="D1938" t="s">
        <v>40</v>
      </c>
      <c r="E1938" t="s">
        <v>35</v>
      </c>
      <c r="F1938" t="s">
        <v>36</v>
      </c>
      <c r="G1938">
        <v>3</v>
      </c>
      <c r="H1938" t="s">
        <v>31</v>
      </c>
      <c r="I1938" t="s">
        <v>31</v>
      </c>
      <c r="J1938" t="s">
        <v>25</v>
      </c>
      <c r="K1938" s="2">
        <v>92919</v>
      </c>
      <c r="L1938" s="2">
        <v>95101</v>
      </c>
      <c r="M1938" t="s">
        <v>32</v>
      </c>
      <c r="N1938">
        <v>45</v>
      </c>
      <c r="O1938" t="s">
        <v>23</v>
      </c>
      <c r="P1938">
        <v>8</v>
      </c>
      <c r="Q1938" s="1">
        <v>-18.07</v>
      </c>
      <c r="R1938" s="2">
        <f t="shared" si="120"/>
        <v>2182</v>
      </c>
      <c r="S1938" s="1">
        <f t="shared" si="121"/>
        <v>2.3482818368686704</v>
      </c>
      <c r="T1938" t="str">
        <f t="shared" si="122"/>
        <v>Beginner</v>
      </c>
      <c r="U1938" t="str">
        <f t="shared" si="123"/>
        <v>Low Impact</v>
      </c>
    </row>
    <row r="1939" spans="1:21" x14ac:dyDescent="0.3">
      <c r="A1939" t="s">
        <v>1429</v>
      </c>
      <c r="B1939">
        <v>39</v>
      </c>
      <c r="C1939" t="s">
        <v>54</v>
      </c>
      <c r="D1939" t="s">
        <v>28</v>
      </c>
      <c r="E1939" t="s">
        <v>44</v>
      </c>
      <c r="F1939" t="s">
        <v>47</v>
      </c>
      <c r="G1939">
        <v>14</v>
      </c>
      <c r="H1939" t="s">
        <v>37</v>
      </c>
      <c r="I1939" t="s">
        <v>22</v>
      </c>
      <c r="J1939" t="s">
        <v>25</v>
      </c>
      <c r="K1939" s="2">
        <v>44961</v>
      </c>
      <c r="L1939" s="2">
        <v>51784</v>
      </c>
      <c r="M1939" t="s">
        <v>32</v>
      </c>
      <c r="N1939">
        <v>43</v>
      </c>
      <c r="O1939" t="s">
        <v>25</v>
      </c>
      <c r="P1939">
        <v>5</v>
      </c>
      <c r="Q1939" s="1">
        <v>-18.079999999999998</v>
      </c>
      <c r="R1939" s="2">
        <f t="shared" si="120"/>
        <v>6823</v>
      </c>
      <c r="S1939" s="1">
        <f t="shared" si="121"/>
        <v>15.175374213207002</v>
      </c>
      <c r="T1939" t="str">
        <f t="shared" si="122"/>
        <v>Intermediate</v>
      </c>
      <c r="U1939" t="str">
        <f t="shared" si="123"/>
        <v>Low Impact</v>
      </c>
    </row>
    <row r="1940" spans="1:21" x14ac:dyDescent="0.3">
      <c r="A1940" t="s">
        <v>1096</v>
      </c>
      <c r="B1940">
        <v>50</v>
      </c>
      <c r="C1940" t="s">
        <v>54</v>
      </c>
      <c r="D1940" t="s">
        <v>28</v>
      </c>
      <c r="E1940" t="s">
        <v>35</v>
      </c>
      <c r="F1940" t="s">
        <v>98</v>
      </c>
      <c r="G1940">
        <v>26</v>
      </c>
      <c r="H1940" t="s">
        <v>22</v>
      </c>
      <c r="I1940" t="s">
        <v>37</v>
      </c>
      <c r="J1940" t="s">
        <v>23</v>
      </c>
      <c r="K1940" s="2">
        <v>88701</v>
      </c>
      <c r="L1940" s="2">
        <v>110451</v>
      </c>
      <c r="M1940" t="s">
        <v>38</v>
      </c>
      <c r="N1940">
        <v>37</v>
      </c>
      <c r="O1940" t="s">
        <v>25</v>
      </c>
      <c r="P1940">
        <v>8</v>
      </c>
      <c r="Q1940" s="1">
        <v>-18.11</v>
      </c>
      <c r="R1940" s="2">
        <f t="shared" si="120"/>
        <v>21750</v>
      </c>
      <c r="S1940" s="1">
        <f t="shared" si="121"/>
        <v>24.520580376771399</v>
      </c>
      <c r="T1940" t="str">
        <f t="shared" si="122"/>
        <v>Expert</v>
      </c>
      <c r="U1940" t="str">
        <f t="shared" si="123"/>
        <v>Medium Impact</v>
      </c>
    </row>
    <row r="1941" spans="1:21" x14ac:dyDescent="0.3">
      <c r="A1941" t="s">
        <v>66</v>
      </c>
      <c r="B1941">
        <v>47</v>
      </c>
      <c r="C1941" t="s">
        <v>54</v>
      </c>
      <c r="D1941" t="s">
        <v>40</v>
      </c>
      <c r="E1941" t="s">
        <v>41</v>
      </c>
      <c r="F1941" t="s">
        <v>42</v>
      </c>
      <c r="G1941">
        <v>24</v>
      </c>
      <c r="H1941" t="s">
        <v>22</v>
      </c>
      <c r="I1941" t="s">
        <v>37</v>
      </c>
      <c r="J1941" t="s">
        <v>23</v>
      </c>
      <c r="K1941" s="2">
        <v>53419</v>
      </c>
      <c r="L1941" s="2">
        <v>46193</v>
      </c>
      <c r="M1941" t="s">
        <v>38</v>
      </c>
      <c r="N1941">
        <v>41</v>
      </c>
      <c r="O1941" t="s">
        <v>23</v>
      </c>
      <c r="P1941">
        <v>3</v>
      </c>
      <c r="Q1941" s="1">
        <v>-18.11</v>
      </c>
      <c r="R1941" s="2">
        <f t="shared" si="120"/>
        <v>-7226</v>
      </c>
      <c r="S1941" s="1">
        <f t="shared" si="121"/>
        <v>-13.52702222055823</v>
      </c>
      <c r="T1941" t="str">
        <f t="shared" si="122"/>
        <v>Expert</v>
      </c>
      <c r="U1941" t="str">
        <f t="shared" si="123"/>
        <v>Medium Impact</v>
      </c>
    </row>
    <row r="1942" spans="1:21" x14ac:dyDescent="0.3">
      <c r="A1942" t="s">
        <v>231</v>
      </c>
      <c r="B1942">
        <v>45</v>
      </c>
      <c r="C1942" t="s">
        <v>54</v>
      </c>
      <c r="D1942" t="s">
        <v>40</v>
      </c>
      <c r="E1942" t="s">
        <v>44</v>
      </c>
      <c r="F1942" t="s">
        <v>57</v>
      </c>
      <c r="G1942">
        <v>19</v>
      </c>
      <c r="H1942" t="s">
        <v>31</v>
      </c>
      <c r="I1942" t="s">
        <v>31</v>
      </c>
      <c r="J1942" t="s">
        <v>23</v>
      </c>
      <c r="K1942" s="2">
        <v>119399</v>
      </c>
      <c r="L1942" s="2">
        <v>117278</v>
      </c>
      <c r="M1942" t="s">
        <v>32</v>
      </c>
      <c r="N1942">
        <v>54</v>
      </c>
      <c r="O1942" t="s">
        <v>25</v>
      </c>
      <c r="P1942">
        <v>5</v>
      </c>
      <c r="Q1942" s="1">
        <v>-18.13</v>
      </c>
      <c r="R1942" s="2">
        <f t="shared" si="120"/>
        <v>-2121</v>
      </c>
      <c r="S1942" s="1">
        <f t="shared" si="121"/>
        <v>-1.7763967872427744</v>
      </c>
      <c r="T1942" t="str">
        <f t="shared" si="122"/>
        <v>Expert</v>
      </c>
      <c r="U1942" t="str">
        <f t="shared" si="123"/>
        <v>Low Impact</v>
      </c>
    </row>
    <row r="1943" spans="1:21" x14ac:dyDescent="0.3">
      <c r="A1943" t="s">
        <v>1522</v>
      </c>
      <c r="B1943">
        <v>26</v>
      </c>
      <c r="C1943" t="s">
        <v>54</v>
      </c>
      <c r="D1943" t="s">
        <v>34</v>
      </c>
      <c r="E1943" t="s">
        <v>29</v>
      </c>
      <c r="F1943" t="s">
        <v>102</v>
      </c>
      <c r="G1943">
        <v>0</v>
      </c>
      <c r="H1943" t="s">
        <v>31</v>
      </c>
      <c r="I1943" t="s">
        <v>31</v>
      </c>
      <c r="J1943" t="s">
        <v>25</v>
      </c>
      <c r="K1943" s="2">
        <v>65999</v>
      </c>
      <c r="L1943" s="2">
        <v>71326</v>
      </c>
      <c r="M1943" t="s">
        <v>32</v>
      </c>
      <c r="N1943">
        <v>45</v>
      </c>
      <c r="O1943" t="s">
        <v>23</v>
      </c>
      <c r="P1943">
        <v>7</v>
      </c>
      <c r="Q1943" s="1">
        <v>-18.18</v>
      </c>
      <c r="R1943" s="2">
        <f t="shared" si="120"/>
        <v>5327</v>
      </c>
      <c r="S1943" s="1">
        <f t="shared" si="121"/>
        <v>8.071334414157791</v>
      </c>
      <c r="T1943" t="str">
        <f t="shared" si="122"/>
        <v>Beginner</v>
      </c>
      <c r="U1943" t="str">
        <f t="shared" si="123"/>
        <v>Low Impact</v>
      </c>
    </row>
    <row r="1944" spans="1:21" x14ac:dyDescent="0.3">
      <c r="A1944" t="s">
        <v>313</v>
      </c>
      <c r="B1944">
        <v>44</v>
      </c>
      <c r="C1944" t="s">
        <v>27</v>
      </c>
      <c r="D1944" t="s">
        <v>40</v>
      </c>
      <c r="E1944" t="s">
        <v>41</v>
      </c>
      <c r="F1944" t="s">
        <v>55</v>
      </c>
      <c r="G1944">
        <v>19</v>
      </c>
      <c r="H1944" t="s">
        <v>37</v>
      </c>
      <c r="I1944" t="s">
        <v>31</v>
      </c>
      <c r="J1944" t="s">
        <v>23</v>
      </c>
      <c r="K1944" s="2">
        <v>109141</v>
      </c>
      <c r="L1944" s="2">
        <v>102799</v>
      </c>
      <c r="M1944" t="s">
        <v>32</v>
      </c>
      <c r="N1944">
        <v>47</v>
      </c>
      <c r="O1944" t="s">
        <v>25</v>
      </c>
      <c r="P1944">
        <v>6</v>
      </c>
      <c r="Q1944" s="1">
        <v>-18.2</v>
      </c>
      <c r="R1944" s="2">
        <f t="shared" si="120"/>
        <v>-6342</v>
      </c>
      <c r="S1944" s="1">
        <f t="shared" si="121"/>
        <v>-5.8108318597044191</v>
      </c>
      <c r="T1944" t="str">
        <f t="shared" si="122"/>
        <v>Expert</v>
      </c>
      <c r="U1944" t="str">
        <f t="shared" si="123"/>
        <v>Low Impact</v>
      </c>
    </row>
    <row r="1945" spans="1:21" x14ac:dyDescent="0.3">
      <c r="A1945" t="s">
        <v>1207</v>
      </c>
      <c r="B1945">
        <v>51</v>
      </c>
      <c r="C1945" t="s">
        <v>27</v>
      </c>
      <c r="D1945" t="s">
        <v>28</v>
      </c>
      <c r="E1945" t="s">
        <v>35</v>
      </c>
      <c r="F1945" t="s">
        <v>98</v>
      </c>
      <c r="G1945">
        <v>27</v>
      </c>
      <c r="H1945" t="s">
        <v>37</v>
      </c>
      <c r="I1945" t="s">
        <v>22</v>
      </c>
      <c r="J1945" t="s">
        <v>23</v>
      </c>
      <c r="K1945" s="2">
        <v>60255</v>
      </c>
      <c r="L1945" s="2">
        <v>70662</v>
      </c>
      <c r="M1945" t="s">
        <v>32</v>
      </c>
      <c r="N1945">
        <v>46</v>
      </c>
      <c r="O1945" t="s">
        <v>23</v>
      </c>
      <c r="P1945">
        <v>7</v>
      </c>
      <c r="Q1945" s="1">
        <v>-18.25</v>
      </c>
      <c r="R1945" s="2">
        <f t="shared" si="120"/>
        <v>10407</v>
      </c>
      <c r="S1945" s="1">
        <f t="shared" si="121"/>
        <v>17.271595718197659</v>
      </c>
      <c r="T1945" t="str">
        <f t="shared" si="122"/>
        <v>Expert</v>
      </c>
      <c r="U1945" t="str">
        <f t="shared" si="123"/>
        <v>Low Impact</v>
      </c>
    </row>
    <row r="1946" spans="1:21" x14ac:dyDescent="0.3">
      <c r="A1946" t="s">
        <v>553</v>
      </c>
      <c r="B1946">
        <v>29</v>
      </c>
      <c r="C1946" t="s">
        <v>54</v>
      </c>
      <c r="D1946" t="s">
        <v>40</v>
      </c>
      <c r="E1946" t="s">
        <v>59</v>
      </c>
      <c r="F1946" t="s">
        <v>77</v>
      </c>
      <c r="G1946">
        <v>5</v>
      </c>
      <c r="H1946" t="s">
        <v>31</v>
      </c>
      <c r="I1946" t="s">
        <v>22</v>
      </c>
      <c r="J1946" t="s">
        <v>23</v>
      </c>
      <c r="K1946" s="2">
        <v>57413</v>
      </c>
      <c r="L1946" s="2">
        <v>58234</v>
      </c>
      <c r="M1946" t="s">
        <v>32</v>
      </c>
      <c r="N1946">
        <v>37</v>
      </c>
      <c r="O1946" t="s">
        <v>23</v>
      </c>
      <c r="P1946">
        <v>6</v>
      </c>
      <c r="Q1946" s="1">
        <v>-18.25</v>
      </c>
      <c r="R1946" s="2">
        <f t="shared" si="120"/>
        <v>821</v>
      </c>
      <c r="S1946" s="1">
        <f t="shared" si="121"/>
        <v>1.4299897235817671</v>
      </c>
      <c r="T1946" t="str">
        <f t="shared" si="122"/>
        <v>Intermediate</v>
      </c>
      <c r="U1946" t="str">
        <f t="shared" si="123"/>
        <v>Low Impact</v>
      </c>
    </row>
    <row r="1947" spans="1:21" x14ac:dyDescent="0.3">
      <c r="A1947" t="s">
        <v>772</v>
      </c>
      <c r="B1947">
        <v>53</v>
      </c>
      <c r="C1947" t="s">
        <v>54</v>
      </c>
      <c r="D1947" t="s">
        <v>28</v>
      </c>
      <c r="E1947" t="s">
        <v>44</v>
      </c>
      <c r="F1947" t="s">
        <v>57</v>
      </c>
      <c r="G1947">
        <v>30</v>
      </c>
      <c r="H1947" t="s">
        <v>31</v>
      </c>
      <c r="I1947" t="s">
        <v>31</v>
      </c>
      <c r="J1947" t="s">
        <v>25</v>
      </c>
      <c r="K1947" s="2">
        <v>35543</v>
      </c>
      <c r="L1947" s="2">
        <v>34439</v>
      </c>
      <c r="M1947" t="s">
        <v>32</v>
      </c>
      <c r="N1947">
        <v>44</v>
      </c>
      <c r="O1947" t="s">
        <v>23</v>
      </c>
      <c r="P1947">
        <v>3</v>
      </c>
      <c r="Q1947" s="1">
        <v>-18.329999999999998</v>
      </c>
      <c r="R1947" s="2">
        <f t="shared" si="120"/>
        <v>-1104</v>
      </c>
      <c r="S1947" s="1">
        <f t="shared" si="121"/>
        <v>-3.1060968404467828</v>
      </c>
      <c r="T1947" t="str">
        <f t="shared" si="122"/>
        <v>Expert</v>
      </c>
      <c r="U1947" t="str">
        <f t="shared" si="123"/>
        <v>Low Impact</v>
      </c>
    </row>
    <row r="1948" spans="1:21" x14ac:dyDescent="0.3">
      <c r="A1948" t="s">
        <v>445</v>
      </c>
      <c r="B1948">
        <v>41</v>
      </c>
      <c r="C1948" t="s">
        <v>54</v>
      </c>
      <c r="D1948" t="s">
        <v>34</v>
      </c>
      <c r="E1948" t="s">
        <v>41</v>
      </c>
      <c r="F1948" t="s">
        <v>49</v>
      </c>
      <c r="G1948">
        <v>19</v>
      </c>
      <c r="H1948" t="s">
        <v>22</v>
      </c>
      <c r="I1948" t="s">
        <v>22</v>
      </c>
      <c r="J1948" t="s">
        <v>25</v>
      </c>
      <c r="K1948" s="2">
        <v>38472</v>
      </c>
      <c r="L1948" s="2">
        <v>40505</v>
      </c>
      <c r="M1948" t="s">
        <v>24</v>
      </c>
      <c r="N1948">
        <v>40</v>
      </c>
      <c r="O1948" t="s">
        <v>23</v>
      </c>
      <c r="P1948">
        <v>9</v>
      </c>
      <c r="Q1948" s="1">
        <v>-18.37</v>
      </c>
      <c r="R1948" s="2">
        <f t="shared" si="120"/>
        <v>2033</v>
      </c>
      <c r="S1948" s="1">
        <f t="shared" si="121"/>
        <v>5.2843626533582864</v>
      </c>
      <c r="T1948" t="str">
        <f t="shared" si="122"/>
        <v>Expert</v>
      </c>
      <c r="U1948" t="str">
        <f t="shared" si="123"/>
        <v>High Impact</v>
      </c>
    </row>
    <row r="1949" spans="1:21" x14ac:dyDescent="0.3">
      <c r="A1949" t="s">
        <v>218</v>
      </c>
      <c r="B1949">
        <v>39</v>
      </c>
      <c r="C1949" t="s">
        <v>27</v>
      </c>
      <c r="D1949" t="s">
        <v>19</v>
      </c>
      <c r="E1949" t="s">
        <v>44</v>
      </c>
      <c r="F1949" t="s">
        <v>47</v>
      </c>
      <c r="G1949">
        <v>16</v>
      </c>
      <c r="H1949" t="s">
        <v>22</v>
      </c>
      <c r="I1949" t="s">
        <v>37</v>
      </c>
      <c r="J1949" t="s">
        <v>25</v>
      </c>
      <c r="K1949" s="2">
        <v>46032</v>
      </c>
      <c r="L1949" s="2">
        <v>42567</v>
      </c>
      <c r="M1949" t="s">
        <v>38</v>
      </c>
      <c r="N1949">
        <v>53</v>
      </c>
      <c r="O1949" t="s">
        <v>23</v>
      </c>
      <c r="P1949">
        <v>6</v>
      </c>
      <c r="Q1949" s="1">
        <v>-18.41</v>
      </c>
      <c r="R1949" s="2">
        <f t="shared" si="120"/>
        <v>-3465</v>
      </c>
      <c r="S1949" s="1">
        <f t="shared" si="121"/>
        <v>-7.5273722627737225</v>
      </c>
      <c r="T1949" t="str">
        <f t="shared" si="122"/>
        <v>Expert</v>
      </c>
      <c r="U1949" t="str">
        <f t="shared" si="123"/>
        <v>Medium Impact</v>
      </c>
    </row>
    <row r="1950" spans="1:21" x14ac:dyDescent="0.3">
      <c r="A1950" t="s">
        <v>1676</v>
      </c>
      <c r="B1950">
        <v>27</v>
      </c>
      <c r="C1950" t="s">
        <v>27</v>
      </c>
      <c r="D1950" t="s">
        <v>28</v>
      </c>
      <c r="E1950" t="s">
        <v>41</v>
      </c>
      <c r="F1950" t="s">
        <v>55</v>
      </c>
      <c r="G1950">
        <v>3</v>
      </c>
      <c r="H1950" t="s">
        <v>22</v>
      </c>
      <c r="I1950" t="s">
        <v>37</v>
      </c>
      <c r="J1950" t="s">
        <v>23</v>
      </c>
      <c r="K1950" s="2">
        <v>63071</v>
      </c>
      <c r="L1950" s="2">
        <v>53805</v>
      </c>
      <c r="M1950" t="s">
        <v>38</v>
      </c>
      <c r="N1950">
        <v>35</v>
      </c>
      <c r="O1950" t="s">
        <v>25</v>
      </c>
      <c r="P1950">
        <v>9</v>
      </c>
      <c r="Q1950" s="1">
        <v>-18.420000000000002</v>
      </c>
      <c r="R1950" s="2">
        <f t="shared" si="120"/>
        <v>-9266</v>
      </c>
      <c r="S1950" s="1">
        <f t="shared" si="121"/>
        <v>-14.691379556372977</v>
      </c>
      <c r="T1950" t="str">
        <f t="shared" si="122"/>
        <v>Beginner</v>
      </c>
      <c r="U1950" t="str">
        <f t="shared" si="123"/>
        <v>Medium Impact</v>
      </c>
    </row>
    <row r="1951" spans="1:21" x14ac:dyDescent="0.3">
      <c r="A1951" t="s">
        <v>1189</v>
      </c>
      <c r="B1951">
        <v>42</v>
      </c>
      <c r="C1951" t="s">
        <v>18</v>
      </c>
      <c r="D1951" t="s">
        <v>40</v>
      </c>
      <c r="E1951" t="s">
        <v>59</v>
      </c>
      <c r="F1951" t="s">
        <v>77</v>
      </c>
      <c r="G1951">
        <v>16</v>
      </c>
      <c r="H1951" t="s">
        <v>22</v>
      </c>
      <c r="I1951" t="s">
        <v>22</v>
      </c>
      <c r="J1951" t="s">
        <v>25</v>
      </c>
      <c r="K1951" s="2">
        <v>105379</v>
      </c>
      <c r="L1951" s="2">
        <v>107813</v>
      </c>
      <c r="M1951" t="s">
        <v>38</v>
      </c>
      <c r="N1951">
        <v>44</v>
      </c>
      <c r="O1951" t="s">
        <v>23</v>
      </c>
      <c r="P1951">
        <v>3</v>
      </c>
      <c r="Q1951" s="1">
        <v>-18.45</v>
      </c>
      <c r="R1951" s="2">
        <f t="shared" si="120"/>
        <v>2434</v>
      </c>
      <c r="S1951" s="1">
        <f t="shared" si="121"/>
        <v>2.3097581111986258</v>
      </c>
      <c r="T1951" t="str">
        <f t="shared" si="122"/>
        <v>Expert</v>
      </c>
      <c r="U1951" t="str">
        <f t="shared" si="123"/>
        <v>Medium Impact</v>
      </c>
    </row>
    <row r="1952" spans="1:21" x14ac:dyDescent="0.3">
      <c r="A1952" t="s">
        <v>1804</v>
      </c>
      <c r="B1952">
        <v>47</v>
      </c>
      <c r="C1952" t="s">
        <v>54</v>
      </c>
      <c r="D1952" t="s">
        <v>40</v>
      </c>
      <c r="E1952" t="s">
        <v>51</v>
      </c>
      <c r="F1952" t="s">
        <v>75</v>
      </c>
      <c r="G1952">
        <v>23</v>
      </c>
      <c r="H1952" t="s">
        <v>22</v>
      </c>
      <c r="I1952" t="s">
        <v>37</v>
      </c>
      <c r="J1952" t="s">
        <v>25</v>
      </c>
      <c r="K1952" s="2">
        <v>103927</v>
      </c>
      <c r="L1952" s="2">
        <v>106075</v>
      </c>
      <c r="M1952" t="s">
        <v>38</v>
      </c>
      <c r="N1952">
        <v>53</v>
      </c>
      <c r="O1952" t="s">
        <v>25</v>
      </c>
      <c r="P1952">
        <v>6</v>
      </c>
      <c r="Q1952" s="1">
        <v>-18.47</v>
      </c>
      <c r="R1952" s="2">
        <f t="shared" si="120"/>
        <v>2148</v>
      </c>
      <c r="S1952" s="1">
        <f t="shared" si="121"/>
        <v>2.06683537483041</v>
      </c>
      <c r="T1952" t="str">
        <f t="shared" si="122"/>
        <v>Expert</v>
      </c>
      <c r="U1952" t="str">
        <f t="shared" si="123"/>
        <v>Medium Impact</v>
      </c>
    </row>
    <row r="1953" spans="1:21" x14ac:dyDescent="0.3">
      <c r="A1953" t="s">
        <v>840</v>
      </c>
      <c r="B1953">
        <v>48</v>
      </c>
      <c r="C1953" t="s">
        <v>18</v>
      </c>
      <c r="D1953" t="s">
        <v>28</v>
      </c>
      <c r="E1953" t="s">
        <v>35</v>
      </c>
      <c r="F1953" t="s">
        <v>132</v>
      </c>
      <c r="G1953">
        <v>22</v>
      </c>
      <c r="H1953" t="s">
        <v>31</v>
      </c>
      <c r="I1953" t="s">
        <v>37</v>
      </c>
      <c r="J1953" t="s">
        <v>23</v>
      </c>
      <c r="K1953" s="2">
        <v>33159</v>
      </c>
      <c r="L1953" s="2">
        <v>35192</v>
      </c>
      <c r="M1953" t="s">
        <v>38</v>
      </c>
      <c r="N1953">
        <v>44</v>
      </c>
      <c r="O1953" t="s">
        <v>25</v>
      </c>
      <c r="P1953">
        <v>9</v>
      </c>
      <c r="Q1953" s="1">
        <v>-18.489999999999998</v>
      </c>
      <c r="R1953" s="2">
        <f t="shared" si="120"/>
        <v>2033</v>
      </c>
      <c r="S1953" s="1">
        <f t="shared" si="121"/>
        <v>6.1310654724207598</v>
      </c>
      <c r="T1953" t="str">
        <f t="shared" si="122"/>
        <v>Expert</v>
      </c>
      <c r="U1953" t="str">
        <f t="shared" si="123"/>
        <v>Medium Impact</v>
      </c>
    </row>
    <row r="1954" spans="1:21" x14ac:dyDescent="0.3">
      <c r="A1954" t="s">
        <v>1194</v>
      </c>
      <c r="B1954">
        <v>37</v>
      </c>
      <c r="C1954" t="s">
        <v>27</v>
      </c>
      <c r="D1954" t="s">
        <v>28</v>
      </c>
      <c r="E1954" t="s">
        <v>44</v>
      </c>
      <c r="F1954" t="s">
        <v>45</v>
      </c>
      <c r="G1954">
        <v>11</v>
      </c>
      <c r="H1954" t="s">
        <v>22</v>
      </c>
      <c r="I1954" t="s">
        <v>22</v>
      </c>
      <c r="J1954" t="s">
        <v>25</v>
      </c>
      <c r="K1954" s="2">
        <v>53332</v>
      </c>
      <c r="L1954" s="2">
        <v>74618</v>
      </c>
      <c r="M1954" t="s">
        <v>24</v>
      </c>
      <c r="N1954">
        <v>53</v>
      </c>
      <c r="O1954" t="s">
        <v>25</v>
      </c>
      <c r="P1954">
        <v>9</v>
      </c>
      <c r="Q1954" s="1">
        <v>-18.510000000000002</v>
      </c>
      <c r="R1954" s="2">
        <f t="shared" si="120"/>
        <v>21286</v>
      </c>
      <c r="S1954" s="1">
        <f t="shared" si="121"/>
        <v>39.912247806195154</v>
      </c>
      <c r="T1954" t="str">
        <f t="shared" si="122"/>
        <v>Intermediate</v>
      </c>
      <c r="U1954" t="str">
        <f t="shared" si="123"/>
        <v>High Impact</v>
      </c>
    </row>
    <row r="1955" spans="1:21" x14ac:dyDescent="0.3">
      <c r="A1955" t="s">
        <v>404</v>
      </c>
      <c r="B1955">
        <v>31</v>
      </c>
      <c r="C1955" t="s">
        <v>27</v>
      </c>
      <c r="D1955" t="s">
        <v>34</v>
      </c>
      <c r="E1955" t="s">
        <v>44</v>
      </c>
      <c r="F1955" t="s">
        <v>47</v>
      </c>
      <c r="G1955">
        <v>8</v>
      </c>
      <c r="H1955" t="s">
        <v>37</v>
      </c>
      <c r="I1955" t="s">
        <v>31</v>
      </c>
      <c r="J1955" t="s">
        <v>23</v>
      </c>
      <c r="K1955" s="2">
        <v>76850</v>
      </c>
      <c r="L1955" s="2">
        <v>69768</v>
      </c>
      <c r="M1955" t="s">
        <v>32</v>
      </c>
      <c r="N1955">
        <v>47</v>
      </c>
      <c r="O1955" t="s">
        <v>23</v>
      </c>
      <c r="P1955">
        <v>8</v>
      </c>
      <c r="Q1955" s="1">
        <v>-18.55</v>
      </c>
      <c r="R1955" s="2">
        <f t="shared" si="120"/>
        <v>-7082</v>
      </c>
      <c r="S1955" s="1">
        <f t="shared" si="121"/>
        <v>-9.2153545868575151</v>
      </c>
      <c r="T1955" t="str">
        <f t="shared" si="122"/>
        <v>Intermediate</v>
      </c>
      <c r="U1955" t="str">
        <f t="shared" si="123"/>
        <v>Low Impact</v>
      </c>
    </row>
    <row r="1956" spans="1:21" x14ac:dyDescent="0.3">
      <c r="A1956" t="s">
        <v>1672</v>
      </c>
      <c r="B1956">
        <v>25</v>
      </c>
      <c r="C1956" t="s">
        <v>54</v>
      </c>
      <c r="D1956" t="s">
        <v>28</v>
      </c>
      <c r="E1956" t="s">
        <v>35</v>
      </c>
      <c r="F1956" t="s">
        <v>132</v>
      </c>
      <c r="G1956">
        <v>0</v>
      </c>
      <c r="H1956" t="s">
        <v>22</v>
      </c>
      <c r="I1956" t="s">
        <v>22</v>
      </c>
      <c r="J1956" t="s">
        <v>23</v>
      </c>
      <c r="K1956" s="2">
        <v>111455</v>
      </c>
      <c r="L1956" s="2">
        <v>125354</v>
      </c>
      <c r="M1956" t="s">
        <v>24</v>
      </c>
      <c r="N1956">
        <v>40</v>
      </c>
      <c r="O1956" t="s">
        <v>23</v>
      </c>
      <c r="P1956">
        <v>7</v>
      </c>
      <c r="Q1956" s="1">
        <v>-18.579999999999998</v>
      </c>
      <c r="R1956" s="2">
        <f t="shared" si="120"/>
        <v>13899</v>
      </c>
      <c r="S1956" s="1">
        <f t="shared" si="121"/>
        <v>12.470503790767575</v>
      </c>
      <c r="T1956" t="str">
        <f t="shared" si="122"/>
        <v>Beginner</v>
      </c>
      <c r="U1956" t="str">
        <f t="shared" si="123"/>
        <v>High Impact</v>
      </c>
    </row>
    <row r="1957" spans="1:21" x14ac:dyDescent="0.3">
      <c r="A1957" t="s">
        <v>1174</v>
      </c>
      <c r="B1957">
        <v>37</v>
      </c>
      <c r="C1957" t="s">
        <v>27</v>
      </c>
      <c r="D1957" t="s">
        <v>28</v>
      </c>
      <c r="E1957" t="s">
        <v>51</v>
      </c>
      <c r="F1957" t="s">
        <v>75</v>
      </c>
      <c r="G1957">
        <v>15</v>
      </c>
      <c r="H1957" t="s">
        <v>37</v>
      </c>
      <c r="I1957" t="s">
        <v>37</v>
      </c>
      <c r="J1957" t="s">
        <v>25</v>
      </c>
      <c r="K1957" s="2">
        <v>111426</v>
      </c>
      <c r="L1957" s="2">
        <v>117756</v>
      </c>
      <c r="M1957" t="s">
        <v>38</v>
      </c>
      <c r="N1957">
        <v>40</v>
      </c>
      <c r="O1957" t="s">
        <v>25</v>
      </c>
      <c r="P1957">
        <v>7</v>
      </c>
      <c r="Q1957" s="1">
        <v>-18.579999999999998</v>
      </c>
      <c r="R1957" s="2">
        <f t="shared" si="120"/>
        <v>6330</v>
      </c>
      <c r="S1957" s="1">
        <f t="shared" si="121"/>
        <v>5.680900328469118</v>
      </c>
      <c r="T1957" t="str">
        <f t="shared" si="122"/>
        <v>Expert</v>
      </c>
      <c r="U1957" t="str">
        <f t="shared" si="123"/>
        <v>Medium Impact</v>
      </c>
    </row>
    <row r="1958" spans="1:21" x14ac:dyDescent="0.3">
      <c r="A1958" t="s">
        <v>1693</v>
      </c>
      <c r="B1958">
        <v>48</v>
      </c>
      <c r="C1958" t="s">
        <v>27</v>
      </c>
      <c r="D1958" t="s">
        <v>34</v>
      </c>
      <c r="E1958" t="s">
        <v>29</v>
      </c>
      <c r="F1958" t="s">
        <v>30</v>
      </c>
      <c r="G1958">
        <v>26</v>
      </c>
      <c r="H1958" t="s">
        <v>22</v>
      </c>
      <c r="I1958" t="s">
        <v>37</v>
      </c>
      <c r="J1958" t="s">
        <v>25</v>
      </c>
      <c r="K1958" s="2">
        <v>66355</v>
      </c>
      <c r="L1958" s="2">
        <v>72526</v>
      </c>
      <c r="M1958" t="s">
        <v>38</v>
      </c>
      <c r="N1958">
        <v>44</v>
      </c>
      <c r="O1958" t="s">
        <v>23</v>
      </c>
      <c r="P1958">
        <v>5</v>
      </c>
      <c r="Q1958" s="1">
        <v>-18.649999999999999</v>
      </c>
      <c r="R1958" s="2">
        <f t="shared" si="120"/>
        <v>6171</v>
      </c>
      <c r="S1958" s="1">
        <f t="shared" si="121"/>
        <v>9.2999773943184394</v>
      </c>
      <c r="T1958" t="str">
        <f t="shared" si="122"/>
        <v>Expert</v>
      </c>
      <c r="U1958" t="str">
        <f t="shared" si="123"/>
        <v>Medium Impact</v>
      </c>
    </row>
    <row r="1959" spans="1:21" x14ac:dyDescent="0.3">
      <c r="A1959" t="s">
        <v>1529</v>
      </c>
      <c r="B1959">
        <v>48</v>
      </c>
      <c r="C1959" t="s">
        <v>54</v>
      </c>
      <c r="D1959" t="s">
        <v>40</v>
      </c>
      <c r="E1959" t="s">
        <v>29</v>
      </c>
      <c r="F1959" t="s">
        <v>30</v>
      </c>
      <c r="G1959">
        <v>24</v>
      </c>
      <c r="H1959" t="s">
        <v>37</v>
      </c>
      <c r="I1959" t="s">
        <v>37</v>
      </c>
      <c r="J1959" t="s">
        <v>25</v>
      </c>
      <c r="K1959" s="2">
        <v>55989</v>
      </c>
      <c r="L1959" s="2">
        <v>51995</v>
      </c>
      <c r="M1959" t="s">
        <v>38</v>
      </c>
      <c r="N1959">
        <v>50</v>
      </c>
      <c r="O1959" t="s">
        <v>23</v>
      </c>
      <c r="P1959">
        <v>6</v>
      </c>
      <c r="Q1959" s="1">
        <v>-18.649999999999999</v>
      </c>
      <c r="R1959" s="2">
        <f t="shared" si="120"/>
        <v>-3994</v>
      </c>
      <c r="S1959" s="1">
        <f t="shared" si="121"/>
        <v>-7.1335440890174855</v>
      </c>
      <c r="T1959" t="str">
        <f t="shared" si="122"/>
        <v>Expert</v>
      </c>
      <c r="U1959" t="str">
        <f t="shared" si="123"/>
        <v>Medium Impact</v>
      </c>
    </row>
    <row r="1960" spans="1:21" x14ac:dyDescent="0.3">
      <c r="A1960" t="s">
        <v>272</v>
      </c>
      <c r="B1960">
        <v>56</v>
      </c>
      <c r="C1960" t="s">
        <v>54</v>
      </c>
      <c r="D1960" t="s">
        <v>40</v>
      </c>
      <c r="E1960" t="s">
        <v>44</v>
      </c>
      <c r="F1960" t="s">
        <v>47</v>
      </c>
      <c r="G1960">
        <v>31</v>
      </c>
      <c r="H1960" t="s">
        <v>37</v>
      </c>
      <c r="I1960" t="s">
        <v>31</v>
      </c>
      <c r="J1960" t="s">
        <v>23</v>
      </c>
      <c r="K1960" s="2">
        <v>57083</v>
      </c>
      <c r="L1960" s="2">
        <v>51795</v>
      </c>
      <c r="M1960" t="s">
        <v>32</v>
      </c>
      <c r="N1960">
        <v>40</v>
      </c>
      <c r="O1960" t="s">
        <v>25</v>
      </c>
      <c r="P1960">
        <v>9</v>
      </c>
      <c r="Q1960" s="1">
        <v>-18.670000000000002</v>
      </c>
      <c r="R1960" s="2">
        <f t="shared" si="120"/>
        <v>-5288</v>
      </c>
      <c r="S1960" s="1">
        <f t="shared" si="121"/>
        <v>-9.2637037296568145</v>
      </c>
      <c r="T1960" t="str">
        <f t="shared" si="122"/>
        <v>Expert</v>
      </c>
      <c r="U1960" t="str">
        <f t="shared" si="123"/>
        <v>Low Impact</v>
      </c>
    </row>
    <row r="1961" spans="1:21" x14ac:dyDescent="0.3">
      <c r="A1961" t="s">
        <v>1136</v>
      </c>
      <c r="B1961">
        <v>50</v>
      </c>
      <c r="C1961" t="s">
        <v>54</v>
      </c>
      <c r="D1961" t="s">
        <v>40</v>
      </c>
      <c r="E1961" t="s">
        <v>59</v>
      </c>
      <c r="F1961" t="s">
        <v>93</v>
      </c>
      <c r="G1961">
        <v>28</v>
      </c>
      <c r="H1961" t="s">
        <v>37</v>
      </c>
      <c r="I1961" t="s">
        <v>37</v>
      </c>
      <c r="J1961" t="s">
        <v>25</v>
      </c>
      <c r="K1961" s="2">
        <v>48653</v>
      </c>
      <c r="L1961" s="2">
        <v>57947</v>
      </c>
      <c r="M1961" t="s">
        <v>38</v>
      </c>
      <c r="N1961">
        <v>51</v>
      </c>
      <c r="O1961" t="s">
        <v>25</v>
      </c>
      <c r="P1961">
        <v>8</v>
      </c>
      <c r="Q1961" s="1">
        <v>-18.68</v>
      </c>
      <c r="R1961" s="2">
        <f t="shared" si="120"/>
        <v>9294</v>
      </c>
      <c r="S1961" s="1">
        <f t="shared" si="121"/>
        <v>19.102624709678746</v>
      </c>
      <c r="T1961" t="str">
        <f t="shared" si="122"/>
        <v>Expert</v>
      </c>
      <c r="U1961" t="str">
        <f t="shared" si="123"/>
        <v>Medium Impact</v>
      </c>
    </row>
    <row r="1962" spans="1:21" x14ac:dyDescent="0.3">
      <c r="A1962" t="s">
        <v>1629</v>
      </c>
      <c r="B1962">
        <v>47</v>
      </c>
      <c r="C1962" t="s">
        <v>18</v>
      </c>
      <c r="D1962" t="s">
        <v>19</v>
      </c>
      <c r="E1962" t="s">
        <v>44</v>
      </c>
      <c r="F1962" t="s">
        <v>57</v>
      </c>
      <c r="G1962">
        <v>24</v>
      </c>
      <c r="H1962" t="s">
        <v>31</v>
      </c>
      <c r="I1962" t="s">
        <v>31</v>
      </c>
      <c r="J1962" t="s">
        <v>25</v>
      </c>
      <c r="K1962" s="2">
        <v>63525</v>
      </c>
      <c r="L1962" s="2">
        <v>65688</v>
      </c>
      <c r="M1962" t="s">
        <v>32</v>
      </c>
      <c r="N1962">
        <v>44</v>
      </c>
      <c r="O1962" t="s">
        <v>23</v>
      </c>
      <c r="P1962">
        <v>7</v>
      </c>
      <c r="Q1962" s="1">
        <v>-18.7</v>
      </c>
      <c r="R1962" s="2">
        <f t="shared" si="120"/>
        <v>2163</v>
      </c>
      <c r="S1962" s="1">
        <f t="shared" si="121"/>
        <v>3.4049586776859506</v>
      </c>
      <c r="T1962" t="str">
        <f t="shared" si="122"/>
        <v>Expert</v>
      </c>
      <c r="U1962" t="str">
        <f t="shared" si="123"/>
        <v>Low Impact</v>
      </c>
    </row>
    <row r="1963" spans="1:21" x14ac:dyDescent="0.3">
      <c r="A1963" t="s">
        <v>798</v>
      </c>
      <c r="B1963">
        <v>33</v>
      </c>
      <c r="C1963" t="s">
        <v>27</v>
      </c>
      <c r="D1963" t="s">
        <v>40</v>
      </c>
      <c r="E1963" t="s">
        <v>59</v>
      </c>
      <c r="F1963" t="s">
        <v>60</v>
      </c>
      <c r="G1963">
        <v>9</v>
      </c>
      <c r="H1963" t="s">
        <v>37</v>
      </c>
      <c r="I1963" t="s">
        <v>37</v>
      </c>
      <c r="J1963" t="s">
        <v>23</v>
      </c>
      <c r="K1963" s="2">
        <v>107362</v>
      </c>
      <c r="L1963" s="2">
        <v>125978</v>
      </c>
      <c r="M1963" t="s">
        <v>38</v>
      </c>
      <c r="N1963">
        <v>50</v>
      </c>
      <c r="O1963" t="s">
        <v>23</v>
      </c>
      <c r="P1963">
        <v>3</v>
      </c>
      <c r="Q1963" s="1">
        <v>-18.739999999999998</v>
      </c>
      <c r="R1963" s="2">
        <f t="shared" si="120"/>
        <v>18616</v>
      </c>
      <c r="S1963" s="1">
        <f t="shared" si="121"/>
        <v>17.339468340753712</v>
      </c>
      <c r="T1963" t="str">
        <f t="shared" si="122"/>
        <v>Intermediate</v>
      </c>
      <c r="U1963" t="str">
        <f t="shared" si="123"/>
        <v>Medium Impact</v>
      </c>
    </row>
    <row r="1964" spans="1:21" x14ac:dyDescent="0.3">
      <c r="A1964" t="s">
        <v>1557</v>
      </c>
      <c r="B1964">
        <v>49</v>
      </c>
      <c r="C1964" t="s">
        <v>18</v>
      </c>
      <c r="D1964" t="s">
        <v>19</v>
      </c>
      <c r="E1964" t="s">
        <v>35</v>
      </c>
      <c r="F1964" t="s">
        <v>98</v>
      </c>
      <c r="G1964">
        <v>27</v>
      </c>
      <c r="H1964" t="s">
        <v>22</v>
      </c>
      <c r="I1964" t="s">
        <v>37</v>
      </c>
      <c r="J1964" t="s">
        <v>23</v>
      </c>
      <c r="K1964" s="2">
        <v>90162</v>
      </c>
      <c r="L1964" s="2">
        <v>118026</v>
      </c>
      <c r="M1964" t="s">
        <v>38</v>
      </c>
      <c r="N1964">
        <v>36</v>
      </c>
      <c r="O1964" t="s">
        <v>23</v>
      </c>
      <c r="P1964">
        <v>7</v>
      </c>
      <c r="Q1964" s="1">
        <v>-18.78</v>
      </c>
      <c r="R1964" s="2">
        <f t="shared" si="120"/>
        <v>27864</v>
      </c>
      <c r="S1964" s="1">
        <f t="shared" si="121"/>
        <v>30.904372130165704</v>
      </c>
      <c r="T1964" t="str">
        <f t="shared" si="122"/>
        <v>Expert</v>
      </c>
      <c r="U1964" t="str">
        <f t="shared" si="123"/>
        <v>Medium Impact</v>
      </c>
    </row>
    <row r="1965" spans="1:21" x14ac:dyDescent="0.3">
      <c r="A1965" t="s">
        <v>1997</v>
      </c>
      <c r="B1965">
        <v>49</v>
      </c>
      <c r="C1965" t="s">
        <v>27</v>
      </c>
      <c r="D1965" t="s">
        <v>19</v>
      </c>
      <c r="E1965" t="s">
        <v>20</v>
      </c>
      <c r="F1965" t="s">
        <v>21</v>
      </c>
      <c r="G1965">
        <v>27</v>
      </c>
      <c r="H1965" t="s">
        <v>31</v>
      </c>
      <c r="I1965" t="s">
        <v>22</v>
      </c>
      <c r="J1965" t="s">
        <v>23</v>
      </c>
      <c r="K1965" s="2">
        <v>107853</v>
      </c>
      <c r="L1965" s="2">
        <v>114941</v>
      </c>
      <c r="M1965" t="s">
        <v>32</v>
      </c>
      <c r="N1965">
        <v>51</v>
      </c>
      <c r="O1965" t="s">
        <v>23</v>
      </c>
      <c r="P1965">
        <v>4</v>
      </c>
      <c r="Q1965" s="1">
        <v>-18.79</v>
      </c>
      <c r="R1965" s="2">
        <f t="shared" si="120"/>
        <v>7088</v>
      </c>
      <c r="S1965" s="1">
        <f t="shared" si="121"/>
        <v>6.5719080600446897</v>
      </c>
      <c r="T1965" t="str">
        <f t="shared" si="122"/>
        <v>Expert</v>
      </c>
      <c r="U1965" t="str">
        <f t="shared" si="123"/>
        <v>Low Impact</v>
      </c>
    </row>
    <row r="1966" spans="1:21" x14ac:dyDescent="0.3">
      <c r="A1966" t="s">
        <v>1841</v>
      </c>
      <c r="B1966">
        <v>31</v>
      </c>
      <c r="C1966" t="s">
        <v>54</v>
      </c>
      <c r="D1966" t="s">
        <v>34</v>
      </c>
      <c r="E1966" t="s">
        <v>35</v>
      </c>
      <c r="F1966" t="s">
        <v>98</v>
      </c>
      <c r="G1966">
        <v>5</v>
      </c>
      <c r="H1966" t="s">
        <v>31</v>
      </c>
      <c r="I1966" t="s">
        <v>31</v>
      </c>
      <c r="J1966" t="s">
        <v>23</v>
      </c>
      <c r="K1966" s="2">
        <v>99786</v>
      </c>
      <c r="L1966" s="2">
        <v>109527</v>
      </c>
      <c r="M1966" t="s">
        <v>32</v>
      </c>
      <c r="N1966">
        <v>52</v>
      </c>
      <c r="O1966" t="s">
        <v>25</v>
      </c>
      <c r="P1966">
        <v>7</v>
      </c>
      <c r="Q1966" s="1">
        <v>-18.809999999999999</v>
      </c>
      <c r="R1966" s="2">
        <f t="shared" si="120"/>
        <v>9741</v>
      </c>
      <c r="S1966" s="1">
        <f t="shared" si="121"/>
        <v>9.7618904455534832</v>
      </c>
      <c r="T1966" t="str">
        <f t="shared" si="122"/>
        <v>Intermediate</v>
      </c>
      <c r="U1966" t="str">
        <f t="shared" si="123"/>
        <v>Low Impact</v>
      </c>
    </row>
    <row r="1967" spans="1:21" x14ac:dyDescent="0.3">
      <c r="A1967" t="s">
        <v>1094</v>
      </c>
      <c r="B1967">
        <v>36</v>
      </c>
      <c r="C1967" t="s">
        <v>54</v>
      </c>
      <c r="D1967" t="s">
        <v>34</v>
      </c>
      <c r="E1967" t="s">
        <v>35</v>
      </c>
      <c r="F1967" t="s">
        <v>98</v>
      </c>
      <c r="G1967">
        <v>11</v>
      </c>
      <c r="H1967" t="s">
        <v>37</v>
      </c>
      <c r="I1967" t="s">
        <v>37</v>
      </c>
      <c r="J1967" t="s">
        <v>23</v>
      </c>
      <c r="K1967" s="2">
        <v>75406</v>
      </c>
      <c r="L1967" s="2">
        <v>73166</v>
      </c>
      <c r="M1967" t="s">
        <v>38</v>
      </c>
      <c r="N1967">
        <v>44</v>
      </c>
      <c r="O1967" t="s">
        <v>23</v>
      </c>
      <c r="P1967">
        <v>3</v>
      </c>
      <c r="Q1967" s="1">
        <v>-18.82</v>
      </c>
      <c r="R1967" s="2">
        <f t="shared" si="120"/>
        <v>-2240</v>
      </c>
      <c r="S1967" s="1">
        <f t="shared" si="121"/>
        <v>-2.9705858950216166</v>
      </c>
      <c r="T1967" t="str">
        <f t="shared" si="122"/>
        <v>Intermediate</v>
      </c>
      <c r="U1967" t="str">
        <f t="shared" si="123"/>
        <v>Medium Impact</v>
      </c>
    </row>
    <row r="1968" spans="1:21" x14ac:dyDescent="0.3">
      <c r="A1968" t="s">
        <v>1127</v>
      </c>
      <c r="B1968">
        <v>50</v>
      </c>
      <c r="C1968" t="s">
        <v>54</v>
      </c>
      <c r="D1968" t="s">
        <v>28</v>
      </c>
      <c r="E1968" t="s">
        <v>20</v>
      </c>
      <c r="F1968" t="s">
        <v>88</v>
      </c>
      <c r="G1968">
        <v>27</v>
      </c>
      <c r="H1968" t="s">
        <v>37</v>
      </c>
      <c r="I1968" t="s">
        <v>22</v>
      </c>
      <c r="J1968" t="s">
        <v>25</v>
      </c>
      <c r="K1968" s="2">
        <v>115610</v>
      </c>
      <c r="L1968" s="2">
        <v>106736</v>
      </c>
      <c r="M1968" t="s">
        <v>32</v>
      </c>
      <c r="N1968">
        <v>49</v>
      </c>
      <c r="O1968" t="s">
        <v>23</v>
      </c>
      <c r="P1968">
        <v>6</v>
      </c>
      <c r="Q1968" s="1">
        <v>-18.920000000000002</v>
      </c>
      <c r="R1968" s="2">
        <f t="shared" si="120"/>
        <v>-8874</v>
      </c>
      <c r="S1968" s="1">
        <f t="shared" si="121"/>
        <v>-7.675806591125335</v>
      </c>
      <c r="T1968" t="str">
        <f t="shared" si="122"/>
        <v>Expert</v>
      </c>
      <c r="U1968" t="str">
        <f t="shared" si="123"/>
        <v>Low Impact</v>
      </c>
    </row>
    <row r="1969" spans="1:21" x14ac:dyDescent="0.3">
      <c r="A1969" t="s">
        <v>1101</v>
      </c>
      <c r="B1969">
        <v>45</v>
      </c>
      <c r="C1969" t="s">
        <v>27</v>
      </c>
      <c r="D1969" t="s">
        <v>19</v>
      </c>
      <c r="E1969" t="s">
        <v>20</v>
      </c>
      <c r="F1969" t="s">
        <v>118</v>
      </c>
      <c r="G1969">
        <v>23</v>
      </c>
      <c r="H1969" t="s">
        <v>22</v>
      </c>
      <c r="I1969" t="s">
        <v>22</v>
      </c>
      <c r="J1969" t="s">
        <v>25</v>
      </c>
      <c r="K1969" s="2">
        <v>85718</v>
      </c>
      <c r="L1969" s="2">
        <v>101754</v>
      </c>
      <c r="M1969" t="s">
        <v>24</v>
      </c>
      <c r="N1969">
        <v>45</v>
      </c>
      <c r="O1969" t="s">
        <v>23</v>
      </c>
      <c r="P1969">
        <v>9</v>
      </c>
      <c r="Q1969" s="1">
        <v>-18.98</v>
      </c>
      <c r="R1969" s="2">
        <f t="shared" si="120"/>
        <v>16036</v>
      </c>
      <c r="S1969" s="1">
        <f t="shared" si="121"/>
        <v>18.707855992906975</v>
      </c>
      <c r="T1969" t="str">
        <f t="shared" si="122"/>
        <v>Expert</v>
      </c>
      <c r="U1969" t="str">
        <f t="shared" si="123"/>
        <v>High Impact</v>
      </c>
    </row>
    <row r="1970" spans="1:21" x14ac:dyDescent="0.3">
      <c r="A1970" t="s">
        <v>1839</v>
      </c>
      <c r="B1970">
        <v>40</v>
      </c>
      <c r="C1970" t="s">
        <v>27</v>
      </c>
      <c r="D1970" t="s">
        <v>19</v>
      </c>
      <c r="E1970" t="s">
        <v>29</v>
      </c>
      <c r="F1970" t="s">
        <v>30</v>
      </c>
      <c r="G1970">
        <v>14</v>
      </c>
      <c r="H1970" t="s">
        <v>37</v>
      </c>
      <c r="I1970" t="s">
        <v>31</v>
      </c>
      <c r="J1970" t="s">
        <v>23</v>
      </c>
      <c r="K1970" s="2">
        <v>33729</v>
      </c>
      <c r="L1970" s="2">
        <v>34596</v>
      </c>
      <c r="M1970" t="s">
        <v>32</v>
      </c>
      <c r="N1970">
        <v>41</v>
      </c>
      <c r="O1970" t="s">
        <v>23</v>
      </c>
      <c r="P1970">
        <v>6</v>
      </c>
      <c r="Q1970" s="1">
        <v>-18.98</v>
      </c>
      <c r="R1970" s="2">
        <f t="shared" si="120"/>
        <v>867</v>
      </c>
      <c r="S1970" s="1">
        <f t="shared" si="121"/>
        <v>2.5704883038334967</v>
      </c>
      <c r="T1970" t="str">
        <f t="shared" si="122"/>
        <v>Intermediate</v>
      </c>
      <c r="U1970" t="str">
        <f t="shared" si="123"/>
        <v>Low Impact</v>
      </c>
    </row>
    <row r="1971" spans="1:21" x14ac:dyDescent="0.3">
      <c r="A1971" t="s">
        <v>80</v>
      </c>
      <c r="B1971">
        <v>24</v>
      </c>
      <c r="C1971" t="s">
        <v>54</v>
      </c>
      <c r="D1971" t="s">
        <v>40</v>
      </c>
      <c r="E1971" t="s">
        <v>35</v>
      </c>
      <c r="F1971" t="s">
        <v>36</v>
      </c>
      <c r="G1971">
        <v>0</v>
      </c>
      <c r="H1971" t="s">
        <v>22</v>
      </c>
      <c r="I1971" t="s">
        <v>37</v>
      </c>
      <c r="J1971" t="s">
        <v>25</v>
      </c>
      <c r="K1971" s="2">
        <v>32811</v>
      </c>
      <c r="L1971" s="2">
        <v>39587</v>
      </c>
      <c r="M1971" t="s">
        <v>38</v>
      </c>
      <c r="N1971">
        <v>37</v>
      </c>
      <c r="O1971" t="s">
        <v>25</v>
      </c>
      <c r="P1971">
        <v>9</v>
      </c>
      <c r="Q1971" s="1">
        <v>-19</v>
      </c>
      <c r="R1971" s="2">
        <f t="shared" si="120"/>
        <v>6776</v>
      </c>
      <c r="S1971" s="1">
        <f t="shared" si="121"/>
        <v>20.651610740300509</v>
      </c>
      <c r="T1971" t="str">
        <f t="shared" si="122"/>
        <v>Beginner</v>
      </c>
      <c r="U1971" t="str">
        <f t="shared" si="123"/>
        <v>Medium Impact</v>
      </c>
    </row>
    <row r="1972" spans="1:21" x14ac:dyDescent="0.3">
      <c r="A1972" t="s">
        <v>46</v>
      </c>
      <c r="B1972">
        <v>46</v>
      </c>
      <c r="C1972" t="s">
        <v>27</v>
      </c>
      <c r="D1972" t="s">
        <v>28</v>
      </c>
      <c r="E1972" t="s">
        <v>44</v>
      </c>
      <c r="F1972" t="s">
        <v>47</v>
      </c>
      <c r="G1972">
        <v>21</v>
      </c>
      <c r="H1972" t="s">
        <v>31</v>
      </c>
      <c r="I1972" t="s">
        <v>37</v>
      </c>
      <c r="J1972" t="s">
        <v>25</v>
      </c>
      <c r="K1972" s="2">
        <v>103969</v>
      </c>
      <c r="L1972" s="2">
        <v>104781</v>
      </c>
      <c r="M1972" t="s">
        <v>38</v>
      </c>
      <c r="N1972">
        <v>36</v>
      </c>
      <c r="O1972" t="s">
        <v>25</v>
      </c>
      <c r="P1972">
        <v>6</v>
      </c>
      <c r="Q1972" s="1">
        <v>-19.04</v>
      </c>
      <c r="R1972" s="2">
        <f t="shared" si="120"/>
        <v>812</v>
      </c>
      <c r="S1972" s="1">
        <f t="shared" si="121"/>
        <v>0.78100202945108632</v>
      </c>
      <c r="T1972" t="str">
        <f t="shared" si="122"/>
        <v>Expert</v>
      </c>
      <c r="U1972" t="str">
        <f t="shared" si="123"/>
        <v>Medium Impact</v>
      </c>
    </row>
    <row r="1973" spans="1:21" x14ac:dyDescent="0.3">
      <c r="A1973" t="s">
        <v>1132</v>
      </c>
      <c r="B1973">
        <v>40</v>
      </c>
      <c r="C1973" t="s">
        <v>27</v>
      </c>
      <c r="D1973" t="s">
        <v>28</v>
      </c>
      <c r="E1973" t="s">
        <v>20</v>
      </c>
      <c r="F1973" t="s">
        <v>88</v>
      </c>
      <c r="G1973">
        <v>14</v>
      </c>
      <c r="H1973" t="s">
        <v>22</v>
      </c>
      <c r="I1973" t="s">
        <v>31</v>
      </c>
      <c r="J1973" t="s">
        <v>23</v>
      </c>
      <c r="K1973" s="2">
        <v>33771</v>
      </c>
      <c r="L1973" s="2">
        <v>45722</v>
      </c>
      <c r="M1973" t="s">
        <v>32</v>
      </c>
      <c r="N1973">
        <v>47</v>
      </c>
      <c r="O1973" t="s">
        <v>25</v>
      </c>
      <c r="P1973">
        <v>7</v>
      </c>
      <c r="Q1973" s="1">
        <v>-19.05</v>
      </c>
      <c r="R1973" s="2">
        <f t="shared" si="120"/>
        <v>11951</v>
      </c>
      <c r="S1973" s="1">
        <f t="shared" si="121"/>
        <v>35.388350952000238</v>
      </c>
      <c r="T1973" t="str">
        <f t="shared" si="122"/>
        <v>Intermediate</v>
      </c>
      <c r="U1973" t="str">
        <f t="shared" si="123"/>
        <v>Low Impact</v>
      </c>
    </row>
    <row r="1974" spans="1:21" x14ac:dyDescent="0.3">
      <c r="A1974" t="s">
        <v>116</v>
      </c>
      <c r="B1974">
        <v>26</v>
      </c>
      <c r="C1974" t="s">
        <v>18</v>
      </c>
      <c r="D1974" t="s">
        <v>28</v>
      </c>
      <c r="E1974" t="s">
        <v>41</v>
      </c>
      <c r="F1974" t="s">
        <v>49</v>
      </c>
      <c r="G1974">
        <v>1</v>
      </c>
      <c r="H1974" t="s">
        <v>31</v>
      </c>
      <c r="I1974" t="s">
        <v>37</v>
      </c>
      <c r="J1974" t="s">
        <v>25</v>
      </c>
      <c r="K1974" s="2">
        <v>98385</v>
      </c>
      <c r="L1974" s="2">
        <v>97315</v>
      </c>
      <c r="M1974" t="s">
        <v>38</v>
      </c>
      <c r="N1974">
        <v>53</v>
      </c>
      <c r="O1974" t="s">
        <v>25</v>
      </c>
      <c r="P1974">
        <v>4</v>
      </c>
      <c r="Q1974" s="1">
        <v>-19.079999999999998</v>
      </c>
      <c r="R1974" s="2">
        <f t="shared" si="120"/>
        <v>-1070</v>
      </c>
      <c r="S1974" s="1">
        <f t="shared" si="121"/>
        <v>-1.0875641612034355</v>
      </c>
      <c r="T1974" t="str">
        <f t="shared" si="122"/>
        <v>Beginner</v>
      </c>
      <c r="U1974" t="str">
        <f t="shared" si="123"/>
        <v>Medium Impact</v>
      </c>
    </row>
    <row r="1975" spans="1:21" x14ac:dyDescent="0.3">
      <c r="A1975" t="s">
        <v>655</v>
      </c>
      <c r="B1975">
        <v>32</v>
      </c>
      <c r="C1975" t="s">
        <v>27</v>
      </c>
      <c r="D1975" t="s">
        <v>28</v>
      </c>
      <c r="E1975" t="s">
        <v>35</v>
      </c>
      <c r="F1975" t="s">
        <v>132</v>
      </c>
      <c r="G1975">
        <v>8</v>
      </c>
      <c r="H1975" t="s">
        <v>31</v>
      </c>
      <c r="I1975" t="s">
        <v>37</v>
      </c>
      <c r="J1975" t="s">
        <v>25</v>
      </c>
      <c r="K1975" s="2">
        <v>100130</v>
      </c>
      <c r="L1975" s="2">
        <v>101221</v>
      </c>
      <c r="M1975" t="s">
        <v>38</v>
      </c>
      <c r="N1975">
        <v>50</v>
      </c>
      <c r="O1975" t="s">
        <v>25</v>
      </c>
      <c r="P1975">
        <v>7</v>
      </c>
      <c r="Q1975" s="1">
        <v>-19.18</v>
      </c>
      <c r="R1975" s="2">
        <f t="shared" si="120"/>
        <v>1091</v>
      </c>
      <c r="S1975" s="1">
        <f t="shared" si="121"/>
        <v>1.089583541396185</v>
      </c>
      <c r="T1975" t="str">
        <f t="shared" si="122"/>
        <v>Intermediate</v>
      </c>
      <c r="U1975" t="str">
        <f t="shared" si="123"/>
        <v>Medium Impact</v>
      </c>
    </row>
    <row r="1976" spans="1:21" x14ac:dyDescent="0.3">
      <c r="A1976" t="s">
        <v>409</v>
      </c>
      <c r="B1976">
        <v>52</v>
      </c>
      <c r="C1976" t="s">
        <v>27</v>
      </c>
      <c r="D1976" t="s">
        <v>28</v>
      </c>
      <c r="E1976" t="s">
        <v>59</v>
      </c>
      <c r="F1976" t="s">
        <v>77</v>
      </c>
      <c r="G1976">
        <v>27</v>
      </c>
      <c r="H1976" t="s">
        <v>31</v>
      </c>
      <c r="I1976" t="s">
        <v>37</v>
      </c>
      <c r="J1976" t="s">
        <v>23</v>
      </c>
      <c r="K1976" s="2">
        <v>43975</v>
      </c>
      <c r="L1976" s="2">
        <v>44890</v>
      </c>
      <c r="M1976" t="s">
        <v>38</v>
      </c>
      <c r="N1976">
        <v>46</v>
      </c>
      <c r="O1976" t="s">
        <v>25</v>
      </c>
      <c r="P1976">
        <v>4</v>
      </c>
      <c r="Q1976" s="1">
        <v>-19.2</v>
      </c>
      <c r="R1976" s="2">
        <f t="shared" si="120"/>
        <v>915</v>
      </c>
      <c r="S1976" s="1">
        <f t="shared" si="121"/>
        <v>2.0807276861853325</v>
      </c>
      <c r="T1976" t="str">
        <f t="shared" si="122"/>
        <v>Expert</v>
      </c>
      <c r="U1976" t="str">
        <f t="shared" si="123"/>
        <v>Medium Impact</v>
      </c>
    </row>
    <row r="1977" spans="1:21" x14ac:dyDescent="0.3">
      <c r="A1977" t="s">
        <v>1289</v>
      </c>
      <c r="B1977">
        <v>23</v>
      </c>
      <c r="C1977" t="s">
        <v>18</v>
      </c>
      <c r="D1977" t="s">
        <v>34</v>
      </c>
      <c r="E1977" t="s">
        <v>29</v>
      </c>
      <c r="F1977" t="s">
        <v>30</v>
      </c>
      <c r="G1977">
        <v>0</v>
      </c>
      <c r="H1977" t="s">
        <v>31</v>
      </c>
      <c r="I1977" t="s">
        <v>31</v>
      </c>
      <c r="J1977" t="s">
        <v>23</v>
      </c>
      <c r="K1977" s="2">
        <v>32402</v>
      </c>
      <c r="L1977" s="2">
        <v>33317</v>
      </c>
      <c r="M1977" t="s">
        <v>32</v>
      </c>
      <c r="N1977">
        <v>38</v>
      </c>
      <c r="O1977" t="s">
        <v>25</v>
      </c>
      <c r="P1977">
        <v>8</v>
      </c>
      <c r="Q1977" s="1">
        <v>-19.2</v>
      </c>
      <c r="R1977" s="2">
        <f t="shared" si="120"/>
        <v>915</v>
      </c>
      <c r="S1977" s="1">
        <f t="shared" si="121"/>
        <v>2.8238997592741186</v>
      </c>
      <c r="T1977" t="str">
        <f t="shared" si="122"/>
        <v>Beginner</v>
      </c>
      <c r="U1977" t="str">
        <f t="shared" si="123"/>
        <v>Low Impact</v>
      </c>
    </row>
    <row r="1978" spans="1:21" x14ac:dyDescent="0.3">
      <c r="A1978" t="s">
        <v>1360</v>
      </c>
      <c r="B1978">
        <v>54</v>
      </c>
      <c r="C1978" t="s">
        <v>18</v>
      </c>
      <c r="D1978" t="s">
        <v>34</v>
      </c>
      <c r="E1978" t="s">
        <v>51</v>
      </c>
      <c r="F1978" t="s">
        <v>75</v>
      </c>
      <c r="G1978">
        <v>28</v>
      </c>
      <c r="H1978" t="s">
        <v>37</v>
      </c>
      <c r="I1978" t="s">
        <v>31</v>
      </c>
      <c r="J1978" t="s">
        <v>23</v>
      </c>
      <c r="K1978" s="2">
        <v>93027</v>
      </c>
      <c r="L1978" s="2">
        <v>102350</v>
      </c>
      <c r="M1978" t="s">
        <v>32</v>
      </c>
      <c r="N1978">
        <v>47</v>
      </c>
      <c r="O1978" t="s">
        <v>23</v>
      </c>
      <c r="P1978">
        <v>5</v>
      </c>
      <c r="Q1978" s="1">
        <v>-19.23</v>
      </c>
      <c r="R1978" s="2">
        <f t="shared" si="120"/>
        <v>9323</v>
      </c>
      <c r="S1978" s="1">
        <f t="shared" si="121"/>
        <v>10.021821621679727</v>
      </c>
      <c r="T1978" t="str">
        <f t="shared" si="122"/>
        <v>Expert</v>
      </c>
      <c r="U1978" t="str">
        <f t="shared" si="123"/>
        <v>Low Impact</v>
      </c>
    </row>
    <row r="1979" spans="1:21" x14ac:dyDescent="0.3">
      <c r="A1979" t="s">
        <v>1786</v>
      </c>
      <c r="B1979">
        <v>35</v>
      </c>
      <c r="C1979" t="s">
        <v>27</v>
      </c>
      <c r="D1979" t="s">
        <v>34</v>
      </c>
      <c r="E1979" t="s">
        <v>51</v>
      </c>
      <c r="F1979" t="s">
        <v>75</v>
      </c>
      <c r="G1979">
        <v>13</v>
      </c>
      <c r="H1979" t="s">
        <v>31</v>
      </c>
      <c r="I1979" t="s">
        <v>22</v>
      </c>
      <c r="J1979" t="s">
        <v>25</v>
      </c>
      <c r="K1979" s="2">
        <v>46267</v>
      </c>
      <c r="L1979" s="2">
        <v>44327</v>
      </c>
      <c r="M1979" t="s">
        <v>32</v>
      </c>
      <c r="N1979">
        <v>54</v>
      </c>
      <c r="O1979" t="s">
        <v>25</v>
      </c>
      <c r="P1979">
        <v>7</v>
      </c>
      <c r="Q1979" s="1">
        <v>-19.27</v>
      </c>
      <c r="R1979" s="2">
        <f t="shared" si="120"/>
        <v>-1940</v>
      </c>
      <c r="S1979" s="1">
        <f t="shared" si="121"/>
        <v>-4.1930533641688461</v>
      </c>
      <c r="T1979" t="str">
        <f t="shared" si="122"/>
        <v>Intermediate</v>
      </c>
      <c r="U1979" t="str">
        <f t="shared" si="123"/>
        <v>Low Impact</v>
      </c>
    </row>
    <row r="1980" spans="1:21" x14ac:dyDescent="0.3">
      <c r="A1980" t="s">
        <v>941</v>
      </c>
      <c r="B1980">
        <v>43</v>
      </c>
      <c r="C1980" t="s">
        <v>54</v>
      </c>
      <c r="D1980" t="s">
        <v>28</v>
      </c>
      <c r="E1980" t="s">
        <v>35</v>
      </c>
      <c r="F1980" t="s">
        <v>98</v>
      </c>
      <c r="G1980">
        <v>18</v>
      </c>
      <c r="H1980" t="s">
        <v>22</v>
      </c>
      <c r="I1980" t="s">
        <v>37</v>
      </c>
      <c r="J1980" t="s">
        <v>25</v>
      </c>
      <c r="K1980" s="2">
        <v>68729</v>
      </c>
      <c r="L1980" s="2">
        <v>92943</v>
      </c>
      <c r="M1980" t="s">
        <v>38</v>
      </c>
      <c r="N1980">
        <v>51</v>
      </c>
      <c r="O1980" t="s">
        <v>25</v>
      </c>
      <c r="P1980">
        <v>5</v>
      </c>
      <c r="Q1980" s="1">
        <v>-19.28</v>
      </c>
      <c r="R1980" s="2">
        <f t="shared" si="120"/>
        <v>24214</v>
      </c>
      <c r="S1980" s="1">
        <f t="shared" si="121"/>
        <v>35.231125143680252</v>
      </c>
      <c r="T1980" t="str">
        <f t="shared" si="122"/>
        <v>Expert</v>
      </c>
      <c r="U1980" t="str">
        <f t="shared" si="123"/>
        <v>Medium Impact</v>
      </c>
    </row>
    <row r="1981" spans="1:21" x14ac:dyDescent="0.3">
      <c r="A1981" t="s">
        <v>226</v>
      </c>
      <c r="B1981">
        <v>59</v>
      </c>
      <c r="C1981" t="s">
        <v>54</v>
      </c>
      <c r="D1981" t="s">
        <v>28</v>
      </c>
      <c r="E1981" t="s">
        <v>59</v>
      </c>
      <c r="F1981" t="s">
        <v>77</v>
      </c>
      <c r="G1981">
        <v>36</v>
      </c>
      <c r="H1981" t="s">
        <v>22</v>
      </c>
      <c r="I1981" t="s">
        <v>37</v>
      </c>
      <c r="J1981" t="s">
        <v>23</v>
      </c>
      <c r="K1981" s="2">
        <v>108411</v>
      </c>
      <c r="L1981" s="2">
        <v>100155</v>
      </c>
      <c r="M1981" t="s">
        <v>38</v>
      </c>
      <c r="N1981">
        <v>40</v>
      </c>
      <c r="O1981" t="s">
        <v>23</v>
      </c>
      <c r="P1981">
        <v>5</v>
      </c>
      <c r="Q1981" s="1">
        <v>-19.34</v>
      </c>
      <c r="R1981" s="2">
        <f t="shared" si="120"/>
        <v>-8256</v>
      </c>
      <c r="S1981" s="1">
        <f t="shared" si="121"/>
        <v>-7.6154633754877272</v>
      </c>
      <c r="T1981" t="str">
        <f t="shared" si="122"/>
        <v>Expert</v>
      </c>
      <c r="U1981" t="str">
        <f t="shared" si="123"/>
        <v>Medium Impact</v>
      </c>
    </row>
    <row r="1982" spans="1:21" x14ac:dyDescent="0.3">
      <c r="A1982" t="s">
        <v>394</v>
      </c>
      <c r="B1982">
        <v>47</v>
      </c>
      <c r="C1982" t="s">
        <v>18</v>
      </c>
      <c r="D1982" t="s">
        <v>28</v>
      </c>
      <c r="E1982" t="s">
        <v>20</v>
      </c>
      <c r="F1982" t="s">
        <v>88</v>
      </c>
      <c r="G1982">
        <v>24</v>
      </c>
      <c r="H1982" t="s">
        <v>31</v>
      </c>
      <c r="I1982" t="s">
        <v>37</v>
      </c>
      <c r="J1982" t="s">
        <v>25</v>
      </c>
      <c r="K1982" s="2">
        <v>40805</v>
      </c>
      <c r="L1982" s="2">
        <v>43861</v>
      </c>
      <c r="M1982" t="s">
        <v>38</v>
      </c>
      <c r="N1982">
        <v>36</v>
      </c>
      <c r="O1982" t="s">
        <v>23</v>
      </c>
      <c r="P1982">
        <v>7</v>
      </c>
      <c r="Q1982" s="1">
        <v>-19.34</v>
      </c>
      <c r="R1982" s="2">
        <f t="shared" si="120"/>
        <v>3056</v>
      </c>
      <c r="S1982" s="1">
        <f t="shared" si="121"/>
        <v>7.4892782747212356</v>
      </c>
      <c r="T1982" t="str">
        <f t="shared" si="122"/>
        <v>Expert</v>
      </c>
      <c r="U1982" t="str">
        <f t="shared" si="123"/>
        <v>Medium Impact</v>
      </c>
    </row>
    <row r="1983" spans="1:21" x14ac:dyDescent="0.3">
      <c r="A1983" t="s">
        <v>717</v>
      </c>
      <c r="B1983">
        <v>24</v>
      </c>
      <c r="C1983" t="s">
        <v>54</v>
      </c>
      <c r="D1983" t="s">
        <v>19</v>
      </c>
      <c r="E1983" t="s">
        <v>29</v>
      </c>
      <c r="F1983" t="s">
        <v>102</v>
      </c>
      <c r="G1983">
        <v>1</v>
      </c>
      <c r="H1983" t="s">
        <v>37</v>
      </c>
      <c r="I1983" t="s">
        <v>31</v>
      </c>
      <c r="J1983" t="s">
        <v>25</v>
      </c>
      <c r="K1983" s="2">
        <v>40377</v>
      </c>
      <c r="L1983" s="2">
        <v>40297</v>
      </c>
      <c r="M1983" t="s">
        <v>32</v>
      </c>
      <c r="N1983">
        <v>45</v>
      </c>
      <c r="O1983" t="s">
        <v>23</v>
      </c>
      <c r="P1983">
        <v>7</v>
      </c>
      <c r="Q1983" s="1">
        <v>-19.350000000000001</v>
      </c>
      <c r="R1983" s="2">
        <f t="shared" si="120"/>
        <v>-80</v>
      </c>
      <c r="S1983" s="1">
        <f t="shared" si="121"/>
        <v>-0.19813260024271243</v>
      </c>
      <c r="T1983" t="str">
        <f t="shared" si="122"/>
        <v>Beginner</v>
      </c>
      <c r="U1983" t="str">
        <f t="shared" si="123"/>
        <v>Low Impact</v>
      </c>
    </row>
    <row r="1984" spans="1:21" x14ac:dyDescent="0.3">
      <c r="A1984" t="s">
        <v>1190</v>
      </c>
      <c r="B1984">
        <v>50</v>
      </c>
      <c r="C1984" t="s">
        <v>54</v>
      </c>
      <c r="D1984" t="s">
        <v>34</v>
      </c>
      <c r="E1984" t="s">
        <v>51</v>
      </c>
      <c r="F1984" t="s">
        <v>75</v>
      </c>
      <c r="G1984">
        <v>28</v>
      </c>
      <c r="H1984" t="s">
        <v>31</v>
      </c>
      <c r="I1984" t="s">
        <v>37</v>
      </c>
      <c r="J1984" t="s">
        <v>23</v>
      </c>
      <c r="K1984" s="2">
        <v>112886</v>
      </c>
      <c r="L1984" s="2">
        <v>115275</v>
      </c>
      <c r="M1984" t="s">
        <v>38</v>
      </c>
      <c r="N1984">
        <v>46</v>
      </c>
      <c r="O1984" t="s">
        <v>23</v>
      </c>
      <c r="P1984">
        <v>5</v>
      </c>
      <c r="Q1984" s="1">
        <v>-19.399999999999999</v>
      </c>
      <c r="R1984" s="2">
        <f t="shared" si="120"/>
        <v>2389</v>
      </c>
      <c r="S1984" s="1">
        <f t="shared" si="121"/>
        <v>2.1162943146182873</v>
      </c>
      <c r="T1984" t="str">
        <f t="shared" si="122"/>
        <v>Expert</v>
      </c>
      <c r="U1984" t="str">
        <f t="shared" si="123"/>
        <v>Medium Impact</v>
      </c>
    </row>
    <row r="1985" spans="1:21" x14ac:dyDescent="0.3">
      <c r="A1985" t="s">
        <v>976</v>
      </c>
      <c r="B1985">
        <v>41</v>
      </c>
      <c r="C1985" t="s">
        <v>18</v>
      </c>
      <c r="D1985" t="s">
        <v>19</v>
      </c>
      <c r="E1985" t="s">
        <v>35</v>
      </c>
      <c r="F1985" t="s">
        <v>98</v>
      </c>
      <c r="G1985">
        <v>16</v>
      </c>
      <c r="H1985" t="s">
        <v>37</v>
      </c>
      <c r="I1985" t="s">
        <v>31</v>
      </c>
      <c r="J1985" t="s">
        <v>23</v>
      </c>
      <c r="K1985" s="2">
        <v>63132</v>
      </c>
      <c r="L1985" s="2">
        <v>60633</v>
      </c>
      <c r="M1985" t="s">
        <v>32</v>
      </c>
      <c r="N1985">
        <v>38</v>
      </c>
      <c r="O1985" t="s">
        <v>25</v>
      </c>
      <c r="P1985">
        <v>5</v>
      </c>
      <c r="Q1985" s="1">
        <v>-19.43</v>
      </c>
      <c r="R1985" s="2">
        <f t="shared" si="120"/>
        <v>-2499</v>
      </c>
      <c r="S1985" s="1">
        <f t="shared" si="121"/>
        <v>-3.9583729329024901</v>
      </c>
      <c r="T1985" t="str">
        <f t="shared" si="122"/>
        <v>Expert</v>
      </c>
      <c r="U1985" t="str">
        <f t="shared" si="123"/>
        <v>Low Impact</v>
      </c>
    </row>
    <row r="1986" spans="1:21" x14ac:dyDescent="0.3">
      <c r="A1986" t="s">
        <v>86</v>
      </c>
      <c r="B1986">
        <v>29</v>
      </c>
      <c r="C1986" t="s">
        <v>18</v>
      </c>
      <c r="D1986" t="s">
        <v>28</v>
      </c>
      <c r="E1986" t="s">
        <v>35</v>
      </c>
      <c r="F1986" t="s">
        <v>36</v>
      </c>
      <c r="G1986">
        <v>4</v>
      </c>
      <c r="H1986" t="s">
        <v>31</v>
      </c>
      <c r="I1986" t="s">
        <v>22</v>
      </c>
      <c r="J1986" t="s">
        <v>25</v>
      </c>
      <c r="K1986" s="2">
        <v>83351</v>
      </c>
      <c r="L1986" s="2">
        <v>86765</v>
      </c>
      <c r="M1986" t="s">
        <v>32</v>
      </c>
      <c r="N1986">
        <v>37</v>
      </c>
      <c r="O1986" t="s">
        <v>25</v>
      </c>
      <c r="P1986">
        <v>3</v>
      </c>
      <c r="Q1986" s="1">
        <v>-19.45</v>
      </c>
      <c r="R1986" s="2">
        <f t="shared" ref="R1986:R2001" si="124">L1986-K1986</f>
        <v>3414</v>
      </c>
      <c r="S1986" s="1">
        <f t="shared" ref="S1986:S2001" si="125">(L1986-K1986)/K1986*100</f>
        <v>4.095931662487553</v>
      </c>
      <c r="T1986" t="str">
        <f t="shared" ref="T1986:T2001" si="126">IF(G1986&lt;5,"Beginner",IF(G1986&lt;15,"Intermediate","Expert"))</f>
        <v>Beginner</v>
      </c>
      <c r="U1986" t="str">
        <f t="shared" ref="U1986:U2001" si="127">IF(M1986="Replaced","High Impact",IF(M1986="Modified","Medium Impact","Low Impact"))</f>
        <v>Low Impact</v>
      </c>
    </row>
    <row r="1987" spans="1:21" x14ac:dyDescent="0.3">
      <c r="A1987" t="s">
        <v>551</v>
      </c>
      <c r="B1987">
        <v>43</v>
      </c>
      <c r="C1987" t="s">
        <v>54</v>
      </c>
      <c r="D1987" t="s">
        <v>34</v>
      </c>
      <c r="E1987" t="s">
        <v>44</v>
      </c>
      <c r="F1987" t="s">
        <v>57</v>
      </c>
      <c r="G1987">
        <v>17</v>
      </c>
      <c r="H1987" t="s">
        <v>22</v>
      </c>
      <c r="I1987" t="s">
        <v>37</v>
      </c>
      <c r="J1987" t="s">
        <v>25</v>
      </c>
      <c r="K1987" s="2">
        <v>57691</v>
      </c>
      <c r="L1987" s="2">
        <v>46571</v>
      </c>
      <c r="M1987" t="s">
        <v>38</v>
      </c>
      <c r="N1987">
        <v>39</v>
      </c>
      <c r="O1987" t="s">
        <v>23</v>
      </c>
      <c r="P1987">
        <v>6</v>
      </c>
      <c r="Q1987" s="1">
        <v>-19.46</v>
      </c>
      <c r="R1987" s="2">
        <f t="shared" si="124"/>
        <v>-11120</v>
      </c>
      <c r="S1987" s="1">
        <f t="shared" si="125"/>
        <v>-19.275103569014231</v>
      </c>
      <c r="T1987" t="str">
        <f t="shared" si="126"/>
        <v>Expert</v>
      </c>
      <c r="U1987" t="str">
        <f t="shared" si="127"/>
        <v>Medium Impact</v>
      </c>
    </row>
    <row r="1988" spans="1:21" x14ac:dyDescent="0.3">
      <c r="A1988" t="s">
        <v>1199</v>
      </c>
      <c r="B1988">
        <v>22</v>
      </c>
      <c r="C1988" t="s">
        <v>54</v>
      </c>
      <c r="D1988" t="s">
        <v>28</v>
      </c>
      <c r="E1988" t="s">
        <v>41</v>
      </c>
      <c r="F1988" t="s">
        <v>42</v>
      </c>
      <c r="G1988">
        <v>0</v>
      </c>
      <c r="H1988" t="s">
        <v>37</v>
      </c>
      <c r="I1988" t="s">
        <v>22</v>
      </c>
      <c r="J1988" t="s">
        <v>25</v>
      </c>
      <c r="K1988" s="2">
        <v>73876</v>
      </c>
      <c r="L1988" s="2">
        <v>79468</v>
      </c>
      <c r="M1988" t="s">
        <v>32</v>
      </c>
      <c r="N1988">
        <v>52</v>
      </c>
      <c r="O1988" t="s">
        <v>23</v>
      </c>
      <c r="P1988">
        <v>3</v>
      </c>
      <c r="Q1988" s="1">
        <v>-19.489999999999998</v>
      </c>
      <c r="R1988" s="2">
        <f t="shared" si="124"/>
        <v>5592</v>
      </c>
      <c r="S1988" s="1">
        <f t="shared" si="125"/>
        <v>7.5694406843900595</v>
      </c>
      <c r="T1988" t="str">
        <f t="shared" si="126"/>
        <v>Beginner</v>
      </c>
      <c r="U1988" t="str">
        <f t="shared" si="127"/>
        <v>Low Impact</v>
      </c>
    </row>
    <row r="1989" spans="1:21" x14ac:dyDescent="0.3">
      <c r="A1989" t="s">
        <v>1067</v>
      </c>
      <c r="B1989">
        <v>39</v>
      </c>
      <c r="C1989" t="s">
        <v>18</v>
      </c>
      <c r="D1989" t="s">
        <v>40</v>
      </c>
      <c r="E1989" t="s">
        <v>51</v>
      </c>
      <c r="F1989" t="s">
        <v>52</v>
      </c>
      <c r="G1989">
        <v>16</v>
      </c>
      <c r="H1989" t="s">
        <v>37</v>
      </c>
      <c r="I1989" t="s">
        <v>37</v>
      </c>
      <c r="J1989" t="s">
        <v>23</v>
      </c>
      <c r="K1989" s="2">
        <v>60974</v>
      </c>
      <c r="L1989" s="2">
        <v>58120</v>
      </c>
      <c r="M1989" t="s">
        <v>38</v>
      </c>
      <c r="N1989">
        <v>40</v>
      </c>
      <c r="O1989" t="s">
        <v>23</v>
      </c>
      <c r="P1989">
        <v>7</v>
      </c>
      <c r="Q1989" s="1">
        <v>-19.579999999999998</v>
      </c>
      <c r="R1989" s="2">
        <f t="shared" si="124"/>
        <v>-2854</v>
      </c>
      <c r="S1989" s="1">
        <f t="shared" si="125"/>
        <v>-4.6806835700462495</v>
      </c>
      <c r="T1989" t="str">
        <f t="shared" si="126"/>
        <v>Expert</v>
      </c>
      <c r="U1989" t="str">
        <f t="shared" si="127"/>
        <v>Medium Impact</v>
      </c>
    </row>
    <row r="1990" spans="1:21" x14ac:dyDescent="0.3">
      <c r="A1990" t="s">
        <v>478</v>
      </c>
      <c r="B1990">
        <v>41</v>
      </c>
      <c r="C1990" t="s">
        <v>27</v>
      </c>
      <c r="D1990" t="s">
        <v>28</v>
      </c>
      <c r="E1990" t="s">
        <v>35</v>
      </c>
      <c r="F1990" t="s">
        <v>98</v>
      </c>
      <c r="G1990">
        <v>17</v>
      </c>
      <c r="H1990" t="s">
        <v>31</v>
      </c>
      <c r="I1990" t="s">
        <v>37</v>
      </c>
      <c r="J1990" t="s">
        <v>23</v>
      </c>
      <c r="K1990" s="2">
        <v>70379</v>
      </c>
      <c r="L1990" s="2">
        <v>70860</v>
      </c>
      <c r="M1990" t="s">
        <v>38</v>
      </c>
      <c r="N1990">
        <v>49</v>
      </c>
      <c r="O1990" t="s">
        <v>23</v>
      </c>
      <c r="P1990">
        <v>9</v>
      </c>
      <c r="Q1990" s="1">
        <v>-19.600000000000001</v>
      </c>
      <c r="R1990" s="2">
        <f t="shared" si="124"/>
        <v>481</v>
      </c>
      <c r="S1990" s="1">
        <f t="shared" si="125"/>
        <v>0.68344250415606933</v>
      </c>
      <c r="T1990" t="str">
        <f t="shared" si="126"/>
        <v>Expert</v>
      </c>
      <c r="U1990" t="str">
        <f t="shared" si="127"/>
        <v>Medium Impact</v>
      </c>
    </row>
    <row r="1991" spans="1:21" x14ac:dyDescent="0.3">
      <c r="A1991" t="s">
        <v>750</v>
      </c>
      <c r="B1991">
        <v>33</v>
      </c>
      <c r="C1991" t="s">
        <v>27</v>
      </c>
      <c r="D1991" t="s">
        <v>19</v>
      </c>
      <c r="E1991" t="s">
        <v>29</v>
      </c>
      <c r="F1991" t="s">
        <v>30</v>
      </c>
      <c r="G1991">
        <v>8</v>
      </c>
      <c r="H1991" t="s">
        <v>22</v>
      </c>
      <c r="I1991" t="s">
        <v>31</v>
      </c>
      <c r="J1991" t="s">
        <v>23</v>
      </c>
      <c r="K1991" s="2">
        <v>72316</v>
      </c>
      <c r="L1991" s="2">
        <v>82420</v>
      </c>
      <c r="M1991" t="s">
        <v>32</v>
      </c>
      <c r="N1991">
        <v>49</v>
      </c>
      <c r="O1991" t="s">
        <v>25</v>
      </c>
      <c r="P1991">
        <v>9</v>
      </c>
      <c r="Q1991" s="1">
        <v>-19.62</v>
      </c>
      <c r="R1991" s="2">
        <f t="shared" si="124"/>
        <v>10104</v>
      </c>
      <c r="S1991" s="1">
        <f t="shared" si="125"/>
        <v>13.972011726312298</v>
      </c>
      <c r="T1991" t="str">
        <f t="shared" si="126"/>
        <v>Intermediate</v>
      </c>
      <c r="U1991" t="str">
        <f t="shared" si="127"/>
        <v>Low Impact</v>
      </c>
    </row>
    <row r="1992" spans="1:21" x14ac:dyDescent="0.3">
      <c r="A1992" t="s">
        <v>1852</v>
      </c>
      <c r="B1992">
        <v>35</v>
      </c>
      <c r="C1992" t="s">
        <v>18</v>
      </c>
      <c r="D1992" t="s">
        <v>19</v>
      </c>
      <c r="E1992" t="s">
        <v>20</v>
      </c>
      <c r="F1992" t="s">
        <v>88</v>
      </c>
      <c r="G1992">
        <v>13</v>
      </c>
      <c r="H1992" t="s">
        <v>22</v>
      </c>
      <c r="I1992" t="s">
        <v>22</v>
      </c>
      <c r="J1992" t="s">
        <v>25</v>
      </c>
      <c r="K1992" s="2">
        <v>93825</v>
      </c>
      <c r="L1992" s="2">
        <v>77680</v>
      </c>
      <c r="M1992" t="s">
        <v>38</v>
      </c>
      <c r="N1992">
        <v>47</v>
      </c>
      <c r="O1992" t="s">
        <v>23</v>
      </c>
      <c r="P1992">
        <v>4</v>
      </c>
      <c r="Q1992" s="1">
        <v>-19.739999999999998</v>
      </c>
      <c r="R1992" s="2">
        <f t="shared" si="124"/>
        <v>-16145</v>
      </c>
      <c r="S1992" s="1">
        <f t="shared" si="125"/>
        <v>-17.207567279509725</v>
      </c>
      <c r="T1992" t="str">
        <f t="shared" si="126"/>
        <v>Intermediate</v>
      </c>
      <c r="U1992" t="str">
        <f t="shared" si="127"/>
        <v>Medium Impact</v>
      </c>
    </row>
    <row r="1993" spans="1:21" x14ac:dyDescent="0.3">
      <c r="A1993" t="s">
        <v>1230</v>
      </c>
      <c r="B1993">
        <v>54</v>
      </c>
      <c r="C1993" t="s">
        <v>54</v>
      </c>
      <c r="D1993" t="s">
        <v>40</v>
      </c>
      <c r="E1993" t="s">
        <v>59</v>
      </c>
      <c r="F1993" t="s">
        <v>77</v>
      </c>
      <c r="G1993">
        <v>31</v>
      </c>
      <c r="H1993" t="s">
        <v>22</v>
      </c>
      <c r="I1993" t="s">
        <v>37</v>
      </c>
      <c r="J1993" t="s">
        <v>23</v>
      </c>
      <c r="K1993" s="2">
        <v>75853</v>
      </c>
      <c r="L1993" s="2">
        <v>82259</v>
      </c>
      <c r="M1993" t="s">
        <v>38</v>
      </c>
      <c r="N1993">
        <v>45</v>
      </c>
      <c r="O1993" t="s">
        <v>25</v>
      </c>
      <c r="P1993">
        <v>3</v>
      </c>
      <c r="Q1993" s="1">
        <v>-19.75</v>
      </c>
      <c r="R1993" s="2">
        <f t="shared" si="124"/>
        <v>6406</v>
      </c>
      <c r="S1993" s="1">
        <f t="shared" si="125"/>
        <v>8.4452823223867206</v>
      </c>
      <c r="T1993" t="str">
        <f t="shared" si="126"/>
        <v>Expert</v>
      </c>
      <c r="U1993" t="str">
        <f t="shared" si="127"/>
        <v>Medium Impact</v>
      </c>
    </row>
    <row r="1994" spans="1:21" x14ac:dyDescent="0.3">
      <c r="A1994" t="s">
        <v>1660</v>
      </c>
      <c r="B1994">
        <v>33</v>
      </c>
      <c r="C1994" t="s">
        <v>54</v>
      </c>
      <c r="D1994" t="s">
        <v>19</v>
      </c>
      <c r="E1994" t="s">
        <v>20</v>
      </c>
      <c r="F1994" t="s">
        <v>21</v>
      </c>
      <c r="G1994">
        <v>7</v>
      </c>
      <c r="H1994" t="s">
        <v>22</v>
      </c>
      <c r="I1994" t="s">
        <v>22</v>
      </c>
      <c r="J1994" t="s">
        <v>23</v>
      </c>
      <c r="K1994" s="2">
        <v>53016</v>
      </c>
      <c r="L1994" s="2">
        <v>67739</v>
      </c>
      <c r="M1994" t="s">
        <v>24</v>
      </c>
      <c r="N1994">
        <v>53</v>
      </c>
      <c r="O1994" t="s">
        <v>25</v>
      </c>
      <c r="P1994">
        <v>5</v>
      </c>
      <c r="Q1994" s="1">
        <v>-19.77</v>
      </c>
      <c r="R1994" s="2">
        <f t="shared" si="124"/>
        <v>14723</v>
      </c>
      <c r="S1994" s="1">
        <f t="shared" si="125"/>
        <v>27.770861626678737</v>
      </c>
      <c r="T1994" t="str">
        <f t="shared" si="126"/>
        <v>Intermediate</v>
      </c>
      <c r="U1994" t="str">
        <f t="shared" si="127"/>
        <v>High Impact</v>
      </c>
    </row>
    <row r="1995" spans="1:21" x14ac:dyDescent="0.3">
      <c r="A1995" t="s">
        <v>1977</v>
      </c>
      <c r="B1995">
        <v>28</v>
      </c>
      <c r="C1995" t="s">
        <v>27</v>
      </c>
      <c r="D1995" t="s">
        <v>34</v>
      </c>
      <c r="E1995" t="s">
        <v>29</v>
      </c>
      <c r="F1995" t="s">
        <v>102</v>
      </c>
      <c r="G1995">
        <v>4</v>
      </c>
      <c r="H1995" t="s">
        <v>37</v>
      </c>
      <c r="I1995" t="s">
        <v>22</v>
      </c>
      <c r="J1995" t="s">
        <v>23</v>
      </c>
      <c r="K1995" s="2">
        <v>37851</v>
      </c>
      <c r="L1995" s="2">
        <v>37164</v>
      </c>
      <c r="M1995" t="s">
        <v>32</v>
      </c>
      <c r="N1995">
        <v>47</v>
      </c>
      <c r="O1995" t="s">
        <v>23</v>
      </c>
      <c r="P1995">
        <v>4</v>
      </c>
      <c r="Q1995" s="1">
        <v>-19.850000000000001</v>
      </c>
      <c r="R1995" s="2">
        <f t="shared" si="124"/>
        <v>-687</v>
      </c>
      <c r="S1995" s="1">
        <f t="shared" si="125"/>
        <v>-1.8150114924308471</v>
      </c>
      <c r="T1995" t="str">
        <f t="shared" si="126"/>
        <v>Beginner</v>
      </c>
      <c r="U1995" t="str">
        <f t="shared" si="127"/>
        <v>Low Impact</v>
      </c>
    </row>
    <row r="1996" spans="1:21" x14ac:dyDescent="0.3">
      <c r="A1996" t="s">
        <v>234</v>
      </c>
      <c r="B1996">
        <v>46</v>
      </c>
      <c r="C1996" t="s">
        <v>27</v>
      </c>
      <c r="D1996" t="s">
        <v>34</v>
      </c>
      <c r="E1996" t="s">
        <v>35</v>
      </c>
      <c r="F1996" t="s">
        <v>98</v>
      </c>
      <c r="G1996">
        <v>22</v>
      </c>
      <c r="H1996" t="s">
        <v>31</v>
      </c>
      <c r="I1996" t="s">
        <v>31</v>
      </c>
      <c r="J1996" t="s">
        <v>25</v>
      </c>
      <c r="K1996" s="2">
        <v>75186</v>
      </c>
      <c r="L1996" s="2">
        <v>72303</v>
      </c>
      <c r="M1996" t="s">
        <v>32</v>
      </c>
      <c r="N1996">
        <v>53</v>
      </c>
      <c r="O1996" t="s">
        <v>25</v>
      </c>
      <c r="P1996">
        <v>8</v>
      </c>
      <c r="Q1996" s="1">
        <v>-19.86</v>
      </c>
      <c r="R1996" s="2">
        <f t="shared" si="124"/>
        <v>-2883</v>
      </c>
      <c r="S1996" s="1">
        <f t="shared" si="125"/>
        <v>-3.8344904636501473</v>
      </c>
      <c r="T1996" t="str">
        <f t="shared" si="126"/>
        <v>Expert</v>
      </c>
      <c r="U1996" t="str">
        <f t="shared" si="127"/>
        <v>Low Impact</v>
      </c>
    </row>
    <row r="1997" spans="1:21" x14ac:dyDescent="0.3">
      <c r="A1997" t="s">
        <v>1015</v>
      </c>
      <c r="B1997">
        <v>54</v>
      </c>
      <c r="C1997" t="s">
        <v>54</v>
      </c>
      <c r="D1997" t="s">
        <v>40</v>
      </c>
      <c r="E1997" t="s">
        <v>44</v>
      </c>
      <c r="F1997" t="s">
        <v>45</v>
      </c>
      <c r="G1997">
        <v>32</v>
      </c>
      <c r="H1997" t="s">
        <v>22</v>
      </c>
      <c r="I1997" t="s">
        <v>37</v>
      </c>
      <c r="J1997" t="s">
        <v>23</v>
      </c>
      <c r="K1997" s="2">
        <v>33407</v>
      </c>
      <c r="L1997" s="2">
        <v>38136</v>
      </c>
      <c r="M1997" t="s">
        <v>38</v>
      </c>
      <c r="N1997">
        <v>39</v>
      </c>
      <c r="O1997" t="s">
        <v>25</v>
      </c>
      <c r="P1997">
        <v>4</v>
      </c>
      <c r="Q1997" s="1">
        <v>-19.88</v>
      </c>
      <c r="R1997" s="2">
        <f t="shared" si="124"/>
        <v>4729</v>
      </c>
      <c r="S1997" s="1">
        <f t="shared" si="125"/>
        <v>14.155715867931869</v>
      </c>
      <c r="T1997" t="str">
        <f t="shared" si="126"/>
        <v>Expert</v>
      </c>
      <c r="U1997" t="str">
        <f t="shared" si="127"/>
        <v>Medium Impact</v>
      </c>
    </row>
    <row r="1998" spans="1:21" x14ac:dyDescent="0.3">
      <c r="A1998" t="s">
        <v>1234</v>
      </c>
      <c r="B1998">
        <v>43</v>
      </c>
      <c r="C1998" t="s">
        <v>54</v>
      </c>
      <c r="D1998" t="s">
        <v>28</v>
      </c>
      <c r="E1998" t="s">
        <v>35</v>
      </c>
      <c r="F1998" t="s">
        <v>132</v>
      </c>
      <c r="G1998">
        <v>21</v>
      </c>
      <c r="H1998" t="s">
        <v>37</v>
      </c>
      <c r="I1998" t="s">
        <v>22</v>
      </c>
      <c r="J1998" t="s">
        <v>23</v>
      </c>
      <c r="K1998" s="2">
        <v>57862</v>
      </c>
      <c r="L1998" s="2">
        <v>53576</v>
      </c>
      <c r="M1998" t="s">
        <v>32</v>
      </c>
      <c r="N1998">
        <v>43</v>
      </c>
      <c r="O1998" t="s">
        <v>25</v>
      </c>
      <c r="P1998">
        <v>8</v>
      </c>
      <c r="Q1998" s="1">
        <v>-19.91</v>
      </c>
      <c r="R1998" s="2">
        <f t="shared" si="124"/>
        <v>-4286</v>
      </c>
      <c r="S1998" s="1">
        <f t="shared" si="125"/>
        <v>-7.4072793888908102</v>
      </c>
      <c r="T1998" t="str">
        <f t="shared" si="126"/>
        <v>Expert</v>
      </c>
      <c r="U1998" t="str">
        <f t="shared" si="127"/>
        <v>Low Impact</v>
      </c>
    </row>
    <row r="1999" spans="1:21" x14ac:dyDescent="0.3">
      <c r="A1999" t="s">
        <v>768</v>
      </c>
      <c r="B1999">
        <v>23</v>
      </c>
      <c r="C1999" t="s">
        <v>54</v>
      </c>
      <c r="D1999" t="s">
        <v>28</v>
      </c>
      <c r="E1999" t="s">
        <v>59</v>
      </c>
      <c r="F1999" t="s">
        <v>60</v>
      </c>
      <c r="G1999">
        <v>1</v>
      </c>
      <c r="H1999" t="s">
        <v>31</v>
      </c>
      <c r="I1999" t="s">
        <v>22</v>
      </c>
      <c r="J1999" t="s">
        <v>23</v>
      </c>
      <c r="K1999" s="2">
        <v>59327</v>
      </c>
      <c r="L1999" s="2">
        <v>56408</v>
      </c>
      <c r="M1999" t="s">
        <v>32</v>
      </c>
      <c r="N1999">
        <v>54</v>
      </c>
      <c r="O1999" t="s">
        <v>23</v>
      </c>
      <c r="P1999">
        <v>8</v>
      </c>
      <c r="Q1999" s="1">
        <v>-19.920000000000002</v>
      </c>
      <c r="R1999" s="2">
        <f t="shared" si="124"/>
        <v>-2919</v>
      </c>
      <c r="S1999" s="1">
        <f t="shared" si="125"/>
        <v>-4.9201881099667943</v>
      </c>
      <c r="T1999" t="str">
        <f t="shared" si="126"/>
        <v>Beginner</v>
      </c>
      <c r="U1999" t="str">
        <f t="shared" si="127"/>
        <v>Low Impact</v>
      </c>
    </row>
    <row r="2000" spans="1:21" x14ac:dyDescent="0.3">
      <c r="A2000" t="s">
        <v>1760</v>
      </c>
      <c r="B2000">
        <v>57</v>
      </c>
      <c r="C2000" t="s">
        <v>18</v>
      </c>
      <c r="D2000" t="s">
        <v>19</v>
      </c>
      <c r="E2000" t="s">
        <v>29</v>
      </c>
      <c r="F2000" t="s">
        <v>102</v>
      </c>
      <c r="G2000">
        <v>31</v>
      </c>
      <c r="H2000" t="s">
        <v>31</v>
      </c>
      <c r="I2000" t="s">
        <v>37</v>
      </c>
      <c r="J2000" t="s">
        <v>25</v>
      </c>
      <c r="K2000" s="2">
        <v>59722</v>
      </c>
      <c r="L2000" s="2">
        <v>57031</v>
      </c>
      <c r="M2000" t="s">
        <v>38</v>
      </c>
      <c r="N2000">
        <v>43</v>
      </c>
      <c r="O2000" t="s">
        <v>23</v>
      </c>
      <c r="P2000">
        <v>6</v>
      </c>
      <c r="Q2000" s="1">
        <v>-19.93</v>
      </c>
      <c r="R2000" s="2">
        <f t="shared" si="124"/>
        <v>-2691</v>
      </c>
      <c r="S2000" s="1">
        <f t="shared" si="125"/>
        <v>-4.5058772311710928</v>
      </c>
      <c r="T2000" t="str">
        <f t="shared" si="126"/>
        <v>Expert</v>
      </c>
      <c r="U2000" t="str">
        <f t="shared" si="127"/>
        <v>Medium Impact</v>
      </c>
    </row>
    <row r="2001" spans="1:21" x14ac:dyDescent="0.3">
      <c r="A2001" t="s">
        <v>882</v>
      </c>
      <c r="B2001">
        <v>58</v>
      </c>
      <c r="C2001" t="s">
        <v>18</v>
      </c>
      <c r="D2001" t="s">
        <v>34</v>
      </c>
      <c r="E2001" t="s">
        <v>41</v>
      </c>
      <c r="F2001" t="s">
        <v>55</v>
      </c>
      <c r="G2001">
        <v>36</v>
      </c>
      <c r="H2001" t="s">
        <v>37</v>
      </c>
      <c r="I2001" t="s">
        <v>37</v>
      </c>
      <c r="J2001" t="s">
        <v>23</v>
      </c>
      <c r="K2001" s="2">
        <v>96985</v>
      </c>
      <c r="L2001" s="2">
        <v>93676</v>
      </c>
      <c r="M2001" t="s">
        <v>38</v>
      </c>
      <c r="N2001">
        <v>38</v>
      </c>
      <c r="O2001" t="s">
        <v>23</v>
      </c>
      <c r="P2001">
        <v>8</v>
      </c>
      <c r="Q2001" s="1">
        <v>-19.989999999999998</v>
      </c>
      <c r="R2001" s="2">
        <f t="shared" si="124"/>
        <v>-3309</v>
      </c>
      <c r="S2001" s="1">
        <f t="shared" si="125"/>
        <v>-3.4118678146105066</v>
      </c>
      <c r="T2001" t="str">
        <f t="shared" si="126"/>
        <v>Expert</v>
      </c>
      <c r="U2001" t="str">
        <f t="shared" si="127"/>
        <v>Medium Impact</v>
      </c>
    </row>
  </sheetData>
  <conditionalFormatting sqref="I1:I1048576">
    <cfRule type="cellIs" dxfId="0" priority="1" operator="equal">
      <formula>"High"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33FA1-38D9-4CCD-8F0D-8226308BA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Industry vs Average Salary</vt:lpstr>
      <vt:lpstr>AI Adoption by Industry</vt:lpstr>
      <vt:lpstr>Job Status Distribution</vt:lpstr>
      <vt:lpstr>Remote Work vs Productivity</vt:lpstr>
      <vt:lpstr>ai_job_impact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DINU KRISHNA</dc:creator>
  <cp:lastModifiedBy>DINU KRISHNA</cp:lastModifiedBy>
  <dcterms:created xsi:type="dcterms:W3CDTF">2026-05-10T08:44:12Z</dcterms:created>
  <dcterms:modified xsi:type="dcterms:W3CDTF">2026-05-10T11:25:26Z</dcterms:modified>
</cp:coreProperties>
</file>